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 III" sheetId="1" state="visible" r:id="rId3"/>
  </sheets>
  <definedNames>
    <definedName function="false" hidden="false" localSheetId="0" name="_xlnm.Print_Titles" vbProcedure="false">'IT III'!$1:$5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<sst xmlns="http://schemas.openxmlformats.org/spreadsheetml/2006/main" count="87" uniqueCount="87">
  <si>
    <t xml:space="preserve">P.T.Lee Chengalvaraya Naicker College of Engineering and Technology</t>
  </si>
  <si>
    <t xml:space="preserve">P.T.Lee Chengalvaraya Naicker Nagar, Oovery, Veliyur Post, Kanchipuram - 631502.</t>
  </si>
  <si>
    <t xml:space="preserve">DEPARTMENT OF INFORMATION TECHNOLOGY</t>
  </si>
  <si>
    <t xml:space="preserve">Academic year 2025-26(ODD Semester)</t>
  </si>
  <si>
    <t xml:space="preserve">Total no of working day from 16/7/25 to 3/9/25 is 35 days</t>
  </si>
  <si>
    <t xml:space="preserve">Sem 03</t>
  </si>
  <si>
    <t xml:space="preserve">S.No</t>
  </si>
  <si>
    <t xml:space="preserve">Reg. No</t>
  </si>
  <si>
    <t xml:space="preserve">Name</t>
  </si>
  <si>
    <t xml:space="preserve">16/7 to 22/7</t>
  </si>
  <si>
    <t xml:space="preserve">23/7 to 29/7</t>
  </si>
  <si>
    <t xml:space="preserve">30/7 to 4/8</t>
  </si>
  <si>
    <t xml:space="preserve">5/8 to 11/8</t>
  </si>
  <si>
    <t xml:space="preserve">12/8 to 19/8</t>
  </si>
  <si>
    <t xml:space="preserve">20/8 to 28/8</t>
  </si>
  <si>
    <t xml:space="preserve">29/8 to 3/9</t>
  </si>
  <si>
    <t xml:space="preserve">No of Days Absent</t>
  </si>
  <si>
    <t xml:space="preserve">No of Days Present</t>
  </si>
  <si>
    <t xml:space="preserve">Atten Percent</t>
  </si>
  <si>
    <t xml:space="preserve">Student Signature</t>
  </si>
  <si>
    <t xml:space="preserve">Aasaimani T</t>
  </si>
  <si>
    <t xml:space="preserve">Aathi S</t>
  </si>
  <si>
    <t xml:space="preserve">Abi P</t>
  </si>
  <si>
    <t xml:space="preserve">Abirami M</t>
  </si>
  <si>
    <t xml:space="preserve">Adhithya A</t>
  </si>
  <si>
    <t xml:space="preserve">Anandharaman M</t>
  </si>
  <si>
    <t xml:space="preserve">Arish S</t>
  </si>
  <si>
    <t xml:space="preserve">Arulirasan G</t>
  </si>
  <si>
    <t xml:space="preserve">Ashwin G</t>
  </si>
  <si>
    <t xml:space="preserve">Aswini V</t>
  </si>
  <si>
    <t xml:space="preserve">Dhanalakshmi R</t>
  </si>
  <si>
    <t xml:space="preserve">Dhanapriya P</t>
  </si>
  <si>
    <t xml:space="preserve">Divagaran M</t>
  </si>
  <si>
    <t xml:space="preserve">Divya R</t>
  </si>
  <si>
    <t xml:space="preserve">Divya S</t>
  </si>
  <si>
    <t xml:space="preserve">Gopi M</t>
  </si>
  <si>
    <t xml:space="preserve">Harish K</t>
  </si>
  <si>
    <t xml:space="preserve">Harisharan PS</t>
  </si>
  <si>
    <t xml:space="preserve">Hemalatha M</t>
  </si>
  <si>
    <t xml:space="preserve">Jagan S</t>
  </si>
  <si>
    <t xml:space="preserve">Janani J</t>
  </si>
  <si>
    <t xml:space="preserve">Jayanthi K</t>
  </si>
  <si>
    <t xml:space="preserve">Keerthana M</t>
  </si>
  <si>
    <t xml:space="preserve">Keerthana R</t>
  </si>
  <si>
    <t xml:space="preserve">Keerthivasan V</t>
  </si>
  <si>
    <t xml:space="preserve">Kowsalya B</t>
  </si>
  <si>
    <t xml:space="preserve">Lakshmi priya S K</t>
  </si>
  <si>
    <t xml:space="preserve">Loseya V</t>
  </si>
  <si>
    <t xml:space="preserve">Madhankumar R</t>
  </si>
  <si>
    <t xml:space="preserve">Madhumitha V</t>
  </si>
  <si>
    <t xml:space="preserve">Mahalakshmi S</t>
  </si>
  <si>
    <t xml:space="preserve">Mohanapriya S</t>
  </si>
  <si>
    <t xml:space="preserve">Monica U</t>
  </si>
  <si>
    <t xml:space="preserve">Nitheeswari S</t>
  </si>
  <si>
    <t xml:space="preserve">Nithya priya C</t>
  </si>
  <si>
    <t xml:space="preserve">Prasanth P</t>
  </si>
  <si>
    <t xml:space="preserve">Priyadharshan A</t>
  </si>
  <si>
    <t xml:space="preserve">Ragulgandhi K</t>
  </si>
  <si>
    <t xml:space="preserve">Raguram R</t>
  </si>
  <si>
    <t xml:space="preserve">Ramya N</t>
  </si>
  <si>
    <t xml:space="preserve">Reethika K</t>
  </si>
  <si>
    <t xml:space="preserve">Rithik K</t>
  </si>
  <si>
    <t xml:space="preserve">Sachin S</t>
  </si>
  <si>
    <t xml:space="preserve">Sagunthala K</t>
  </si>
  <si>
    <t xml:space="preserve">Sakthivel R</t>
  </si>
  <si>
    <t xml:space="preserve">Samuvel M</t>
  </si>
  <si>
    <t xml:space="preserve">Sandhiya L</t>
  </si>
  <si>
    <t xml:space="preserve">Sangeetha V</t>
  </si>
  <si>
    <t xml:space="preserve">Sankar ganesh J</t>
  </si>
  <si>
    <t xml:space="preserve">Santhaseelan R</t>
  </si>
  <si>
    <t xml:space="preserve">Santhosh R</t>
  </si>
  <si>
    <t xml:space="preserve">Sharmila B</t>
  </si>
  <si>
    <t xml:space="preserve">Sivapriya S</t>
  </si>
  <si>
    <t xml:space="preserve">Srimanoj C</t>
  </si>
  <si>
    <t xml:space="preserve">Srinivasan N</t>
  </si>
  <si>
    <t xml:space="preserve">Tamilselvan J</t>
  </si>
  <si>
    <t xml:space="preserve">Thamizhvani S</t>
  </si>
  <si>
    <t xml:space="preserve">Udhayachandhar H</t>
  </si>
  <si>
    <t xml:space="preserve">Ugendran R</t>
  </si>
  <si>
    <t xml:space="preserve">Vicknesh D</t>
  </si>
  <si>
    <t xml:space="preserve">Vimalraj R</t>
  </si>
  <si>
    <t xml:space="preserve">yogibala V</t>
  </si>
  <si>
    <t xml:space="preserve">Somasundaram P</t>
  </si>
  <si>
    <t xml:space="preserve">Thiruneelakandan M</t>
  </si>
  <si>
    <t xml:space="preserve">HOD</t>
  </si>
  <si>
    <t xml:space="preserve">Principal</t>
  </si>
  <si>
    <t xml:space="preserve">Class Incharge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</si>
</sst>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mbria"/>
      <family val="1"/>
      <charset val="1"/>
    </font>
    <font>
      <sz val="14"/>
      <color theme="1"/>
      <name val="Cambria"/>
      <family val="1"/>
      <charset val="1"/>
    </font>
    <font>
      <b val="true"/>
      <sz val="14"/>
      <color theme="1"/>
      <name val="Cambria"/>
      <family val="1"/>
      <charset val="1"/>
    </font>
    <font>
      <b val="true"/>
      <sz val="12"/>
      <color theme="1"/>
      <name val="Cambria"/>
      <family val="1"/>
      <charset val="1"/>
    </font>
    <font>
      <sz val="10"/>
      <color theme="1"/>
      <name val="Arial"/>
      <family val="2"/>
      <charset val="1"/>
    </font>
    <font>
      <sz val="11"/>
      <color rgb="FF000000"/>
      <name val="Bookman Old Style"/>
      <family val="0"/>
      <charset val="1"/>
    </font>
    <font>
      <sz val="10"/>
      <color rgb="FF000000"/>
      <name val="Bookman Old Styl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2" tint="-0.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474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28440</xdr:colOff>
      <xdr:row>0</xdr:row>
      <xdr:rowOff>76320</xdr:rowOff>
    </xdr:from>
    <xdr:to>
      <xdr:col>1</xdr:col>
      <xdr:colOff>227880</xdr:colOff>
      <xdr:row>2</xdr:row>
      <xdr:rowOff>150480</xdr:rowOff>
    </xdr:to>
    <xdr:pic>
      <xdr:nvPicPr>
        <xdr:cNvPr id="1" name="Picture 5"/>
        <xdr:cNvPicPr/>
      </xdr:nvPicPr>
      <xdr:blipFill>
        <a:blip r:embed="rId1"/>
        <a:stretch/>
      </xdr:blipFill>
      <xdr:spPr>
        <a:xfrm>
          <a:off x="28440" y="76320"/>
          <a:ext cx="653400" cy="65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866880</xdr:colOff>
      <xdr:row>0</xdr:row>
      <xdr:rowOff>181080</xdr:rowOff>
    </xdr:from>
    <xdr:to>
      <xdr:col>13</xdr:col>
      <xdr:colOff>1466280</xdr:colOff>
      <xdr:row>2</xdr:row>
      <xdr:rowOff>198000</xdr:rowOff>
    </xdr:to>
    <xdr:pic>
      <xdr:nvPicPr>
        <xdr:cNvPr id="2" name="image1.jpg"/>
        <xdr:cNvPicPr/>
      </xdr:nvPicPr>
      <xdr:blipFill>
        <a:blip r:embed="rId2"/>
        <a:stretch/>
      </xdr:blipFill>
      <xdr:spPr>
        <a:xfrm>
          <a:off x="11604240" y="181080"/>
          <a:ext cx="599400" cy="599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9" activeCellId="0" sqref="J69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19.1"/>
    <col collapsed="false" customWidth="true" hidden="false" outlineLevel="0" max="3" min="3" style="1" width="25.83"/>
    <col collapsed="false" customWidth="true" hidden="false" outlineLevel="0" max="4" min="4" style="1" width="6.19"/>
    <col collapsed="false" customWidth="true" hidden="false" outlineLevel="0" max="7" min="5" style="1" width="6.05"/>
    <col collapsed="false" customWidth="true" hidden="false" outlineLevel="0" max="9" min="8" style="1" width="6.32"/>
    <col collapsed="false" customWidth="true" hidden="false" outlineLevel="0" max="10" min="10" style="1" width="6.19"/>
    <col collapsed="false" customWidth="true" hidden="false" outlineLevel="0" max="11" min="11" style="1" width="8.2"/>
    <col collapsed="false" customWidth="true" hidden="false" outlineLevel="0" max="12" min="12" style="1" width="8.61"/>
    <col collapsed="false" customWidth="true" hidden="false" outlineLevel="0" max="13" min="13" style="1" width="10.76"/>
    <col collapsed="false" customWidth="true" hidden="false" outlineLevel="0" max="14" min="14" style="1" width="23.13"/>
  </cols>
  <sheetData>
    <row r="1" customFormat="false" ht="28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3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8" hidden="false" customHeight="true" outlineLevel="0" collapsed="false">
      <c r="A4" s="5" t="s">
        <v>3</v>
      </c>
      <c r="B4" s="6"/>
      <c r="C4" s="6"/>
      <c r="D4" s="7" t="s">
        <v>4</v>
      </c>
      <c r="E4" s="7"/>
      <c r="F4" s="7"/>
      <c r="G4" s="7"/>
      <c r="H4" s="7"/>
      <c r="I4" s="7"/>
      <c r="J4" s="7"/>
      <c r="K4" s="7"/>
      <c r="L4" s="7"/>
      <c r="M4" s="7"/>
      <c r="N4" s="8" t="s">
        <v>5</v>
      </c>
    </row>
    <row r="5" customFormat="false" ht="57" hidden="false" customHeight="true" outlineLevel="0" collapsed="false">
      <c r="A5" s="9" t="s">
        <v>6</v>
      </c>
      <c r="B5" s="9" t="s">
        <v>7</v>
      </c>
      <c r="C5" s="9" t="s">
        <v>8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1" t="s">
        <v>19</v>
      </c>
    </row>
    <row r="6" customFormat="false" ht="24" hidden="false" customHeight="true" outlineLevel="0" collapsed="false">
      <c r="A6" s="12" t="n">
        <v>1</v>
      </c>
      <c r="B6" s="13" t="n">
        <v>511523205001</v>
      </c>
      <c r="C6" s="14" t="s">
        <v>20</v>
      </c>
      <c r="D6" s="12" t="n">
        <v>28</v>
      </c>
      <c r="E6" s="12" t="n">
        <v>7</v>
      </c>
      <c r="F6" s="12" t="n">
        <v>0</v>
      </c>
      <c r="G6" s="12" t="n">
        <v>2</v>
      </c>
      <c r="H6" s="12" t="n">
        <v>24</v>
      </c>
      <c r="I6" s="12" t="n">
        <v>10</v>
      </c>
      <c r="J6" s="12" t="n">
        <v>19</v>
      </c>
      <c r="K6" s="12" t="n">
        <f aca="false">SUM(D6:J6)/7</f>
        <v>12.8571428571429</v>
      </c>
      <c r="L6" s="12" t="n">
        <f aca="false">(COUNT(D6:J6)*5)-K6</f>
        <v>22.1428571428571</v>
      </c>
      <c r="M6" s="15" t="n">
        <f aca="false">L6/(COUNT(D6:J6)*5)</f>
        <v>0.63265306122449</v>
      </c>
      <c r="N6" s="16"/>
    </row>
    <row r="7" customFormat="false" ht="24" hidden="false" customHeight="true" outlineLevel="0" collapsed="false">
      <c r="A7" s="12" t="n">
        <v>2</v>
      </c>
      <c r="B7" s="17" t="n">
        <v>511523205002</v>
      </c>
      <c r="C7" s="18" t="s">
        <v>21</v>
      </c>
      <c r="D7" s="12" t="n">
        <v>28</v>
      </c>
      <c r="E7" s="12" t="n">
        <v>35</v>
      </c>
      <c r="F7" s="12" t="n">
        <v>28</v>
      </c>
      <c r="G7" s="12" t="n">
        <v>1</v>
      </c>
      <c r="H7" s="12" t="n">
        <v>3</v>
      </c>
      <c r="I7" s="12" t="n">
        <v>9</v>
      </c>
      <c r="J7" s="12" t="n">
        <v>0</v>
      </c>
      <c r="K7" s="12" t="n">
        <f aca="false">SUM(D7:J7)/7</f>
        <v>14.8571428571429</v>
      </c>
      <c r="L7" s="12" t="n">
        <f aca="false">(COUNT(D7:J7)*5)-K7</f>
        <v>20.1428571428571</v>
      </c>
      <c r="M7" s="15" t="n">
        <f aca="false">L7/(COUNT(D7:J7)*5)</f>
        <v>0.575510204081633</v>
      </c>
      <c r="N7" s="16"/>
    </row>
    <row r="8" customFormat="false" ht="24" hidden="false" customHeight="true" outlineLevel="0" collapsed="false">
      <c r="A8" s="12" t="n">
        <v>3</v>
      </c>
      <c r="B8" s="17" t="n">
        <v>511523205003</v>
      </c>
      <c r="C8" s="18" t="s">
        <v>22</v>
      </c>
      <c r="D8" s="12" t="n">
        <v>0</v>
      </c>
      <c r="E8" s="12" t="n">
        <v>7</v>
      </c>
      <c r="F8" s="12" t="n">
        <v>9</v>
      </c>
      <c r="G8" s="12" t="n">
        <v>7</v>
      </c>
      <c r="H8" s="12" t="n">
        <v>7</v>
      </c>
      <c r="I8" s="12" t="n">
        <v>9</v>
      </c>
      <c r="J8" s="12" t="n">
        <v>8</v>
      </c>
      <c r="K8" s="12" t="n">
        <f aca="false">SUM(D8:J8)/7</f>
        <v>6.71428571428571</v>
      </c>
      <c r="L8" s="12" t="n">
        <f aca="false">(COUNT(D8:J8)*5)-K8</f>
        <v>28.2857142857143</v>
      </c>
      <c r="M8" s="15" t="n">
        <f aca="false">L8/(COUNT(D8:J8)*5)</f>
        <v>0.808163265306122</v>
      </c>
      <c r="N8" s="16"/>
    </row>
    <row r="9" customFormat="false" ht="24" hidden="false" customHeight="true" outlineLevel="0" collapsed="false">
      <c r="A9" s="12" t="n">
        <v>4</v>
      </c>
      <c r="B9" s="17" t="n">
        <v>511523205004</v>
      </c>
      <c r="C9" s="18" t="s">
        <v>23</v>
      </c>
      <c r="D9" s="12" t="n">
        <v>7</v>
      </c>
      <c r="E9" s="12" t="n">
        <v>0</v>
      </c>
      <c r="F9" s="12" t="n">
        <v>0</v>
      </c>
      <c r="G9" s="12" t="n">
        <v>0</v>
      </c>
      <c r="H9" s="12" t="n">
        <v>21</v>
      </c>
      <c r="I9" s="12" t="n">
        <v>7</v>
      </c>
      <c r="J9" s="12" t="n">
        <v>1</v>
      </c>
      <c r="K9" s="12" t="n">
        <f aca="false">SUM(D9:J9)/7</f>
        <v>5.14285714285714</v>
      </c>
      <c r="L9" s="12" t="n">
        <f aca="false">(COUNT(D9:J9)*5)-K9</f>
        <v>29.8571428571429</v>
      </c>
      <c r="M9" s="15" t="n">
        <f aca="false">L9/(COUNT(D9:J9)*5)</f>
        <v>0.853061224489796</v>
      </c>
      <c r="N9" s="16"/>
    </row>
    <row r="10" customFormat="false" ht="24" hidden="false" customHeight="true" outlineLevel="0" collapsed="false">
      <c r="A10" s="12" t="n">
        <v>5</v>
      </c>
      <c r="B10" s="17" t="n">
        <v>511523205005</v>
      </c>
      <c r="C10" s="18" t="s">
        <v>24</v>
      </c>
      <c r="D10" s="12" t="n">
        <v>28</v>
      </c>
      <c r="E10" s="12" t="n">
        <v>17</v>
      </c>
      <c r="F10" s="12" t="n">
        <v>24</v>
      </c>
      <c r="G10" s="12" t="n">
        <v>7</v>
      </c>
      <c r="H10" s="12" t="n">
        <v>7</v>
      </c>
      <c r="I10" s="12" t="n">
        <v>14</v>
      </c>
      <c r="J10" s="12" t="n">
        <v>8</v>
      </c>
      <c r="K10" s="12" t="n">
        <f aca="false">SUM(D10:J10)/7</f>
        <v>15</v>
      </c>
      <c r="L10" s="12" t="n">
        <f aca="false">(COUNT(D10:J10)*5)-K10</f>
        <v>20</v>
      </c>
      <c r="M10" s="15" t="n">
        <f aca="false">L10/(COUNT(D10:J10)*5)</f>
        <v>0.571428571428571</v>
      </c>
      <c r="N10" s="16"/>
    </row>
    <row r="11" customFormat="false" ht="24" hidden="false" customHeight="true" outlineLevel="0" collapsed="false">
      <c r="A11" s="12" t="n">
        <v>6</v>
      </c>
      <c r="B11" s="17" t="n">
        <v>511523205006</v>
      </c>
      <c r="C11" s="18" t="s">
        <v>25</v>
      </c>
      <c r="D11" s="12" t="n">
        <v>28</v>
      </c>
      <c r="E11" s="12" t="n">
        <v>0</v>
      </c>
      <c r="F11" s="12" t="n">
        <v>17</v>
      </c>
      <c r="G11" s="12" t="n">
        <v>0</v>
      </c>
      <c r="H11" s="12" t="n">
        <v>0</v>
      </c>
      <c r="I11" s="12" t="n">
        <v>9</v>
      </c>
      <c r="J11" s="12" t="n">
        <v>14</v>
      </c>
      <c r="K11" s="12" t="n">
        <f aca="false">SUM(D11:J11)/7</f>
        <v>9.71428571428571</v>
      </c>
      <c r="L11" s="12" t="n">
        <f aca="false">(COUNT(D11:J11)*5)-K11</f>
        <v>25.2857142857143</v>
      </c>
      <c r="M11" s="15" t="n">
        <f aca="false">L11/(COUNT(D11:J11)*5)</f>
        <v>0.722448979591837</v>
      </c>
      <c r="N11" s="16"/>
    </row>
    <row r="12" customFormat="false" ht="24" hidden="false" customHeight="true" outlineLevel="0" collapsed="false">
      <c r="A12" s="12" t="n">
        <v>7</v>
      </c>
      <c r="B12" s="17" t="n">
        <v>511523205007</v>
      </c>
      <c r="C12" s="18" t="s">
        <v>26</v>
      </c>
      <c r="D12" s="12" t="n">
        <v>28</v>
      </c>
      <c r="E12" s="12" t="n">
        <v>6</v>
      </c>
      <c r="F12" s="12" t="n">
        <v>14</v>
      </c>
      <c r="G12" s="12" t="n">
        <v>21</v>
      </c>
      <c r="H12" s="12" t="n">
        <v>21</v>
      </c>
      <c r="I12" s="12" t="n">
        <v>14</v>
      </c>
      <c r="J12" s="12" t="n">
        <v>8</v>
      </c>
      <c r="K12" s="12" t="n">
        <f aca="false">SUM(D12:J12)/7</f>
        <v>16</v>
      </c>
      <c r="L12" s="12" t="n">
        <f aca="false">(COUNT(D12:J12)*5)-K12</f>
        <v>19</v>
      </c>
      <c r="M12" s="15" t="n">
        <f aca="false">L12/(COUNT(D12:J12)*5)</f>
        <v>0.542857142857143</v>
      </c>
      <c r="N12" s="16"/>
    </row>
    <row r="13" customFormat="false" ht="24" hidden="false" customHeight="true" outlineLevel="0" collapsed="false">
      <c r="A13" s="12" t="n">
        <v>8</v>
      </c>
      <c r="B13" s="17" t="n">
        <v>511523205008</v>
      </c>
      <c r="C13" s="18" t="s">
        <v>27</v>
      </c>
      <c r="D13" s="12" t="n">
        <v>28</v>
      </c>
      <c r="E13" s="12" t="n">
        <v>3</v>
      </c>
      <c r="F13" s="12" t="n">
        <v>0</v>
      </c>
      <c r="G13" s="12" t="n">
        <v>0</v>
      </c>
      <c r="H13" s="12" t="n">
        <v>21</v>
      </c>
      <c r="I13" s="12" t="n">
        <v>14</v>
      </c>
      <c r="J13" s="12" t="n">
        <v>19</v>
      </c>
      <c r="K13" s="12" t="n">
        <f aca="false">SUM(D13:J13)/7</f>
        <v>12.1428571428571</v>
      </c>
      <c r="L13" s="12" t="n">
        <f aca="false">(COUNT(D13:J13)*5)-K13</f>
        <v>22.8571428571429</v>
      </c>
      <c r="M13" s="15" t="n">
        <f aca="false">L13/(COUNT(D13:J13)*5)</f>
        <v>0.653061224489796</v>
      </c>
      <c r="N13" s="16"/>
    </row>
    <row r="14" customFormat="false" ht="24" hidden="false" customHeight="true" outlineLevel="0" collapsed="false">
      <c r="A14" s="12" t="n">
        <v>9</v>
      </c>
      <c r="B14" s="17" t="n">
        <v>511523205009</v>
      </c>
      <c r="C14" s="18" t="s">
        <v>28</v>
      </c>
      <c r="D14" s="12" t="n">
        <v>35</v>
      </c>
      <c r="E14" s="12" t="n">
        <v>35</v>
      </c>
      <c r="F14" s="12" t="n">
        <v>35</v>
      </c>
      <c r="G14" s="12" t="n">
        <v>35</v>
      </c>
      <c r="H14" s="12" t="n">
        <v>29</v>
      </c>
      <c r="I14" s="12" t="n">
        <v>21</v>
      </c>
      <c r="J14" s="12" t="n">
        <v>9</v>
      </c>
      <c r="K14" s="12" t="n">
        <f aca="false">SUM(D14:J14)/7</f>
        <v>28.4285714285714</v>
      </c>
      <c r="L14" s="12" t="n">
        <f aca="false">(COUNT(D14:J14)*5)-K14</f>
        <v>6.57142857142857</v>
      </c>
      <c r="M14" s="15" t="n">
        <f aca="false">L14/(COUNT(D14:J14)*5)</f>
        <v>0.187755102040816</v>
      </c>
      <c r="N14" s="16"/>
    </row>
    <row r="15" customFormat="false" ht="24" hidden="false" customHeight="true" outlineLevel="0" collapsed="false">
      <c r="A15" s="12" t="n">
        <v>10</v>
      </c>
      <c r="B15" s="17" t="n">
        <v>511523205010</v>
      </c>
      <c r="C15" s="18" t="s">
        <v>29</v>
      </c>
      <c r="D15" s="12" t="n">
        <v>14</v>
      </c>
      <c r="E15" s="12" t="n">
        <v>0</v>
      </c>
      <c r="F15" s="12" t="n">
        <v>35</v>
      </c>
      <c r="G15" s="12" t="n">
        <v>0</v>
      </c>
      <c r="H15" s="12" t="n">
        <v>3</v>
      </c>
      <c r="I15" s="12" t="n">
        <v>17</v>
      </c>
      <c r="J15" s="12" t="n">
        <v>7</v>
      </c>
      <c r="K15" s="12" t="n">
        <f aca="false">SUM(D15:J15)/7</f>
        <v>10.8571428571429</v>
      </c>
      <c r="L15" s="12" t="n">
        <f aca="false">(COUNT(D15:J15)*5)-K15</f>
        <v>24.1428571428571</v>
      </c>
      <c r="M15" s="15" t="n">
        <f aca="false">L15/(COUNT(D15:J15)*5)</f>
        <v>0.689795918367347</v>
      </c>
      <c r="N15" s="16"/>
    </row>
    <row r="16" customFormat="false" ht="24" hidden="false" customHeight="true" outlineLevel="0" collapsed="false">
      <c r="A16" s="12" t="n">
        <v>11</v>
      </c>
      <c r="B16" s="17" t="n">
        <v>511523205011</v>
      </c>
      <c r="C16" s="18" t="s">
        <v>30</v>
      </c>
      <c r="D16" s="12" t="n">
        <v>21</v>
      </c>
      <c r="E16" s="12" t="n">
        <v>0</v>
      </c>
      <c r="F16" s="12" t="n">
        <v>3</v>
      </c>
      <c r="G16" s="12" t="n">
        <v>0</v>
      </c>
      <c r="H16" s="12" t="n">
        <v>10</v>
      </c>
      <c r="I16" s="12" t="n">
        <v>7</v>
      </c>
      <c r="J16" s="12" t="n">
        <v>0</v>
      </c>
      <c r="K16" s="12" t="n">
        <f aca="false">SUM(D16:J16)/7</f>
        <v>5.85714285714286</v>
      </c>
      <c r="L16" s="12" t="n">
        <f aca="false">(COUNT(D16:J16)*5)-K16</f>
        <v>29.1428571428571</v>
      </c>
      <c r="M16" s="15" t="n">
        <f aca="false">L16/(COUNT(D16:J16)*5)</f>
        <v>0.83265306122449</v>
      </c>
      <c r="N16" s="16"/>
    </row>
    <row r="17" customFormat="false" ht="24" hidden="false" customHeight="true" outlineLevel="0" collapsed="false">
      <c r="A17" s="12" t="n">
        <v>12</v>
      </c>
      <c r="B17" s="17" t="n">
        <v>511523205012</v>
      </c>
      <c r="C17" s="18" t="s">
        <v>31</v>
      </c>
      <c r="D17" s="12" t="n">
        <v>14</v>
      </c>
      <c r="E17" s="12" t="n">
        <v>0</v>
      </c>
      <c r="F17" s="12" t="n">
        <v>9</v>
      </c>
      <c r="G17" s="12" t="n">
        <v>0</v>
      </c>
      <c r="H17" s="12" t="n">
        <v>3</v>
      </c>
      <c r="I17" s="12" t="n">
        <v>21</v>
      </c>
      <c r="J17" s="12" t="n">
        <v>7</v>
      </c>
      <c r="K17" s="12" t="n">
        <f aca="false">SUM(D17:J17)/7</f>
        <v>7.71428571428571</v>
      </c>
      <c r="L17" s="12" t="n">
        <f aca="false">(COUNT(D17:J17)*5)-K17</f>
        <v>27.2857142857143</v>
      </c>
      <c r="M17" s="15" t="n">
        <f aca="false">L17/(COUNT(D17:J17)*5)</f>
        <v>0.779591836734694</v>
      </c>
      <c r="N17" s="16"/>
    </row>
    <row r="18" customFormat="false" ht="24" hidden="false" customHeight="true" outlineLevel="0" collapsed="false">
      <c r="A18" s="12" t="n">
        <v>13</v>
      </c>
      <c r="B18" s="17" t="n">
        <v>511523205013</v>
      </c>
      <c r="C18" s="18" t="s">
        <v>32</v>
      </c>
      <c r="D18" s="12" t="n">
        <v>35</v>
      </c>
      <c r="E18" s="12" t="n">
        <v>35</v>
      </c>
      <c r="F18" s="12" t="n">
        <v>35</v>
      </c>
      <c r="G18" s="12" t="n">
        <v>35</v>
      </c>
      <c r="H18" s="12" t="n">
        <v>35</v>
      </c>
      <c r="I18" s="12" t="n">
        <v>7</v>
      </c>
      <c r="J18" s="12" t="n">
        <v>0</v>
      </c>
      <c r="K18" s="12" t="n">
        <f aca="false">SUM(D18:J18)/7</f>
        <v>26</v>
      </c>
      <c r="L18" s="12" t="n">
        <f aca="false">(COUNT(D18:J18)*5)-K18</f>
        <v>9</v>
      </c>
      <c r="M18" s="15" t="n">
        <f aca="false">L18/(COUNT(D18:J18)*5)</f>
        <v>0.257142857142857</v>
      </c>
      <c r="N18" s="16"/>
    </row>
    <row r="19" customFormat="false" ht="24" hidden="false" customHeight="true" outlineLevel="0" collapsed="false">
      <c r="A19" s="12" t="n">
        <v>14</v>
      </c>
      <c r="B19" s="17" t="n">
        <v>511523205014</v>
      </c>
      <c r="C19" s="18" t="s">
        <v>33</v>
      </c>
      <c r="D19" s="12" t="n">
        <v>7</v>
      </c>
      <c r="E19" s="12" t="n">
        <v>0</v>
      </c>
      <c r="F19" s="12" t="n">
        <v>7</v>
      </c>
      <c r="G19" s="12" t="n">
        <v>0</v>
      </c>
      <c r="H19" s="12" t="n">
        <v>11</v>
      </c>
      <c r="I19" s="12" t="n">
        <v>21</v>
      </c>
      <c r="J19" s="12" t="n">
        <v>14</v>
      </c>
      <c r="K19" s="12" t="n">
        <f aca="false">SUM(D19:J19)/7</f>
        <v>8.57142857142857</v>
      </c>
      <c r="L19" s="12" t="n">
        <f aca="false">(COUNT(D19:J19)*5)-K19</f>
        <v>26.4285714285714</v>
      </c>
      <c r="M19" s="15" t="n">
        <f aca="false">L19/(COUNT(D19:J19)*5)</f>
        <v>0.755102040816327</v>
      </c>
      <c r="N19" s="16"/>
    </row>
    <row r="20" customFormat="false" ht="24" hidden="false" customHeight="true" outlineLevel="0" collapsed="false">
      <c r="A20" s="12" t="n">
        <v>15</v>
      </c>
      <c r="B20" s="17" t="n">
        <v>511523205015</v>
      </c>
      <c r="C20" s="18" t="s">
        <v>34</v>
      </c>
      <c r="D20" s="12" t="n">
        <v>7</v>
      </c>
      <c r="E20" s="12" t="n">
        <v>0</v>
      </c>
      <c r="F20" s="12" t="n">
        <v>0</v>
      </c>
      <c r="G20" s="12" t="n">
        <v>0</v>
      </c>
      <c r="H20" s="12" t="n">
        <v>3</v>
      </c>
      <c r="I20" s="12" t="n">
        <v>9</v>
      </c>
      <c r="J20" s="12" t="n">
        <v>11</v>
      </c>
      <c r="K20" s="12" t="n">
        <f aca="false">SUM(D20:J20)/7</f>
        <v>4.28571428571429</v>
      </c>
      <c r="L20" s="12" t="n">
        <f aca="false">(COUNT(D20:J20)*5)-K20</f>
        <v>30.7142857142857</v>
      </c>
      <c r="M20" s="15" t="n">
        <f aca="false">L20/(COUNT(D20:J20)*5)</f>
        <v>0.877551020408163</v>
      </c>
      <c r="N20" s="16"/>
    </row>
    <row r="21" customFormat="false" ht="24" hidden="false" customHeight="true" outlineLevel="0" collapsed="false">
      <c r="A21" s="12" t="n">
        <v>16</v>
      </c>
      <c r="B21" s="17" t="n">
        <v>511523205016</v>
      </c>
      <c r="C21" s="18" t="s">
        <v>35</v>
      </c>
      <c r="D21" s="12" t="n">
        <v>21</v>
      </c>
      <c r="E21" s="12" t="n">
        <v>7</v>
      </c>
      <c r="F21" s="12" t="n">
        <v>14</v>
      </c>
      <c r="G21" s="12" t="n">
        <v>0</v>
      </c>
      <c r="H21" s="12" t="n">
        <v>14</v>
      </c>
      <c r="I21" s="12" t="n">
        <v>7</v>
      </c>
      <c r="J21" s="12" t="n">
        <v>10</v>
      </c>
      <c r="K21" s="12" t="n">
        <f aca="false">SUM(D21:J21)/7</f>
        <v>10.4285714285714</v>
      </c>
      <c r="L21" s="12" t="n">
        <f aca="false">(COUNT(D21:J21)*5)-K21</f>
        <v>24.5714285714286</v>
      </c>
      <c r="M21" s="15" t="n">
        <f aca="false">L21/(COUNT(D21:J21)*5)</f>
        <v>0.702040816326531</v>
      </c>
      <c r="N21" s="16"/>
    </row>
    <row r="22" customFormat="false" ht="24" hidden="false" customHeight="true" outlineLevel="0" collapsed="false">
      <c r="A22" s="12" t="n">
        <v>17</v>
      </c>
      <c r="B22" s="17" t="n">
        <v>511523205017</v>
      </c>
      <c r="C22" s="18" t="s">
        <v>36</v>
      </c>
      <c r="D22" s="12" t="n">
        <v>21</v>
      </c>
      <c r="E22" s="12" t="n">
        <v>0</v>
      </c>
      <c r="F22" s="12" t="n">
        <v>14</v>
      </c>
      <c r="G22" s="12" t="n">
        <v>0</v>
      </c>
      <c r="H22" s="12" t="n">
        <v>3</v>
      </c>
      <c r="I22" s="12" t="n">
        <v>0</v>
      </c>
      <c r="J22" s="12" t="n">
        <v>1</v>
      </c>
      <c r="K22" s="12" t="n">
        <f aca="false">SUM(D22:J22)/7</f>
        <v>5.57142857142857</v>
      </c>
      <c r="L22" s="12" t="n">
        <f aca="false">(COUNT(D22:J22)*5)-K22</f>
        <v>29.4285714285714</v>
      </c>
      <c r="M22" s="15" t="n">
        <f aca="false">L22/(COUNT(D22:J22)*5)</f>
        <v>0.840816326530612</v>
      </c>
      <c r="N22" s="16"/>
    </row>
    <row r="23" customFormat="false" ht="24" hidden="false" customHeight="true" outlineLevel="0" collapsed="false">
      <c r="A23" s="12" t="n">
        <v>18</v>
      </c>
      <c r="B23" s="19" t="n">
        <v>511523205018</v>
      </c>
      <c r="C23" s="20" t="s">
        <v>37</v>
      </c>
      <c r="D23" s="12" t="n">
        <v>21</v>
      </c>
      <c r="E23" s="12" t="n">
        <v>0</v>
      </c>
      <c r="F23" s="12" t="n">
        <v>14</v>
      </c>
      <c r="G23" s="12" t="n">
        <v>21</v>
      </c>
      <c r="H23" s="12" t="n">
        <v>0</v>
      </c>
      <c r="I23" s="12" t="n">
        <v>7</v>
      </c>
      <c r="J23" s="12" t="n">
        <v>1</v>
      </c>
      <c r="K23" s="12" t="n">
        <f aca="false">SUM(D23:J23)/7</f>
        <v>9.14285714285714</v>
      </c>
      <c r="L23" s="12" t="n">
        <f aca="false">(COUNT(D23:J23)*5)-K23</f>
        <v>25.8571428571429</v>
      </c>
      <c r="M23" s="15" t="n">
        <f aca="false">L23/(COUNT(D23:J23)*5)</f>
        <v>0.738775510204082</v>
      </c>
      <c r="N23" s="16"/>
    </row>
    <row r="24" customFormat="false" ht="24" hidden="false" customHeight="true" outlineLevel="0" collapsed="false">
      <c r="A24" s="12" t="n">
        <v>19</v>
      </c>
      <c r="B24" s="17" t="n">
        <v>511523205019</v>
      </c>
      <c r="C24" s="18" t="s">
        <v>38</v>
      </c>
      <c r="D24" s="12" t="n">
        <v>0</v>
      </c>
      <c r="E24" s="12" t="n">
        <v>7</v>
      </c>
      <c r="F24" s="12" t="n">
        <v>0</v>
      </c>
      <c r="G24" s="12" t="n">
        <v>14</v>
      </c>
      <c r="H24" s="12" t="n">
        <v>21</v>
      </c>
      <c r="I24" s="12" t="n">
        <v>0</v>
      </c>
      <c r="J24" s="12" t="n">
        <v>0</v>
      </c>
      <c r="K24" s="12" t="n">
        <f aca="false">SUM(D24:J24)/7</f>
        <v>6</v>
      </c>
      <c r="L24" s="12" t="n">
        <f aca="false">(COUNT(D24:J24)*5)-K24</f>
        <v>29</v>
      </c>
      <c r="M24" s="15" t="n">
        <f aca="false">L24/(COUNT(D24:J24)*5)</f>
        <v>0.828571428571429</v>
      </c>
      <c r="N24" s="16"/>
    </row>
    <row r="25" customFormat="false" ht="24" hidden="false" customHeight="true" outlineLevel="0" collapsed="false">
      <c r="A25" s="12" t="n">
        <v>20</v>
      </c>
      <c r="B25" s="17" t="n">
        <v>511523205020</v>
      </c>
      <c r="C25" s="18" t="s">
        <v>39</v>
      </c>
      <c r="D25" s="12" t="n">
        <v>21</v>
      </c>
      <c r="E25" s="12" t="n">
        <v>0</v>
      </c>
      <c r="F25" s="12" t="n">
        <v>7</v>
      </c>
      <c r="G25" s="12" t="n">
        <v>0</v>
      </c>
      <c r="H25" s="12" t="n">
        <v>7</v>
      </c>
      <c r="I25" s="12" t="n">
        <v>7</v>
      </c>
      <c r="J25" s="12" t="n">
        <v>7</v>
      </c>
      <c r="K25" s="12" t="n">
        <f aca="false">SUM(D25:J25)/7</f>
        <v>7</v>
      </c>
      <c r="L25" s="12" t="n">
        <f aca="false">(COUNT(D25:J25)*5)-K25</f>
        <v>28</v>
      </c>
      <c r="M25" s="15" t="n">
        <f aca="false">L25/(COUNT(D25:J25)*5)</f>
        <v>0.8</v>
      </c>
      <c r="N25" s="16"/>
    </row>
    <row r="26" customFormat="false" ht="24" hidden="false" customHeight="true" outlineLevel="0" collapsed="false">
      <c r="A26" s="12" t="n">
        <v>21</v>
      </c>
      <c r="B26" s="17" t="n">
        <v>511523205021</v>
      </c>
      <c r="C26" s="18" t="s">
        <v>40</v>
      </c>
      <c r="D26" s="12" t="n">
        <v>14</v>
      </c>
      <c r="E26" s="12" t="n">
        <v>0</v>
      </c>
      <c r="F26" s="12" t="n">
        <v>9</v>
      </c>
      <c r="G26" s="12" t="n">
        <v>14</v>
      </c>
      <c r="H26" s="12" t="n">
        <v>0</v>
      </c>
      <c r="I26" s="12" t="n">
        <v>14</v>
      </c>
      <c r="J26" s="12" t="n">
        <v>7</v>
      </c>
      <c r="K26" s="12" t="n">
        <f aca="false">SUM(D26:J26)/7</f>
        <v>8.28571428571429</v>
      </c>
      <c r="L26" s="12" t="n">
        <f aca="false">(COUNT(D26:J26)*5)-K26</f>
        <v>26.7142857142857</v>
      </c>
      <c r="M26" s="15" t="n">
        <f aca="false">L26/(COUNT(D26:J26)*5)</f>
        <v>0.763265306122449</v>
      </c>
      <c r="N26" s="16"/>
    </row>
    <row r="27" customFormat="false" ht="24" hidden="false" customHeight="true" outlineLevel="0" collapsed="false">
      <c r="A27" s="12" t="n">
        <v>22</v>
      </c>
      <c r="B27" s="17" t="n">
        <v>511523205023</v>
      </c>
      <c r="C27" s="18" t="s">
        <v>41</v>
      </c>
      <c r="D27" s="12" t="n">
        <v>0</v>
      </c>
      <c r="E27" s="12" t="n">
        <v>0</v>
      </c>
      <c r="F27" s="12" t="n">
        <v>7</v>
      </c>
      <c r="G27" s="12" t="n">
        <v>0</v>
      </c>
      <c r="H27" s="12" t="n">
        <v>14</v>
      </c>
      <c r="I27" s="12" t="n">
        <v>0</v>
      </c>
      <c r="J27" s="12" t="n">
        <v>0</v>
      </c>
      <c r="K27" s="12" t="n">
        <f aca="false">SUM(D27:J27)/7</f>
        <v>3</v>
      </c>
      <c r="L27" s="12" t="n">
        <f aca="false">(COUNT(D27:J27)*5)-K27</f>
        <v>32</v>
      </c>
      <c r="M27" s="15" t="n">
        <f aca="false">L27/(COUNT(D27:J27)*5)</f>
        <v>0.914285714285714</v>
      </c>
      <c r="N27" s="16"/>
    </row>
    <row r="28" customFormat="false" ht="24" hidden="false" customHeight="true" outlineLevel="0" collapsed="false">
      <c r="A28" s="12" t="n">
        <v>23</v>
      </c>
      <c r="B28" s="17" t="n">
        <v>511523205025</v>
      </c>
      <c r="C28" s="18" t="s">
        <v>42</v>
      </c>
      <c r="D28" s="12" t="n">
        <v>7</v>
      </c>
      <c r="E28" s="12" t="n">
        <v>7</v>
      </c>
      <c r="F28" s="12" t="n">
        <v>7</v>
      </c>
      <c r="G28" s="12" t="n">
        <v>7</v>
      </c>
      <c r="H28" s="12" t="n">
        <v>0</v>
      </c>
      <c r="I28" s="12" t="n">
        <v>3</v>
      </c>
      <c r="J28" s="12" t="n">
        <v>15</v>
      </c>
      <c r="K28" s="12" t="n">
        <f aca="false">SUM(D28:J28)/7</f>
        <v>6.57142857142857</v>
      </c>
      <c r="L28" s="12" t="n">
        <f aca="false">(COUNT(D28:J28)*5)-K28</f>
        <v>28.4285714285714</v>
      </c>
      <c r="M28" s="15" t="n">
        <f aca="false">L28/(COUNT(D28:J28)*5)</f>
        <v>0.812244897959184</v>
      </c>
      <c r="N28" s="16"/>
    </row>
    <row r="29" customFormat="false" ht="24" hidden="false" customHeight="true" outlineLevel="0" collapsed="false">
      <c r="A29" s="12" t="n">
        <v>24</v>
      </c>
      <c r="B29" s="17" t="n">
        <v>511523205026</v>
      </c>
      <c r="C29" s="18" t="s">
        <v>43</v>
      </c>
      <c r="D29" s="12" t="n">
        <v>7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1</v>
      </c>
      <c r="K29" s="12" t="n">
        <f aca="false">SUM(D29:J29)/7</f>
        <v>1.14285714285714</v>
      </c>
      <c r="L29" s="12" t="n">
        <f aca="false">(COUNT(D29:J29)*5)-K29</f>
        <v>33.8571428571429</v>
      </c>
      <c r="M29" s="15" t="n">
        <f aca="false">L29/(COUNT(D29:J29)*5)</f>
        <v>0.96734693877551</v>
      </c>
      <c r="N29" s="16"/>
    </row>
    <row r="30" customFormat="false" ht="24" hidden="false" customHeight="true" outlineLevel="0" collapsed="false">
      <c r="A30" s="12" t="n">
        <v>25</v>
      </c>
      <c r="B30" s="17" t="n">
        <v>511523205027</v>
      </c>
      <c r="C30" s="18" t="s">
        <v>44</v>
      </c>
      <c r="D30" s="12" t="n">
        <v>21</v>
      </c>
      <c r="E30" s="12" t="n">
        <v>7</v>
      </c>
      <c r="F30" s="12" t="n">
        <v>14</v>
      </c>
      <c r="G30" s="12" t="n">
        <v>7</v>
      </c>
      <c r="H30" s="12" t="n">
        <v>14</v>
      </c>
      <c r="I30" s="12" t="n">
        <v>14</v>
      </c>
      <c r="J30" s="12" t="n">
        <v>14</v>
      </c>
      <c r="K30" s="12" t="n">
        <f aca="false">SUM(D30:J30)/7</f>
        <v>13</v>
      </c>
      <c r="L30" s="12" t="n">
        <f aca="false">(COUNT(D30:J30)*5)-K30</f>
        <v>22</v>
      </c>
      <c r="M30" s="15" t="n">
        <f aca="false">L30/(COUNT(D30:J30)*5)</f>
        <v>0.628571428571429</v>
      </c>
      <c r="N30" s="16"/>
    </row>
    <row r="31" customFormat="false" ht="24" hidden="false" customHeight="true" outlineLevel="0" collapsed="false">
      <c r="A31" s="12" t="n">
        <v>26</v>
      </c>
      <c r="B31" s="17" t="n">
        <v>511523205028</v>
      </c>
      <c r="C31" s="18" t="s">
        <v>45</v>
      </c>
      <c r="D31" s="12" t="n">
        <v>7</v>
      </c>
      <c r="E31" s="12" t="n">
        <v>7</v>
      </c>
      <c r="F31" s="12" t="n">
        <v>7</v>
      </c>
      <c r="G31" s="12" t="n">
        <v>0</v>
      </c>
      <c r="H31" s="12" t="n">
        <v>0</v>
      </c>
      <c r="I31" s="12" t="n">
        <v>7</v>
      </c>
      <c r="J31" s="12" t="n">
        <v>10</v>
      </c>
      <c r="K31" s="12" t="n">
        <f aca="false">SUM(D31:J31)/7</f>
        <v>5.42857142857143</v>
      </c>
      <c r="L31" s="12" t="n">
        <f aca="false">(COUNT(D31:J31)*5)-K31</f>
        <v>29.5714285714286</v>
      </c>
      <c r="M31" s="15" t="n">
        <f aca="false">L31/(COUNT(D31:J31)*5)</f>
        <v>0.844897959183673</v>
      </c>
      <c r="N31" s="16"/>
    </row>
    <row r="32" customFormat="false" ht="24" hidden="false" customHeight="true" outlineLevel="0" collapsed="false">
      <c r="A32" s="12" t="n">
        <v>27</v>
      </c>
      <c r="B32" s="17" t="n">
        <v>511523205029</v>
      </c>
      <c r="C32" s="18" t="s">
        <v>46</v>
      </c>
      <c r="D32" s="12" t="n">
        <v>7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1</v>
      </c>
      <c r="K32" s="12" t="n">
        <f aca="false">SUM(D32:J32)/7</f>
        <v>1.14285714285714</v>
      </c>
      <c r="L32" s="12" t="n">
        <f aca="false">(COUNT(D32:J32)*5)-K32</f>
        <v>33.8571428571429</v>
      </c>
      <c r="M32" s="15" t="n">
        <f aca="false">L32/(COUNT(D32:J32)*5)</f>
        <v>0.96734693877551</v>
      </c>
      <c r="N32" s="16"/>
    </row>
    <row r="33" customFormat="false" ht="24" hidden="false" customHeight="true" outlineLevel="0" collapsed="false">
      <c r="A33" s="12" t="n">
        <v>28</v>
      </c>
      <c r="B33" s="17" t="n">
        <v>511523205030</v>
      </c>
      <c r="C33" s="18" t="s">
        <v>47</v>
      </c>
      <c r="D33" s="12" t="n">
        <v>0</v>
      </c>
      <c r="E33" s="12" t="n">
        <v>0</v>
      </c>
      <c r="F33" s="12" t="n">
        <v>14</v>
      </c>
      <c r="G33" s="12" t="n">
        <v>0</v>
      </c>
      <c r="H33" s="12" t="n">
        <v>7</v>
      </c>
      <c r="I33" s="12" t="n">
        <v>0</v>
      </c>
      <c r="J33" s="12" t="n">
        <v>9</v>
      </c>
      <c r="K33" s="12" t="n">
        <f aca="false">SUM(D33:J33)/7</f>
        <v>4.28571428571429</v>
      </c>
      <c r="L33" s="12" t="n">
        <f aca="false">(COUNT(D33:J33)*5)-K33</f>
        <v>30.7142857142857</v>
      </c>
      <c r="M33" s="15" t="n">
        <f aca="false">L33/(COUNT(D33:J33)*5)</f>
        <v>0.877551020408163</v>
      </c>
      <c r="N33" s="16"/>
    </row>
    <row r="34" customFormat="false" ht="24" hidden="false" customHeight="true" outlineLevel="0" collapsed="false">
      <c r="A34" s="12" t="n">
        <v>29</v>
      </c>
      <c r="B34" s="17" t="n">
        <v>511523205031</v>
      </c>
      <c r="C34" s="18" t="s">
        <v>48</v>
      </c>
      <c r="D34" s="12" t="n">
        <v>28</v>
      </c>
      <c r="E34" s="12" t="n">
        <v>7</v>
      </c>
      <c r="F34" s="12" t="n">
        <v>10</v>
      </c>
      <c r="G34" s="12" t="n">
        <v>7</v>
      </c>
      <c r="H34" s="12" t="n">
        <v>15</v>
      </c>
      <c r="I34" s="12" t="n">
        <v>21</v>
      </c>
      <c r="J34" s="12" t="n">
        <v>17</v>
      </c>
      <c r="K34" s="12" t="n">
        <f aca="false">SUM(D34:J34)/7</f>
        <v>15</v>
      </c>
      <c r="L34" s="12" t="n">
        <f aca="false">(COUNT(D34:J34)*5)-K34</f>
        <v>20</v>
      </c>
      <c r="M34" s="15" t="n">
        <f aca="false">L34/(COUNT(D34:J34)*5)</f>
        <v>0.571428571428571</v>
      </c>
      <c r="N34" s="16"/>
    </row>
    <row r="35" customFormat="false" ht="24" hidden="false" customHeight="true" outlineLevel="0" collapsed="false">
      <c r="A35" s="12" t="n">
        <v>30</v>
      </c>
      <c r="B35" s="17" t="n">
        <v>511523205032</v>
      </c>
      <c r="C35" s="18" t="s">
        <v>49</v>
      </c>
      <c r="D35" s="12" t="n">
        <v>0</v>
      </c>
      <c r="E35" s="12" t="n">
        <v>7</v>
      </c>
      <c r="F35" s="12" t="n">
        <v>7</v>
      </c>
      <c r="G35" s="12" t="n">
        <v>0</v>
      </c>
      <c r="H35" s="12" t="n">
        <v>0</v>
      </c>
      <c r="I35" s="12" t="n">
        <v>9</v>
      </c>
      <c r="J35" s="12" t="n">
        <v>15</v>
      </c>
      <c r="K35" s="12" t="n">
        <f aca="false">SUM(D35:J35)/7</f>
        <v>5.42857142857143</v>
      </c>
      <c r="L35" s="12" t="n">
        <f aca="false">(COUNT(D35:J35)*5)-K35</f>
        <v>29.5714285714286</v>
      </c>
      <c r="M35" s="15" t="n">
        <f aca="false">L35/(COUNT(D35:J35)*5)</f>
        <v>0.844897959183673</v>
      </c>
      <c r="N35" s="16"/>
    </row>
    <row r="36" customFormat="false" ht="24" hidden="false" customHeight="true" outlineLevel="0" collapsed="false">
      <c r="A36" s="12" t="n">
        <v>31</v>
      </c>
      <c r="B36" s="17" t="n">
        <v>511523205033</v>
      </c>
      <c r="C36" s="18" t="s">
        <v>50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7</v>
      </c>
      <c r="I36" s="12" t="n">
        <v>0</v>
      </c>
      <c r="J36" s="12" t="n">
        <v>1</v>
      </c>
      <c r="K36" s="12" t="n">
        <f aca="false">SUM(D36:J36)/7</f>
        <v>1.14285714285714</v>
      </c>
      <c r="L36" s="12" t="n">
        <f aca="false">(COUNT(D36:J36)*5)-K36</f>
        <v>33.8571428571429</v>
      </c>
      <c r="M36" s="15" t="n">
        <f aca="false">L36/(COUNT(D36:J36)*5)</f>
        <v>0.96734693877551</v>
      </c>
      <c r="N36" s="16"/>
    </row>
    <row r="37" customFormat="false" ht="24" hidden="false" customHeight="true" outlineLevel="0" collapsed="false">
      <c r="A37" s="12" t="n">
        <v>32</v>
      </c>
      <c r="B37" s="17" t="n">
        <v>511523205034</v>
      </c>
      <c r="C37" s="18" t="s">
        <v>51</v>
      </c>
      <c r="D37" s="12" t="n">
        <v>14</v>
      </c>
      <c r="E37" s="12" t="n">
        <v>0</v>
      </c>
      <c r="F37" s="12" t="n">
        <v>14</v>
      </c>
      <c r="G37" s="12" t="n">
        <v>7</v>
      </c>
      <c r="H37" s="12" t="n">
        <v>0</v>
      </c>
      <c r="I37" s="12" t="n">
        <v>14</v>
      </c>
      <c r="J37" s="12" t="n">
        <v>9</v>
      </c>
      <c r="K37" s="12" t="n">
        <f aca="false">SUM(D37:J37)/7</f>
        <v>8.28571428571429</v>
      </c>
      <c r="L37" s="12" t="n">
        <f aca="false">(COUNT(D37:J37)*5)-K37</f>
        <v>26.7142857142857</v>
      </c>
      <c r="M37" s="15" t="n">
        <f aca="false">L37/(COUNT(D37:J37)*5)</f>
        <v>0.763265306122449</v>
      </c>
      <c r="N37" s="16"/>
    </row>
    <row r="38" customFormat="false" ht="24" hidden="false" customHeight="true" outlineLevel="0" collapsed="false">
      <c r="A38" s="12" t="n">
        <v>33</v>
      </c>
      <c r="B38" s="17" t="n">
        <v>511523205035</v>
      </c>
      <c r="C38" s="18" t="s">
        <v>52</v>
      </c>
      <c r="D38" s="12" t="n">
        <v>7</v>
      </c>
      <c r="E38" s="12" t="n">
        <v>0</v>
      </c>
      <c r="F38" s="12" t="n">
        <v>9</v>
      </c>
      <c r="G38" s="12" t="n">
        <v>7</v>
      </c>
      <c r="H38" s="12" t="n">
        <v>0</v>
      </c>
      <c r="I38" s="12" t="n">
        <v>7</v>
      </c>
      <c r="J38" s="12" t="n">
        <v>7</v>
      </c>
      <c r="K38" s="12" t="n">
        <f aca="false">SUM(D38:J38)/7</f>
        <v>5.28571428571429</v>
      </c>
      <c r="L38" s="12" t="n">
        <f aca="false">(COUNT(D38:J38)*5)-K38</f>
        <v>29.7142857142857</v>
      </c>
      <c r="M38" s="15" t="n">
        <f aca="false">L38/(COUNT(D38:J38)*5)</f>
        <v>0.848979591836735</v>
      </c>
      <c r="N38" s="16"/>
    </row>
    <row r="39" customFormat="false" ht="24" hidden="false" customHeight="true" outlineLevel="0" collapsed="false">
      <c r="A39" s="12" t="n">
        <v>34</v>
      </c>
      <c r="B39" s="17" t="n">
        <v>511523205036</v>
      </c>
      <c r="C39" s="18" t="s">
        <v>53</v>
      </c>
      <c r="D39" s="12" t="n">
        <v>7</v>
      </c>
      <c r="E39" s="12" t="n">
        <v>14</v>
      </c>
      <c r="F39" s="12" t="n">
        <v>7</v>
      </c>
      <c r="G39" s="12" t="n">
        <v>5</v>
      </c>
      <c r="H39" s="12" t="n">
        <v>7</v>
      </c>
      <c r="I39" s="12" t="n">
        <v>14</v>
      </c>
      <c r="J39" s="12" t="n">
        <v>7</v>
      </c>
      <c r="K39" s="12" t="n">
        <f aca="false">SUM(D39:J39)/7</f>
        <v>8.71428571428571</v>
      </c>
      <c r="L39" s="12" t="n">
        <f aca="false">(COUNT(D39:J39)*5)-K39</f>
        <v>26.2857142857143</v>
      </c>
      <c r="M39" s="15" t="n">
        <f aca="false">L39/(COUNT(D39:J39)*5)</f>
        <v>0.751020408163265</v>
      </c>
      <c r="N39" s="16"/>
    </row>
    <row r="40" customFormat="false" ht="24" hidden="false" customHeight="true" outlineLevel="0" collapsed="false">
      <c r="A40" s="12" t="n">
        <v>35</v>
      </c>
      <c r="B40" s="17" t="n">
        <v>511523205037</v>
      </c>
      <c r="C40" s="18" t="s">
        <v>54</v>
      </c>
      <c r="D40" s="12" t="n">
        <v>3</v>
      </c>
      <c r="E40" s="12" t="n">
        <v>7</v>
      </c>
      <c r="F40" s="12" t="n">
        <v>0</v>
      </c>
      <c r="G40" s="12" t="n">
        <v>7</v>
      </c>
      <c r="H40" s="12" t="n">
        <v>28</v>
      </c>
      <c r="I40" s="12" t="n">
        <v>0</v>
      </c>
      <c r="J40" s="12" t="n">
        <v>1</v>
      </c>
      <c r="K40" s="12" t="n">
        <f aca="false">SUM(D40:J40)/7</f>
        <v>6.57142857142857</v>
      </c>
      <c r="L40" s="12" t="n">
        <f aca="false">(COUNT(D40:J40)*5)-K40</f>
        <v>28.4285714285714</v>
      </c>
      <c r="M40" s="15" t="n">
        <f aca="false">L40/(COUNT(D40:J40)*5)</f>
        <v>0.812244897959184</v>
      </c>
      <c r="N40" s="16"/>
    </row>
    <row r="41" customFormat="false" ht="24" hidden="false" customHeight="true" outlineLevel="0" collapsed="false">
      <c r="A41" s="12" t="n">
        <v>36</v>
      </c>
      <c r="B41" s="17" t="n">
        <v>511523205038</v>
      </c>
      <c r="C41" s="18" t="s">
        <v>55</v>
      </c>
      <c r="D41" s="12" t="n">
        <v>14</v>
      </c>
      <c r="E41" s="12" t="n">
        <v>0</v>
      </c>
      <c r="F41" s="12" t="n">
        <v>14</v>
      </c>
      <c r="G41" s="12" t="n">
        <v>0</v>
      </c>
      <c r="H41" s="12" t="n">
        <v>0</v>
      </c>
      <c r="I41" s="12" t="n">
        <v>0</v>
      </c>
      <c r="J41" s="12" t="n">
        <v>1</v>
      </c>
      <c r="K41" s="12" t="n">
        <f aca="false">SUM(D41:J41)/7</f>
        <v>4.14285714285714</v>
      </c>
      <c r="L41" s="12" t="n">
        <f aca="false">(COUNT(D41:J41)*5)-K41</f>
        <v>30.8571428571429</v>
      </c>
      <c r="M41" s="15" t="n">
        <f aca="false">L41/(COUNT(D41:J41)*5)</f>
        <v>0.881632653061225</v>
      </c>
      <c r="N41" s="16"/>
    </row>
    <row r="42" customFormat="false" ht="24" hidden="false" customHeight="true" outlineLevel="0" collapsed="false">
      <c r="A42" s="12" t="n">
        <v>37</v>
      </c>
      <c r="B42" s="17" t="n">
        <v>511523205039</v>
      </c>
      <c r="C42" s="18" t="s">
        <v>56</v>
      </c>
      <c r="D42" s="12" t="n">
        <v>7</v>
      </c>
      <c r="E42" s="12" t="n">
        <v>0</v>
      </c>
      <c r="F42" s="12" t="n">
        <v>21</v>
      </c>
      <c r="G42" s="12" t="n">
        <v>28</v>
      </c>
      <c r="H42" s="12" t="n">
        <v>17</v>
      </c>
      <c r="I42" s="12" t="n">
        <v>14</v>
      </c>
      <c r="J42" s="12" t="n">
        <v>7</v>
      </c>
      <c r="K42" s="12" t="n">
        <f aca="false">SUM(D42:J42)/7</f>
        <v>13.4285714285714</v>
      </c>
      <c r="L42" s="12" t="n">
        <f aca="false">(COUNT(D42:J42)*5)-K42</f>
        <v>21.5714285714286</v>
      </c>
      <c r="M42" s="15" t="n">
        <f aca="false">L42/(COUNT(D42:J42)*5)</f>
        <v>0.616326530612245</v>
      </c>
      <c r="N42" s="16"/>
    </row>
    <row r="43" customFormat="false" ht="24" hidden="false" customHeight="true" outlineLevel="0" collapsed="false">
      <c r="A43" s="12" t="n">
        <v>38</v>
      </c>
      <c r="B43" s="17" t="n">
        <v>511523205040</v>
      </c>
      <c r="C43" s="18" t="s">
        <v>57</v>
      </c>
      <c r="D43" s="12" t="n">
        <v>7</v>
      </c>
      <c r="E43" s="12" t="n">
        <v>0</v>
      </c>
      <c r="F43" s="12" t="n">
        <v>7</v>
      </c>
      <c r="G43" s="12" t="n">
        <v>0</v>
      </c>
      <c r="H43" s="12" t="n">
        <v>12</v>
      </c>
      <c r="I43" s="12" t="n">
        <v>0</v>
      </c>
      <c r="J43" s="12" t="n">
        <v>5</v>
      </c>
      <c r="K43" s="12" t="n">
        <f aca="false">SUM(D43:J43)/7</f>
        <v>4.42857142857143</v>
      </c>
      <c r="L43" s="12" t="n">
        <f aca="false">(COUNT(D43:J43)*5)-K43</f>
        <v>30.5714285714286</v>
      </c>
      <c r="M43" s="15" t="n">
        <f aca="false">L43/(COUNT(D43:J43)*5)</f>
        <v>0.873469387755102</v>
      </c>
      <c r="N43" s="16"/>
    </row>
    <row r="44" customFormat="false" ht="24" hidden="false" customHeight="true" outlineLevel="0" collapsed="false">
      <c r="A44" s="12" t="n">
        <v>39</v>
      </c>
      <c r="B44" s="17" t="n">
        <v>511523205041</v>
      </c>
      <c r="C44" s="18" t="s">
        <v>58</v>
      </c>
      <c r="D44" s="12" t="n">
        <v>21</v>
      </c>
      <c r="E44" s="12" t="n">
        <v>0</v>
      </c>
      <c r="F44" s="12" t="n">
        <v>28</v>
      </c>
      <c r="G44" s="12" t="n">
        <v>0</v>
      </c>
      <c r="H44" s="12" t="n">
        <v>9</v>
      </c>
      <c r="I44" s="12" t="n">
        <v>0</v>
      </c>
      <c r="J44" s="12" t="n">
        <v>0</v>
      </c>
      <c r="K44" s="12" t="n">
        <f aca="false">SUM(D44:J44)/7</f>
        <v>8.28571428571429</v>
      </c>
      <c r="L44" s="12" t="n">
        <f aca="false">(COUNT(D44:J44)*5)-K44</f>
        <v>26.7142857142857</v>
      </c>
      <c r="M44" s="15" t="n">
        <f aca="false">L44/(COUNT(D44:J44)*5)</f>
        <v>0.763265306122449</v>
      </c>
      <c r="N44" s="16"/>
    </row>
    <row r="45" customFormat="false" ht="24" hidden="false" customHeight="true" outlineLevel="0" collapsed="false">
      <c r="A45" s="12" t="n">
        <v>40</v>
      </c>
      <c r="B45" s="17" t="n">
        <v>511523205042</v>
      </c>
      <c r="C45" s="18" t="s">
        <v>59</v>
      </c>
      <c r="D45" s="12" t="n">
        <v>0</v>
      </c>
      <c r="E45" s="12" t="n">
        <v>0</v>
      </c>
      <c r="F45" s="12" t="n">
        <v>14</v>
      </c>
      <c r="G45" s="12" t="n">
        <v>0</v>
      </c>
      <c r="H45" s="12" t="n">
        <v>14</v>
      </c>
      <c r="I45" s="12" t="n">
        <v>0</v>
      </c>
      <c r="J45" s="12" t="n">
        <v>0</v>
      </c>
      <c r="K45" s="12" t="n">
        <f aca="false">SUM(D45:J45)/7</f>
        <v>4</v>
      </c>
      <c r="L45" s="12" t="n">
        <f aca="false">(COUNT(D45:J45)*5)-K45</f>
        <v>31</v>
      </c>
      <c r="M45" s="15" t="n">
        <f aca="false">L45/(COUNT(D45:J45)*5)</f>
        <v>0.885714285714286</v>
      </c>
      <c r="N45" s="16"/>
    </row>
    <row r="46" customFormat="false" ht="24" hidden="false" customHeight="true" outlineLevel="0" collapsed="false">
      <c r="A46" s="12" t="n">
        <v>41</v>
      </c>
      <c r="B46" s="17" t="n">
        <v>511523205043</v>
      </c>
      <c r="C46" s="18" t="s">
        <v>60</v>
      </c>
      <c r="D46" s="12" t="n">
        <v>0</v>
      </c>
      <c r="E46" s="12" t="n">
        <v>0</v>
      </c>
      <c r="F46" s="12" t="n">
        <v>14</v>
      </c>
      <c r="G46" s="12" t="n">
        <v>7</v>
      </c>
      <c r="H46" s="12" t="n">
        <v>0</v>
      </c>
      <c r="I46" s="12" t="n">
        <v>0</v>
      </c>
      <c r="J46" s="12" t="n">
        <v>22</v>
      </c>
      <c r="K46" s="12" t="n">
        <f aca="false">SUM(D46:J46)/7</f>
        <v>6.14285714285714</v>
      </c>
      <c r="L46" s="12" t="n">
        <f aca="false">(COUNT(D46:J46)*5)-K46</f>
        <v>28.8571428571429</v>
      </c>
      <c r="M46" s="15" t="n">
        <f aca="false">L46/(COUNT(D46:J46)*5)</f>
        <v>0.824489795918367</v>
      </c>
      <c r="N46" s="16"/>
    </row>
    <row r="47" customFormat="false" ht="24" hidden="false" customHeight="true" outlineLevel="0" collapsed="false">
      <c r="A47" s="12" t="n">
        <v>42</v>
      </c>
      <c r="B47" s="17" t="n">
        <v>511523205044</v>
      </c>
      <c r="C47" s="18" t="s">
        <v>61</v>
      </c>
      <c r="D47" s="12" t="n">
        <v>21</v>
      </c>
      <c r="E47" s="12" t="n">
        <v>3</v>
      </c>
      <c r="F47" s="12" t="n">
        <v>7</v>
      </c>
      <c r="G47" s="12" t="n">
        <v>0</v>
      </c>
      <c r="H47" s="12" t="n">
        <v>14</v>
      </c>
      <c r="I47" s="12" t="n">
        <v>7</v>
      </c>
      <c r="J47" s="12" t="n">
        <v>12</v>
      </c>
      <c r="K47" s="12" t="n">
        <f aca="false">SUM(D47:J47)/7</f>
        <v>9.14285714285714</v>
      </c>
      <c r="L47" s="12" t="n">
        <f aca="false">(COUNT(D47:J47)*5)-K47</f>
        <v>25.8571428571429</v>
      </c>
      <c r="M47" s="15" t="n">
        <f aca="false">L47/(COUNT(D47:J47)*5)</f>
        <v>0.738775510204082</v>
      </c>
      <c r="N47" s="16"/>
    </row>
    <row r="48" customFormat="false" ht="24" hidden="false" customHeight="true" outlineLevel="0" collapsed="false">
      <c r="A48" s="12" t="n">
        <v>43</v>
      </c>
      <c r="B48" s="17" t="n">
        <v>511523205045</v>
      </c>
      <c r="C48" s="18" t="s">
        <v>62</v>
      </c>
      <c r="D48" s="12" t="n">
        <v>21</v>
      </c>
      <c r="E48" s="12" t="n">
        <v>0</v>
      </c>
      <c r="F48" s="12" t="n">
        <v>7</v>
      </c>
      <c r="G48" s="12" t="n">
        <v>0</v>
      </c>
      <c r="H48" s="12" t="n">
        <v>14</v>
      </c>
      <c r="I48" s="12" t="n">
        <v>0</v>
      </c>
      <c r="J48" s="12" t="n">
        <v>0</v>
      </c>
      <c r="K48" s="12" t="n">
        <f aca="false">SUM(D48:J48)/7</f>
        <v>6</v>
      </c>
      <c r="L48" s="12" t="n">
        <f aca="false">(COUNT(D48:J48)*5)-K48</f>
        <v>29</v>
      </c>
      <c r="M48" s="15" t="n">
        <f aca="false">L48/(COUNT(D48:J48)*5)</f>
        <v>0.828571428571429</v>
      </c>
      <c r="N48" s="16"/>
    </row>
    <row r="49" customFormat="false" ht="24" hidden="false" customHeight="true" outlineLevel="0" collapsed="false">
      <c r="A49" s="12" t="n">
        <v>44</v>
      </c>
      <c r="B49" s="17" t="n">
        <v>511523205046</v>
      </c>
      <c r="C49" s="18" t="s">
        <v>63</v>
      </c>
      <c r="D49" s="12" t="n">
        <v>7</v>
      </c>
      <c r="E49" s="12" t="n">
        <v>0</v>
      </c>
      <c r="F49" s="12" t="n">
        <v>0</v>
      </c>
      <c r="G49" s="12" t="n">
        <v>0</v>
      </c>
      <c r="H49" s="12" t="n">
        <v>3</v>
      </c>
      <c r="I49" s="12" t="n">
        <v>0</v>
      </c>
      <c r="J49" s="12" t="n">
        <v>1</v>
      </c>
      <c r="K49" s="12" t="n">
        <f aca="false">SUM(D49:J49)/7</f>
        <v>1.57142857142857</v>
      </c>
      <c r="L49" s="12" t="n">
        <f aca="false">(COUNT(D49:J49)*5)-K49</f>
        <v>33.4285714285714</v>
      </c>
      <c r="M49" s="15" t="n">
        <f aca="false">L49/(COUNT(D49:J49)*5)</f>
        <v>0.955102040816327</v>
      </c>
      <c r="N49" s="16"/>
    </row>
    <row r="50" customFormat="false" ht="24" hidden="false" customHeight="true" outlineLevel="0" collapsed="false">
      <c r="A50" s="12" t="n">
        <v>45</v>
      </c>
      <c r="B50" s="17" t="n">
        <v>511523205047</v>
      </c>
      <c r="C50" s="18" t="s">
        <v>64</v>
      </c>
      <c r="D50" s="12" t="n">
        <v>35</v>
      </c>
      <c r="E50" s="12" t="n">
        <v>35</v>
      </c>
      <c r="F50" s="12" t="n">
        <v>21</v>
      </c>
      <c r="G50" s="12" t="n">
        <v>17</v>
      </c>
      <c r="H50" s="12" t="n">
        <v>24</v>
      </c>
      <c r="I50" s="12" t="n">
        <v>14</v>
      </c>
      <c r="J50" s="12" t="n">
        <v>35</v>
      </c>
      <c r="K50" s="12" t="n">
        <f aca="false">SUM(D50:J50)/7</f>
        <v>25.8571428571429</v>
      </c>
      <c r="L50" s="12" t="n">
        <f aca="false">(COUNT(D50:J50)*5)-K50</f>
        <v>9.14285714285714</v>
      </c>
      <c r="M50" s="15" t="n">
        <f aca="false">L50/(COUNT(D50:J50)*5)</f>
        <v>0.261224489795918</v>
      </c>
      <c r="N50" s="16"/>
    </row>
    <row r="51" customFormat="false" ht="24" hidden="false" customHeight="true" outlineLevel="0" collapsed="false">
      <c r="A51" s="12" t="n">
        <v>46</v>
      </c>
      <c r="B51" s="17" t="n">
        <v>511523205048</v>
      </c>
      <c r="C51" s="18" t="s">
        <v>65</v>
      </c>
      <c r="D51" s="12" t="n">
        <v>21</v>
      </c>
      <c r="E51" s="12" t="n">
        <v>21</v>
      </c>
      <c r="F51" s="12" t="n">
        <v>14</v>
      </c>
      <c r="G51" s="12" t="n">
        <v>21</v>
      </c>
      <c r="H51" s="12" t="n">
        <v>18</v>
      </c>
      <c r="I51" s="12" t="n">
        <v>35</v>
      </c>
      <c r="J51" s="12" t="n">
        <v>21</v>
      </c>
      <c r="K51" s="12" t="n">
        <f aca="false">SUM(D51:J51)/7</f>
        <v>21.5714285714286</v>
      </c>
      <c r="L51" s="12" t="n">
        <f aca="false">(COUNT(D51:J51)*5)-K51</f>
        <v>13.4285714285714</v>
      </c>
      <c r="M51" s="15" t="n">
        <f aca="false">L51/(COUNT(D51:J51)*5)</f>
        <v>0.383673469387755</v>
      </c>
      <c r="N51" s="16"/>
    </row>
    <row r="52" customFormat="false" ht="24" hidden="false" customHeight="true" outlineLevel="0" collapsed="false">
      <c r="A52" s="12" t="n">
        <v>47</v>
      </c>
      <c r="B52" s="17" t="n">
        <v>511523205049</v>
      </c>
      <c r="C52" s="18" t="s">
        <v>66</v>
      </c>
      <c r="D52" s="12" t="n">
        <v>0</v>
      </c>
      <c r="E52" s="12" t="n">
        <v>0</v>
      </c>
      <c r="F52" s="12" t="n">
        <v>14</v>
      </c>
      <c r="G52" s="12" t="n">
        <v>0</v>
      </c>
      <c r="H52" s="12" t="n">
        <v>7</v>
      </c>
      <c r="I52" s="12" t="n">
        <v>0</v>
      </c>
      <c r="J52" s="12" t="n">
        <v>8</v>
      </c>
      <c r="K52" s="12" t="n">
        <f aca="false">SUM(D52:J52)/7</f>
        <v>4.14285714285714</v>
      </c>
      <c r="L52" s="12" t="n">
        <f aca="false">(COUNT(D52:J52)*5)-K52</f>
        <v>30.8571428571429</v>
      </c>
      <c r="M52" s="15" t="n">
        <f aca="false">L52/(COUNT(D52:J52)*5)</f>
        <v>0.881632653061225</v>
      </c>
      <c r="N52" s="16"/>
    </row>
    <row r="53" customFormat="false" ht="24" hidden="false" customHeight="true" outlineLevel="0" collapsed="false">
      <c r="A53" s="12" t="n">
        <v>48</v>
      </c>
      <c r="B53" s="17" t="n">
        <v>511523205050</v>
      </c>
      <c r="C53" s="18" t="s">
        <v>67</v>
      </c>
      <c r="D53" s="12" t="n">
        <v>35</v>
      </c>
      <c r="E53" s="12" t="n">
        <v>0</v>
      </c>
      <c r="F53" s="12" t="n">
        <v>0</v>
      </c>
      <c r="G53" s="12" t="n">
        <v>0</v>
      </c>
      <c r="H53" s="12" t="n">
        <v>14</v>
      </c>
      <c r="I53" s="12" t="n">
        <v>0</v>
      </c>
      <c r="J53" s="12" t="n">
        <v>1</v>
      </c>
      <c r="K53" s="12" t="n">
        <f aca="false">SUM(D53:J53)/7</f>
        <v>7.14285714285714</v>
      </c>
      <c r="L53" s="12" t="n">
        <f aca="false">(COUNT(D53:J53)*5)-K53</f>
        <v>27.8571428571429</v>
      </c>
      <c r="M53" s="15" t="n">
        <f aca="false">L53/(COUNT(D53:J53)*5)</f>
        <v>0.795918367346939</v>
      </c>
      <c r="N53" s="16"/>
    </row>
    <row r="54" customFormat="false" ht="24" hidden="false" customHeight="true" outlineLevel="0" collapsed="false">
      <c r="A54" s="12" t="n">
        <v>49</v>
      </c>
      <c r="B54" s="17" t="n">
        <v>511523205051</v>
      </c>
      <c r="C54" s="18" t="s">
        <v>68</v>
      </c>
      <c r="D54" s="12" t="n">
        <v>35</v>
      </c>
      <c r="E54" s="12" t="n">
        <v>30</v>
      </c>
      <c r="F54" s="12" t="n">
        <v>31</v>
      </c>
      <c r="G54" s="12" t="n">
        <v>17</v>
      </c>
      <c r="H54" s="12" t="n">
        <v>19</v>
      </c>
      <c r="I54" s="12" t="n">
        <v>23</v>
      </c>
      <c r="J54" s="12" t="n">
        <v>35</v>
      </c>
      <c r="K54" s="12" t="n">
        <f aca="false">SUM(D54:J54)/7</f>
        <v>27.1428571428571</v>
      </c>
      <c r="L54" s="12" t="n">
        <f aca="false">(COUNT(D54:J54)*5)-K54</f>
        <v>7.85714285714286</v>
      </c>
      <c r="M54" s="15" t="n">
        <f aca="false">L54/(COUNT(D54:J54)*5)</f>
        <v>0.224489795918367</v>
      </c>
      <c r="N54" s="16"/>
    </row>
    <row r="55" customFormat="false" ht="24" hidden="false" customHeight="true" outlineLevel="0" collapsed="false">
      <c r="A55" s="12" t="n">
        <v>50</v>
      </c>
      <c r="B55" s="17" t="n">
        <v>511523205052</v>
      </c>
      <c r="C55" s="18" t="s">
        <v>69</v>
      </c>
      <c r="D55" s="12" t="n">
        <v>28</v>
      </c>
      <c r="E55" s="12" t="n">
        <v>0</v>
      </c>
      <c r="F55" s="12" t="n">
        <v>9</v>
      </c>
      <c r="G55" s="12" t="n">
        <v>0</v>
      </c>
      <c r="H55" s="12" t="n">
        <v>17</v>
      </c>
      <c r="I55" s="12" t="n">
        <v>7</v>
      </c>
      <c r="J55" s="12" t="n">
        <v>7</v>
      </c>
      <c r="K55" s="12" t="n">
        <f aca="false">SUM(D55:J55)/7</f>
        <v>9.71428571428571</v>
      </c>
      <c r="L55" s="12" t="n">
        <f aca="false">(COUNT(D55:J55)*5)-K55</f>
        <v>25.2857142857143</v>
      </c>
      <c r="M55" s="15" t="n">
        <f aca="false">L55/(COUNT(D55:J55)*5)</f>
        <v>0.722448979591837</v>
      </c>
      <c r="N55" s="16"/>
    </row>
    <row r="56" customFormat="false" ht="24" hidden="false" customHeight="true" outlineLevel="0" collapsed="false">
      <c r="A56" s="12" t="n">
        <v>51</v>
      </c>
      <c r="B56" s="17" t="n">
        <v>511523205053</v>
      </c>
      <c r="C56" s="18" t="s">
        <v>70</v>
      </c>
      <c r="D56" s="12" t="n">
        <v>28</v>
      </c>
      <c r="E56" s="12" t="n">
        <v>6</v>
      </c>
      <c r="F56" s="12" t="n">
        <v>18</v>
      </c>
      <c r="G56" s="12" t="n">
        <v>14</v>
      </c>
      <c r="H56" s="12" t="n">
        <v>15</v>
      </c>
      <c r="I56" s="12" t="n">
        <v>7</v>
      </c>
      <c r="J56" s="12" t="n">
        <v>3</v>
      </c>
      <c r="K56" s="12" t="n">
        <f aca="false">SUM(D56:J56)/7</f>
        <v>13</v>
      </c>
      <c r="L56" s="12" t="n">
        <f aca="false">(COUNT(D56:J56)*5)-K56</f>
        <v>22</v>
      </c>
      <c r="M56" s="15" t="n">
        <f aca="false">L56/(COUNT(D56:J56)*5)</f>
        <v>0.628571428571429</v>
      </c>
      <c r="N56" s="16"/>
    </row>
    <row r="57" customFormat="false" ht="24" hidden="false" customHeight="true" outlineLevel="0" collapsed="false">
      <c r="A57" s="12" t="n">
        <v>52</v>
      </c>
      <c r="B57" s="17" t="n">
        <v>511523205054</v>
      </c>
      <c r="C57" s="18" t="s">
        <v>71</v>
      </c>
      <c r="D57" s="12" t="n">
        <v>7</v>
      </c>
      <c r="E57" s="12" t="n">
        <v>0</v>
      </c>
      <c r="F57" s="12" t="n">
        <v>14</v>
      </c>
      <c r="G57" s="12" t="n">
        <v>7</v>
      </c>
      <c r="H57" s="12" t="n">
        <v>0</v>
      </c>
      <c r="I57" s="12" t="n">
        <v>7</v>
      </c>
      <c r="J57" s="12" t="n">
        <v>7</v>
      </c>
      <c r="K57" s="12" t="n">
        <f aca="false">SUM(D57:J57)/7</f>
        <v>6</v>
      </c>
      <c r="L57" s="12" t="n">
        <f aca="false">(COUNT(D57:J57)*5)-K57</f>
        <v>29</v>
      </c>
      <c r="M57" s="15" t="n">
        <f aca="false">L57/(COUNT(D57:J57)*5)</f>
        <v>0.828571428571429</v>
      </c>
      <c r="N57" s="16"/>
    </row>
    <row r="58" customFormat="false" ht="24" hidden="false" customHeight="true" outlineLevel="0" collapsed="false">
      <c r="A58" s="12" t="n">
        <v>53</v>
      </c>
      <c r="B58" s="17" t="n">
        <v>511523205055</v>
      </c>
      <c r="C58" s="18" t="s">
        <v>72</v>
      </c>
      <c r="D58" s="12" t="n">
        <v>7</v>
      </c>
      <c r="E58" s="12" t="n">
        <v>14</v>
      </c>
      <c r="F58" s="12" t="n">
        <v>30</v>
      </c>
      <c r="G58" s="12" t="n">
        <v>0</v>
      </c>
      <c r="H58" s="12" t="n">
        <v>0</v>
      </c>
      <c r="I58" s="12" t="n">
        <v>0</v>
      </c>
      <c r="J58" s="12" t="n">
        <v>1</v>
      </c>
      <c r="K58" s="12" t="n">
        <f aca="false">SUM(D58:J58)/7</f>
        <v>7.42857142857143</v>
      </c>
      <c r="L58" s="12" t="n">
        <f aca="false">(COUNT(D58:J58)*5)-K58</f>
        <v>27.5714285714286</v>
      </c>
      <c r="M58" s="15" t="n">
        <f aca="false">L58/(COUNT(D58:J58)*5)</f>
        <v>0.787755102040816</v>
      </c>
      <c r="N58" s="16"/>
    </row>
    <row r="59" customFormat="false" ht="24" hidden="false" customHeight="true" outlineLevel="0" collapsed="false">
      <c r="A59" s="12" t="n">
        <v>54</v>
      </c>
      <c r="B59" s="17" t="n">
        <v>511523205056</v>
      </c>
      <c r="C59" s="18" t="s">
        <v>73</v>
      </c>
      <c r="D59" s="12" t="n">
        <v>21</v>
      </c>
      <c r="E59" s="12" t="n">
        <v>0</v>
      </c>
      <c r="F59" s="12" t="n">
        <v>7</v>
      </c>
      <c r="G59" s="12" t="n">
        <v>0</v>
      </c>
      <c r="H59" s="12" t="n">
        <v>5</v>
      </c>
      <c r="I59" s="12" t="n">
        <v>0</v>
      </c>
      <c r="J59" s="12" t="n">
        <v>0</v>
      </c>
      <c r="K59" s="12" t="n">
        <f aca="false">SUM(D59:J59)/7</f>
        <v>4.71428571428571</v>
      </c>
      <c r="L59" s="12" t="n">
        <f aca="false">(COUNT(D59:J59)*5)-K59</f>
        <v>30.2857142857143</v>
      </c>
      <c r="M59" s="15" t="n">
        <f aca="false">L59/(COUNT(D59:J59)*5)</f>
        <v>0.86530612244898</v>
      </c>
      <c r="N59" s="16"/>
    </row>
    <row r="60" customFormat="false" ht="24" hidden="false" customHeight="true" outlineLevel="0" collapsed="false">
      <c r="A60" s="12" t="n">
        <v>55</v>
      </c>
      <c r="B60" s="17" t="n">
        <v>511523205057</v>
      </c>
      <c r="C60" s="18" t="s">
        <v>74</v>
      </c>
      <c r="D60" s="12" t="n">
        <v>7</v>
      </c>
      <c r="E60" s="12" t="n">
        <v>0</v>
      </c>
      <c r="F60" s="12" t="n">
        <v>7</v>
      </c>
      <c r="G60" s="12" t="n">
        <v>0</v>
      </c>
      <c r="H60" s="12" t="n">
        <v>0</v>
      </c>
      <c r="I60" s="12" t="n">
        <v>14</v>
      </c>
      <c r="J60" s="12" t="n">
        <v>0</v>
      </c>
      <c r="K60" s="12" t="n">
        <f aca="false">SUM(D60:J60)/7</f>
        <v>4</v>
      </c>
      <c r="L60" s="12" t="n">
        <f aca="false">(COUNT(D60:J60)*5)-K60</f>
        <v>31</v>
      </c>
      <c r="M60" s="15" t="n">
        <f aca="false">L60/(COUNT(D60:J60)*5)</f>
        <v>0.885714285714286</v>
      </c>
      <c r="N60" s="16"/>
    </row>
    <row r="61" customFormat="false" ht="24" hidden="false" customHeight="true" outlineLevel="0" collapsed="false">
      <c r="A61" s="12" t="n">
        <v>56</v>
      </c>
      <c r="B61" s="17" t="n">
        <v>511523205058</v>
      </c>
      <c r="C61" s="18" t="s">
        <v>75</v>
      </c>
      <c r="D61" s="12" t="n">
        <v>21</v>
      </c>
      <c r="E61" s="12" t="n">
        <v>0</v>
      </c>
      <c r="F61" s="12" t="n">
        <v>24</v>
      </c>
      <c r="G61" s="12" t="n">
        <v>0</v>
      </c>
      <c r="H61" s="12" t="n">
        <v>14</v>
      </c>
      <c r="I61" s="12" t="n">
        <v>9</v>
      </c>
      <c r="J61" s="12" t="n">
        <v>14</v>
      </c>
      <c r="K61" s="12" t="n">
        <f aca="false">SUM(D61:J61)/7</f>
        <v>11.7142857142857</v>
      </c>
      <c r="L61" s="12" t="n">
        <f aca="false">(COUNT(D61:J61)*5)-K61</f>
        <v>23.2857142857143</v>
      </c>
      <c r="M61" s="15" t="n">
        <f aca="false">L61/(COUNT(D61:J61)*5)</f>
        <v>0.66530612244898</v>
      </c>
      <c r="N61" s="16"/>
    </row>
    <row r="62" customFormat="false" ht="24" hidden="false" customHeight="true" outlineLevel="0" collapsed="false">
      <c r="A62" s="12" t="n">
        <v>57</v>
      </c>
      <c r="B62" s="17" t="n">
        <v>511523205059</v>
      </c>
      <c r="C62" s="18" t="s">
        <v>76</v>
      </c>
      <c r="D62" s="12" t="n">
        <v>14</v>
      </c>
      <c r="E62" s="12" t="n">
        <v>0</v>
      </c>
      <c r="F62" s="12" t="n">
        <v>3</v>
      </c>
      <c r="G62" s="12" t="n">
        <v>0</v>
      </c>
      <c r="H62" s="12" t="n">
        <v>17</v>
      </c>
      <c r="I62" s="12" t="n">
        <v>7</v>
      </c>
      <c r="J62" s="12" t="n">
        <v>0</v>
      </c>
      <c r="K62" s="12" t="n">
        <f aca="false">SUM(D62:J62)/7</f>
        <v>5.85714285714286</v>
      </c>
      <c r="L62" s="12" t="n">
        <f aca="false">(COUNT(D62:J62)*5)-K62</f>
        <v>29.1428571428571</v>
      </c>
      <c r="M62" s="15" t="n">
        <f aca="false">L62/(COUNT(D62:J62)*5)</f>
        <v>0.83265306122449</v>
      </c>
      <c r="N62" s="16"/>
    </row>
    <row r="63" customFormat="false" ht="24" hidden="false" customHeight="true" outlineLevel="0" collapsed="false">
      <c r="A63" s="12" t="n">
        <v>58</v>
      </c>
      <c r="B63" s="17" t="n">
        <v>511523205060</v>
      </c>
      <c r="C63" s="21" t="s">
        <v>77</v>
      </c>
      <c r="D63" s="12" t="n">
        <v>7</v>
      </c>
      <c r="E63" s="12" t="n">
        <v>0</v>
      </c>
      <c r="F63" s="12" t="n">
        <v>7</v>
      </c>
      <c r="G63" s="12" t="n">
        <v>0</v>
      </c>
      <c r="H63" s="12" t="n">
        <v>14</v>
      </c>
      <c r="I63" s="12" t="n">
        <v>14</v>
      </c>
      <c r="J63" s="12" t="n">
        <v>0</v>
      </c>
      <c r="K63" s="12" t="n">
        <f aca="false">SUM(D63:J63)/7</f>
        <v>6</v>
      </c>
      <c r="L63" s="12" t="n">
        <f aca="false">(COUNT(D63:J63)*5)-K63</f>
        <v>29</v>
      </c>
      <c r="M63" s="15" t="n">
        <f aca="false">L63/(COUNT(D63:J63)*5)</f>
        <v>0.828571428571429</v>
      </c>
      <c r="N63" s="16"/>
    </row>
    <row r="64" customFormat="false" ht="24" hidden="false" customHeight="true" outlineLevel="0" collapsed="false">
      <c r="A64" s="12" t="n">
        <v>59</v>
      </c>
      <c r="B64" s="17" t="n">
        <v>511523205061</v>
      </c>
      <c r="C64" s="18" t="s">
        <v>78</v>
      </c>
      <c r="D64" s="12" t="n">
        <v>14</v>
      </c>
      <c r="E64" s="12" t="n">
        <v>0</v>
      </c>
      <c r="F64" s="12" t="n">
        <v>7</v>
      </c>
      <c r="G64" s="12" t="n">
        <v>0</v>
      </c>
      <c r="H64" s="12" t="n">
        <v>7</v>
      </c>
      <c r="I64" s="12" t="n">
        <v>0</v>
      </c>
      <c r="J64" s="12" t="n">
        <v>0</v>
      </c>
      <c r="K64" s="12" t="n">
        <f aca="false">SUM(D64:J64)/7</f>
        <v>4</v>
      </c>
      <c r="L64" s="12" t="n">
        <f aca="false">(COUNT(D64:J64)*5)-K64</f>
        <v>31</v>
      </c>
      <c r="M64" s="15" t="n">
        <f aca="false">L64/(COUNT(D64:J64)*5)</f>
        <v>0.885714285714286</v>
      </c>
      <c r="N64" s="16"/>
    </row>
    <row r="65" customFormat="false" ht="24" hidden="false" customHeight="true" outlineLevel="0" collapsed="false">
      <c r="A65" s="12" t="n">
        <v>60</v>
      </c>
      <c r="B65" s="17" t="n">
        <v>511523205062</v>
      </c>
      <c r="C65" s="18" t="s">
        <v>79</v>
      </c>
      <c r="D65" s="12" t="n">
        <v>28</v>
      </c>
      <c r="E65" s="12" t="n">
        <v>3</v>
      </c>
      <c r="F65" s="12" t="n">
        <v>8</v>
      </c>
      <c r="G65" s="12" t="n">
        <v>14</v>
      </c>
      <c r="H65" s="12" t="n">
        <v>8</v>
      </c>
      <c r="I65" s="12" t="n">
        <v>11</v>
      </c>
      <c r="J65" s="12" t="n">
        <v>11</v>
      </c>
      <c r="K65" s="12" t="n">
        <f aca="false">SUM(D65:J65)/7</f>
        <v>11.8571428571429</v>
      </c>
      <c r="L65" s="12" t="n">
        <f aca="false">(COUNT(D65:J65)*5)-K65</f>
        <v>23.1428571428571</v>
      </c>
      <c r="M65" s="15" t="n">
        <f aca="false">L65/(COUNT(D65:J65)*5)</f>
        <v>0.661224489795918</v>
      </c>
      <c r="N65" s="16"/>
    </row>
    <row r="66" customFormat="false" ht="24" hidden="false" customHeight="true" outlineLevel="0" collapsed="false">
      <c r="A66" s="1" t="n">
        <v>61</v>
      </c>
      <c r="B66" s="1" t="n">
        <v>511523205063</v>
      </c>
      <c r="C66" s="1" t="s">
        <v>80</v>
      </c>
      <c r="D66" s="1" t="n">
        <v>21</v>
      </c>
      <c r="E66" s="1" t="n">
        <v>0</v>
      </c>
      <c r="F66" s="1" t="n">
        <v>11</v>
      </c>
      <c r="G66" s="1" t="n">
        <v>0</v>
      </c>
      <c r="H66" s="1" t="n">
        <v>7</v>
      </c>
      <c r="I66" s="1" t="n">
        <v>2</v>
      </c>
      <c r="J66" s="1" t="n">
        <v>0</v>
      </c>
    </row>
    <row r="67" customFormat="false" ht="24" hidden="false" customHeight="true" outlineLevel="0" collapsed="false">
      <c r="A67" s="12" t="n">
        <v>62</v>
      </c>
      <c r="B67" s="17" t="n">
        <v>511523205064</v>
      </c>
      <c r="C67" s="18" t="s">
        <v>81</v>
      </c>
      <c r="D67" s="12" t="n">
        <v>28</v>
      </c>
      <c r="E67" s="12" t="n">
        <v>6</v>
      </c>
      <c r="F67" s="12" t="n">
        <v>14</v>
      </c>
      <c r="G67" s="12" t="n">
        <v>14</v>
      </c>
      <c r="H67" s="12" t="n">
        <v>21</v>
      </c>
      <c r="I67" s="12" t="n">
        <v>7</v>
      </c>
      <c r="J67" s="12" t="n">
        <v>3</v>
      </c>
      <c r="K67" s="12"/>
      <c r="L67" s="12"/>
      <c r="M67" s="15"/>
      <c r="N67" s="16"/>
    </row>
    <row r="68" customFormat="false" ht="24" hidden="false" customHeight="true" outlineLevel="0" collapsed="false">
      <c r="A68" s="12" t="n">
        <v>63</v>
      </c>
      <c r="B68" s="17"/>
      <c r="C68" s="18" t="s">
        <v>82</v>
      </c>
      <c r="D68" s="12" t="n">
        <v>21</v>
      </c>
      <c r="E68" s="12" t="n">
        <v>0</v>
      </c>
      <c r="F68" s="12" t="n">
        <v>7</v>
      </c>
      <c r="G68" s="12" t="n">
        <v>14</v>
      </c>
      <c r="H68" s="12" t="n">
        <v>0</v>
      </c>
      <c r="I68" s="12" t="n">
        <v>0</v>
      </c>
      <c r="J68" s="12" t="n">
        <v>0</v>
      </c>
      <c r="K68" s="12"/>
      <c r="L68" s="12"/>
      <c r="M68" s="15"/>
      <c r="N68" s="16"/>
    </row>
    <row r="69" customFormat="false" ht="24" hidden="false" customHeight="true" outlineLevel="0" collapsed="false">
      <c r="A69" s="12" t="n">
        <v>64</v>
      </c>
      <c r="B69" s="17"/>
      <c r="C69" s="18" t="s">
        <v>83</v>
      </c>
      <c r="D69" s="12" t="n">
        <v>21</v>
      </c>
      <c r="E69" s="12" t="n">
        <v>0</v>
      </c>
      <c r="F69" s="12" t="n">
        <v>17</v>
      </c>
      <c r="G69" s="12" t="n">
        <v>0</v>
      </c>
      <c r="H69" s="12" t="n">
        <v>21</v>
      </c>
      <c r="I69" s="12" t="n">
        <v>21</v>
      </c>
      <c r="J69" s="12" t="n">
        <v>19</v>
      </c>
      <c r="K69" s="12"/>
      <c r="L69" s="12"/>
      <c r="M69" s="15"/>
      <c r="N69" s="16"/>
    </row>
    <row r="71" customFormat="false" ht="17.35" hidden="false" customHeight="false" outlineLevel="0" collapsed="false">
      <c r="N71" s="22"/>
    </row>
    <row r="72" customFormat="false" ht="17.35" hidden="false" customHeight="false" outlineLevel="0" collapsed="false">
      <c r="E72" s="22" t="s">
        <v>84</v>
      </c>
      <c r="F72" s="22"/>
      <c r="G72" s="22"/>
      <c r="H72" s="22"/>
      <c r="I72" s="22"/>
      <c r="J72" s="22"/>
      <c r="K72" s="22"/>
      <c r="L72" s="23"/>
      <c r="M72" s="22" t="s">
        <v>85</v>
      </c>
      <c r="N72" s="22"/>
    </row>
    <row r="82" customFormat="false" ht="17.35" hidden="false" customHeight="false" outlineLevel="0" collapsed="false">
      <c r="C82" s="22" t="s">
        <v>86</v>
      </c>
      <c r="D82" s="22"/>
      <c r="E82" s="22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A1:N1"/>
    <mergeCell ref="A2:N2"/>
    <mergeCell ref="A3:N3"/>
    <mergeCell ref="D4:M4"/>
    <mergeCell ref="E72:K72"/>
    <mergeCell ref="M72:N72"/>
    <mergeCell ref="C82:E82"/>
  </mergeCells>
  <conditionalFormatting sqref="M6:M64">
    <cfRule type="cellIs" priority="2" operator="lessThan" aboveAverage="0" equalAverage="0" bottom="0" percent="0" rank="0" text="" dxfId="0">
      <formula>0.6</formula>
    </cfRule>
  </conditionalFormatting>
  <conditionalFormatting sqref="M67:M69 M65">
    <cfRule type="cellIs" priority="3" operator="lessThan" aboveAverage="0" equalAverage="0" bottom="0" percent="0" rank="0" text="" dxfId="0">
      <formula>0.6</formula>
    </cfRule>
  </conditionalFormatting>
  <printOptions headings="false" gridLines="false" gridLinesSet="true" horizontalCentered="false" verticalCentered="false"/>
  <pageMargins left="0.196527777777778" right="0.196527777777778" top="0.354166666666667" bottom="0.35416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2025-09-09T04:34:49Z</dcterms:created>
  <dc:creator>Poovannan M</dc:creator>
  <dc:description/>
  <dc:language>en-US</dc:language>
  <cp:lastModifiedBy/>
  <cp:lastPrinted>2025-09-09T06:12:35Z</cp:lastPrinted>
  <dcterms:modified xsi:type="dcterms:W3CDTF">2025-09-09T13:00:30Z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