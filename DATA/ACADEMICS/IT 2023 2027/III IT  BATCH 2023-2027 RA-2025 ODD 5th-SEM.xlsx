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 IT" sheetId="1" r:id="rId4"/>
  </sheets>
  <definedNames/>
  <calcPr/>
</workbook>
</file>

<file path=xl/sharedStrings.xml><?xml version="1.0" encoding="utf-8"?>
<sst xmlns="http://schemas.openxmlformats.org/spreadsheetml/2006/main" count="802" uniqueCount="220">
  <si>
    <t xml:space="preserve">P.T. LEE CHENGALVARAYA NAICKER COLLEGE OF ENGINEERING AND TECHNOLOGY </t>
  </si>
  <si>
    <t>Oovery, KanchipUram - 631 502</t>
  </si>
  <si>
    <t>Anna University Result of NOV/DEC Examination - 2025</t>
  </si>
  <si>
    <r>
      <rPr>
        <rFont val="Times New Roman"/>
        <b/>
        <color rgb="FF000000"/>
        <sz val="16.0"/>
      </rPr>
      <t xml:space="preserve">Department of  Information Technology  </t>
    </r>
    <r>
      <rPr>
        <rFont val="Times New Roman"/>
        <b/>
        <color rgb="FF000000"/>
        <sz val="14.0"/>
      </rPr>
      <t xml:space="preserve">                      Third Year</t>
    </r>
  </si>
  <si>
    <t xml:space="preserve">V Semester </t>
  </si>
  <si>
    <t>S. No.</t>
  </si>
  <si>
    <t>Reg. Number</t>
  </si>
  <si>
    <t xml:space="preserve">Subject Code </t>
  </si>
  <si>
    <t>CCS334</t>
  </si>
  <si>
    <t>CCS366</t>
  </si>
  <si>
    <t>CS3551</t>
  </si>
  <si>
    <t>CS3591</t>
  </si>
  <si>
    <t>CS3691</t>
  </si>
  <si>
    <t>IT3501</t>
  </si>
  <si>
    <t>IT3511</t>
  </si>
  <si>
    <t>MX3081</t>
  </si>
  <si>
    <t>NM1020</t>
  </si>
  <si>
    <t>No. Of "U"- Arrear's</t>
  </si>
  <si>
    <t>No. Of "UA" No of Absent</t>
  </si>
  <si>
    <t>Result</t>
  </si>
  <si>
    <t>Stud. Name</t>
  </si>
  <si>
    <t>Grade</t>
  </si>
  <si>
    <t>511523205001</t>
  </si>
  <si>
    <t>AASAIMANI T</t>
  </si>
  <si>
    <t>B+</t>
  </si>
  <si>
    <t>U</t>
  </si>
  <si>
    <t>A+</t>
  </si>
  <si>
    <t>O</t>
  </si>
  <si>
    <t>511523205002</t>
  </si>
  <si>
    <t>AATHI S</t>
  </si>
  <si>
    <t>A</t>
  </si>
  <si>
    <t>511523205003</t>
  </si>
  <si>
    <t>ABI P</t>
  </si>
  <si>
    <t>511523205004</t>
  </si>
  <si>
    <t>ABIRAMI M</t>
  </si>
  <si>
    <t>511523205005</t>
  </si>
  <si>
    <t>ADHITHYA A</t>
  </si>
  <si>
    <t>511523205006</t>
  </si>
  <si>
    <t>ANANDHARAMAN M</t>
  </si>
  <si>
    <t>511523205007</t>
  </si>
  <si>
    <t>ARISH S</t>
  </si>
  <si>
    <t>511523205008</t>
  </si>
  <si>
    <t>ARULIRASAN G</t>
  </si>
  <si>
    <t>511523205009</t>
  </si>
  <si>
    <t>ASHWIN G</t>
  </si>
  <si>
    <t>511523205010</t>
  </si>
  <si>
    <t>ASWINI V</t>
  </si>
  <si>
    <t>511523205011</t>
  </si>
  <si>
    <t>DHANALAKSHMI R</t>
  </si>
  <si>
    <t>511523205012</t>
  </si>
  <si>
    <t>DHANAPRIYA P</t>
  </si>
  <si>
    <t>511523205013</t>
  </si>
  <si>
    <t>DIVAGARAN M</t>
  </si>
  <si>
    <t>511523205014</t>
  </si>
  <si>
    <t>DIVYA R</t>
  </si>
  <si>
    <t>511523205015</t>
  </si>
  <si>
    <t>DIVYA S</t>
  </si>
  <si>
    <t>511523205016</t>
  </si>
  <si>
    <t>GOPI M</t>
  </si>
  <si>
    <t>511523205017</t>
  </si>
  <si>
    <t>HARISH K</t>
  </si>
  <si>
    <t>511523205018</t>
  </si>
  <si>
    <t>HARISHARAN PS</t>
  </si>
  <si>
    <t>511523205019</t>
  </si>
  <si>
    <t>HEMALATHA M</t>
  </si>
  <si>
    <t>511523205020</t>
  </si>
  <si>
    <t>JAGAN S</t>
  </si>
  <si>
    <t>511523205021</t>
  </si>
  <si>
    <t>JANANI J</t>
  </si>
  <si>
    <t>511523205023</t>
  </si>
  <si>
    <t>JAYANTHI K</t>
  </si>
  <si>
    <t>511523205025</t>
  </si>
  <si>
    <t>KEERTHANA M</t>
  </si>
  <si>
    <t>511523205026</t>
  </si>
  <si>
    <t>KEERTHANA R</t>
  </si>
  <si>
    <t>511523205027</t>
  </si>
  <si>
    <t>KEERTHIVASAN V</t>
  </si>
  <si>
    <t>UA</t>
  </si>
  <si>
    <t>511523205028</t>
  </si>
  <si>
    <t>KOWSALYA B</t>
  </si>
  <si>
    <t>511523205029</t>
  </si>
  <si>
    <t>LAKSHMI PRIYA S K</t>
  </si>
  <si>
    <t>511523205030</t>
  </si>
  <si>
    <t>LOSEYA V</t>
  </si>
  <si>
    <t>511523205031</t>
  </si>
  <si>
    <t>MADHANKUMAR R</t>
  </si>
  <si>
    <t>511523205032</t>
  </si>
  <si>
    <t>MADHUMITHA V</t>
  </si>
  <si>
    <t>511523205033</t>
  </si>
  <si>
    <t>MAHALAKSHMI S</t>
  </si>
  <si>
    <t>511523205034</t>
  </si>
  <si>
    <t>MOHANAPRIYA S</t>
  </si>
  <si>
    <t>511523205035</t>
  </si>
  <si>
    <t>MONICA U</t>
  </si>
  <si>
    <t>511523205036</t>
  </si>
  <si>
    <t>NITHEESWARI S</t>
  </si>
  <si>
    <t>511523205037</t>
  </si>
  <si>
    <t>NITHYA PRIYA C</t>
  </si>
  <si>
    <t>511523205038</t>
  </si>
  <si>
    <t>PRASANTH P</t>
  </si>
  <si>
    <t>511523205039</t>
  </si>
  <si>
    <t>PRIYADHARSHAN A</t>
  </si>
  <si>
    <t>511523205040</t>
  </si>
  <si>
    <t>RAGULGANDHI K</t>
  </si>
  <si>
    <t>511523205041</t>
  </si>
  <si>
    <t>RAGURAM R</t>
  </si>
  <si>
    <t>511523205042</t>
  </si>
  <si>
    <t>RAMYA N</t>
  </si>
  <si>
    <t>511523205043</t>
  </si>
  <si>
    <t>REETHIKA K</t>
  </si>
  <si>
    <t>511523205044</t>
  </si>
  <si>
    <t>RITHIK K</t>
  </si>
  <si>
    <t>511523205045</t>
  </si>
  <si>
    <t>SACHIN S</t>
  </si>
  <si>
    <t>511523205046</t>
  </si>
  <si>
    <t>SAGUNTHALA K</t>
  </si>
  <si>
    <t>511523205047</t>
  </si>
  <si>
    <t>SAKTHIVEL R</t>
  </si>
  <si>
    <t>511523205048</t>
  </si>
  <si>
    <t>SAMUVEL M</t>
  </si>
  <si>
    <t>511523205049</t>
  </si>
  <si>
    <t>SANDHIYA L</t>
  </si>
  <si>
    <t>511523205050</t>
  </si>
  <si>
    <t>SANGEETHA V</t>
  </si>
  <si>
    <t>511523205051</t>
  </si>
  <si>
    <t>SANKAR GANESH J</t>
  </si>
  <si>
    <t>WH</t>
  </si>
  <si>
    <t>WITH HELD</t>
  </si>
  <si>
    <t>511523205052</t>
  </si>
  <si>
    <t>SANTHASEELAN R</t>
  </si>
  <si>
    <t>511523205053</t>
  </si>
  <si>
    <t>SANTHOSH R</t>
  </si>
  <si>
    <t>511523205054</t>
  </si>
  <si>
    <t>SHARMILA B</t>
  </si>
  <si>
    <t>511523205055</t>
  </si>
  <si>
    <t>SIVAPRIYA S</t>
  </si>
  <si>
    <t>511523205056</t>
  </si>
  <si>
    <t>SRIMANOJ C</t>
  </si>
  <si>
    <t>511523205057</t>
  </si>
  <si>
    <t>SRINIVASAN N</t>
  </si>
  <si>
    <t>511523205058</t>
  </si>
  <si>
    <t>TAMILSELVAN J</t>
  </si>
  <si>
    <t>511523205059</t>
  </si>
  <si>
    <t>THAMIZHVANI S</t>
  </si>
  <si>
    <t>511523205060</t>
  </si>
  <si>
    <t>UDHAYACHANDHAR H</t>
  </si>
  <si>
    <t>511523205061</t>
  </si>
  <si>
    <t>UGENDRAN R</t>
  </si>
  <si>
    <t>511523205062</t>
  </si>
  <si>
    <t>VICKNESH D</t>
  </si>
  <si>
    <t>511523205063</t>
  </si>
  <si>
    <t>VIMALRAJ R</t>
  </si>
  <si>
    <t>511523205064</t>
  </si>
  <si>
    <t>YOGIBALA V</t>
  </si>
  <si>
    <t>511523205301</t>
  </si>
  <si>
    <t>SOMASUNDHARAM P</t>
  </si>
  <si>
    <t>511523205701</t>
  </si>
  <si>
    <t>THIRUNEELAKANDAN M</t>
  </si>
  <si>
    <t>Total No. of Students</t>
  </si>
  <si>
    <t>One Arrear</t>
  </si>
  <si>
    <t>Total No. of Absentees</t>
  </si>
  <si>
    <t>Two Arrear</t>
  </si>
  <si>
    <t>Total No. of Appear</t>
  </si>
  <si>
    <t>Three Arrear</t>
  </si>
  <si>
    <t>Total No. of Fail</t>
  </si>
  <si>
    <t>four Arrear</t>
  </si>
  <si>
    <t>Total No. of Pass</t>
  </si>
  <si>
    <t>Five Arrear</t>
  </si>
  <si>
    <t>Pass %</t>
  </si>
  <si>
    <t>six Arrear</t>
  </si>
  <si>
    <t xml:space="preserve">No of. "O" Grade </t>
  </si>
  <si>
    <t xml:space="preserve">No of. "A+" Grade </t>
  </si>
  <si>
    <t>All Pass</t>
  </si>
  <si>
    <t xml:space="preserve">No of. "A" Grade </t>
  </si>
  <si>
    <t xml:space="preserve">No of. "B+" Grade </t>
  </si>
  <si>
    <t xml:space="preserve">No of. "B" Grade </t>
  </si>
  <si>
    <t>Overall Pass %</t>
  </si>
  <si>
    <t>Arrear Position</t>
  </si>
  <si>
    <t>Description</t>
  </si>
  <si>
    <t>All pass</t>
  </si>
  <si>
    <t>No of arrears</t>
  </si>
  <si>
    <t>One</t>
  </si>
  <si>
    <t>Two</t>
  </si>
  <si>
    <t>Three</t>
  </si>
  <si>
    <t>Four</t>
  </si>
  <si>
    <t>Five</t>
  </si>
  <si>
    <t>Six</t>
  </si>
  <si>
    <t>No of students % of pass</t>
  </si>
  <si>
    <t xml:space="preserve">Subjectwise Individual Pass Percentage </t>
  </si>
  <si>
    <t>S.No</t>
  </si>
  <si>
    <t>Subject Code/Name</t>
  </si>
  <si>
    <t>Name of the Faculty</t>
  </si>
  <si>
    <t>Number of Students Registered</t>
  </si>
  <si>
    <t>Number of students Appeard</t>
  </si>
  <si>
    <t>With held Students</t>
  </si>
  <si>
    <t>No of students Passed</t>
  </si>
  <si>
    <t>No of Students Failed</t>
  </si>
  <si>
    <t>Percentage of Passes (%)</t>
  </si>
  <si>
    <t>CS3591 Computer Networks</t>
  </si>
  <si>
    <t>E. Kamalanathan HOD/IT</t>
  </si>
  <si>
    <t>IT3501 Full Stack Web Development</t>
  </si>
  <si>
    <t>M. Poovannan AP/IT</t>
  </si>
  <si>
    <t>CS3551 Distributed Computing</t>
  </si>
  <si>
    <t>M. Vasanthapriya AP/CSE</t>
  </si>
  <si>
    <t>CS3691 Embedded Systems and IoT Laboratory</t>
  </si>
  <si>
    <t>S. Parasuraman ASP/ECE</t>
  </si>
  <si>
    <t>CCS334 Big Data Analytics</t>
  </si>
  <si>
    <t>R. Leelavathi AP/IT</t>
  </si>
  <si>
    <t>CCS366 Software Testing and Automation</t>
  </si>
  <si>
    <t>R. Arunlakshmi AP/CSE</t>
  </si>
  <si>
    <t>IT3511 Full Stack Web Development Laboratory</t>
  </si>
  <si>
    <t>Mr.M.Poovannan, AP/IT</t>
  </si>
  <si>
    <t>MX3081 Mandatory Course-
Introduction to women and gender studies</t>
  </si>
  <si>
    <t>Mr Anbarasu AP/ENGLISH</t>
  </si>
  <si>
    <t>NM1020 Naan Mudhalvan</t>
  </si>
  <si>
    <t>Mrs.R. Leelavathi AP/IT</t>
  </si>
  <si>
    <t xml:space="preserve">Class Advisor </t>
  </si>
  <si>
    <t>HOD</t>
  </si>
  <si>
    <t xml:space="preserve">Principal </t>
  </si>
  <si>
    <t>Dr.P.Palanisamy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</si>
</sst>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36">
    <font>
      <sz val="11.0"/>
      <color/>
      <name val="Arial"/>
      <scheme val="minor"/>
    </font>
    <font>
      <sz val="16.0"/>
      <color rgb="FF000000"/>
      <name val="Calibri"/>
    </font>
    <font>
      <sz val="14.0"/>
      <color rgb="FF000000"/>
      <name val="Calibri"/>
    </font>
    <font>
      <b/>
      <sz val="14.0"/>
      <color rgb="FF000000"/>
      <name val="Times New Roman"/>
    </font>
    <font>
      <sz val="14.0"/>
      <color/>
      <name val="Times New Roman"/>
    </font>
    <font>
      <b/>
      <sz val="12.0"/>
      <color rgb="FF000000"/>
      <name val="Times New Roman"/>
    </font>
    <font>
      <b/>
      <sz val="14.0"/>
      <color/>
      <name val="Cambria"/>
    </font>
    <font>
      <sz val="8.0"/>
      <name val="Arial"/>
    </font>
    <font>
      <b/>
      <sz val="11.0"/>
      <color rgb="FF000000"/>
      <name val="Times New Roman"/>
    </font>
    <font>
      <b/>
      <sz val="9.0"/>
      <color rgb="FF000000"/>
      <name val="Arial"/>
    </font>
    <font>
      <b/>
      <sz val="12.0"/>
      <color rgb="FF000000"/>
      <name val="Arial"/>
    </font>
    <font>
      <sz val="11.0"/>
      <color/>
      <name val="Aptos Narrow"/>
    </font>
    <font/>
    <font>
      <sz val="11.0"/>
      <color rgb="FF000000"/>
      <name val="Times New Roman"/>
    </font>
    <font>
      <sz val="12.0"/>
      <color rgb="FF000000"/>
      <name val="Times New Roman"/>
    </font>
    <font>
      <sz val="14.0"/>
      <color/>
      <name val="Cambria"/>
    </font>
    <font>
      <sz val="6.0"/>
      <name val="Arial"/>
    </font>
    <font>
      <sz val="14.0"/>
      <color rgb="FF000000"/>
      <name val="Times New Roman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000000"/>
      <name val="Calibri"/>
    </font>
    <font>
      <sz val="10.0"/>
      <color rgb="FF000000"/>
      <name val="Calibri"/>
    </font>
    <font>
      <b/>
      <sz val="15.0"/>
      <color rgb="FF000000"/>
      <name val="Arial"/>
    </font>
    <font>
      <sz val="12.0"/>
      <color rgb="FF000000"/>
      <name val="Calibri"/>
    </font>
    <font>
      <b/>
      <sz val="16.0"/>
      <color rgb="FF000000"/>
      <name val="Calibri"/>
    </font>
    <font>
      <b/>
      <sz val="12.0"/>
      <color/>
      <name val="Times New Roman"/>
    </font>
    <font>
      <b/>
      <sz val="14.0"/>
      <color/>
      <name val="Times New Roman"/>
    </font>
    <font>
      <b/>
      <sz val="16.0"/>
      <color/>
      <name val="Times New Roman"/>
    </font>
    <font>
      <b/>
      <sz val="14.0"/>
      <color rgb="FF000000"/>
      <name val="Calibri"/>
    </font>
    <font>
      <b/>
      <sz val="14.0"/>
      <color rgb="FF275317"/>
      <name val="Times New Roman"/>
    </font>
    <font>
      <b/>
      <sz val="14.0"/>
      <color rgb="FFC00000"/>
      <name val="Times New Roman"/>
    </font>
    <font>
      <sz val="14.0"/>
      <color/>
      <name val="Calibri"/>
    </font>
    <font>
      <sz val="12.0"/>
      <color/>
      <name val="Times New Roman"/>
    </font>
    <font>
      <b/>
      <sz val="11.0"/>
      <color/>
      <name val="Aptos Narrow"/>
    </font>
    <font>
      <sz val="10.0"/>
      <color rgb="FF000000"/>
      <name val="Times New Roman"/>
    </font>
    <font>
      <sz val="12.0"/>
      <color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AEAEAE"/>
        <bgColor rgb="FFAEAEAE"/>
      </patternFill>
    </fill>
    <fill>
      <patternFill patternType="solid">
        <fgColor rgb="FFF1CEEE"/>
        <bgColor rgb="FFF1CEEE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1" fillId="0" fontId="4" numFmtId="0" xfId="0" applyBorder="1" applyFont="1"/>
    <xf borderId="2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center" vertical="center"/>
    </xf>
    <xf borderId="3" fillId="0" fontId="7" numFmtId="0" xfId="0" applyBorder="1" applyFont="1"/>
    <xf borderId="3" fillId="0" fontId="8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12" numFmtId="0" xfId="0" applyBorder="1" applyFont="1"/>
    <xf borderId="2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top"/>
    </xf>
    <xf borderId="4" fillId="0" fontId="1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left" vertical="center"/>
    </xf>
    <xf borderId="3" fillId="0" fontId="16" numFmtId="0" xfId="0" applyAlignment="1" applyBorder="1" applyFont="1">
      <alignment horizontal="center" shrinkToFit="0" vertical="top" wrapText="1"/>
    </xf>
    <xf borderId="3" fillId="0" fontId="17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shrinkToFit="0" vertical="top" wrapText="1"/>
    </xf>
    <xf borderId="6" fillId="0" fontId="17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shrinkToFit="0" vertical="top" wrapText="1"/>
    </xf>
    <xf borderId="3" fillId="0" fontId="14" numFmtId="164" xfId="0" applyAlignment="1" applyBorder="1" applyFont="1" applyNumberFormat="1">
      <alignment horizontal="left" vertical="top"/>
    </xf>
    <xf borderId="3" fillId="0" fontId="13" numFmtId="0" xfId="0" applyAlignment="1" applyBorder="1" applyFont="1">
      <alignment horizontal="left" vertical="top"/>
    </xf>
    <xf borderId="7" fillId="0" fontId="18" numFmtId="0" xfId="0" applyAlignment="1" applyBorder="1" applyFont="1">
      <alignment horizontal="center"/>
    </xf>
    <xf borderId="5" fillId="2" fontId="19" numFmtId="0" xfId="0" applyAlignment="1" applyBorder="1" applyFill="1" applyFont="1">
      <alignment horizontal="right" vertical="center"/>
    </xf>
    <xf borderId="7" fillId="0" fontId="12" numFmtId="0" xfId="0" applyBorder="1" applyFont="1"/>
    <xf borderId="6" fillId="0" fontId="12" numFmtId="0" xfId="0" applyBorder="1" applyFont="1"/>
    <xf borderId="3" fillId="3" fontId="10" numFmtId="0" xfId="0" applyAlignment="1" applyBorder="1" applyFill="1" applyFont="1">
      <alignment horizontal="center"/>
    </xf>
    <xf borderId="8" fillId="3" fontId="19" numFmtId="0" xfId="0" applyAlignment="1" applyBorder="1" applyFont="1">
      <alignment horizontal="center"/>
    </xf>
    <xf borderId="3" fillId="0" fontId="20" numFmtId="0" xfId="0" applyBorder="1" applyFont="1"/>
    <xf borderId="3" fillId="0" fontId="20" numFmtId="0" xfId="0" applyAlignment="1" applyBorder="1" applyFont="1">
      <alignment horizontal="center" vertical="center"/>
    </xf>
    <xf borderId="3" fillId="0" fontId="21" numFmtId="0" xfId="0" applyBorder="1" applyFont="1"/>
    <xf borderId="5" fillId="2" fontId="22" numFmtId="0" xfId="0" applyAlignment="1" applyBorder="1" applyFont="1">
      <alignment horizontal="right" vertical="center"/>
    </xf>
    <xf borderId="3" fillId="4" fontId="22" numFmtId="1" xfId="0" applyAlignment="1" applyBorder="1" applyFill="1" applyFont="1" applyNumberFormat="1">
      <alignment horizontal="center"/>
    </xf>
    <xf borderId="8" fillId="4" fontId="19" numFmtId="1" xfId="0" applyAlignment="1" applyBorder="1" applyFont="1" applyNumberFormat="1">
      <alignment horizontal="center"/>
    </xf>
    <xf borderId="3" fillId="0" fontId="23" numFmtId="0" xfId="0" applyBorder="1" applyFont="1"/>
    <xf borderId="3" fillId="0" fontId="23" numFmtId="0" xfId="0" applyAlignment="1" applyBorder="1" applyFont="1">
      <alignment horizontal="center" vertical="center"/>
    </xf>
    <xf borderId="5" fillId="5" fontId="21" numFmtId="0" xfId="0" applyAlignment="1" applyBorder="1" applyFill="1" applyFont="1">
      <alignment horizontal="right"/>
    </xf>
    <xf borderId="9" fillId="0" fontId="12" numFmtId="0" xfId="0" applyBorder="1" applyFont="1"/>
    <xf borderId="5" fillId="5" fontId="24" numFmtId="0" xfId="0" applyAlignment="1" applyBorder="1" applyFont="1">
      <alignment horizontal="center"/>
    </xf>
    <xf borderId="3" fillId="5" fontId="24" numFmtId="0" xfId="0" applyAlignment="1" applyBorder="1" applyFont="1">
      <alignment horizontal="center"/>
    </xf>
    <xf borderId="5" fillId="5" fontId="24" numFmtId="2" xfId="0" applyAlignment="1" applyBorder="1" applyFont="1" applyNumberFormat="1">
      <alignment horizontal="center"/>
    </xf>
    <xf borderId="3" fillId="5" fontId="24" numFmtId="2" xfId="0" applyAlignment="1" applyBorder="1" applyFont="1" applyNumberFormat="1">
      <alignment horizontal="center"/>
    </xf>
    <xf borderId="5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shrinkToFit="0" vertical="top" wrapText="1"/>
    </xf>
    <xf borderId="3" fillId="0" fontId="25" numFmtId="0" xfId="0" applyAlignment="1" applyBorder="1" applyFont="1">
      <alignment horizontal="center" shrinkToFit="0" vertical="top" wrapText="1"/>
    </xf>
    <xf borderId="5" fillId="0" fontId="25" numFmtId="0" xfId="0" applyAlignment="1" applyBorder="1" applyFont="1">
      <alignment horizontal="center" shrinkToFit="0" vertical="top" wrapText="1"/>
    </xf>
    <xf borderId="3" fillId="0" fontId="25" numFmtId="0" xfId="0" applyAlignment="1" applyBorder="1" applyFont="1">
      <alignment horizontal="center"/>
    </xf>
    <xf borderId="3" fillId="0" fontId="25" numFmtId="0" xfId="0" applyAlignment="1" applyBorder="1" applyFont="1">
      <alignment horizontal="center" vertical="center"/>
    </xf>
    <xf borderId="3" fillId="0" fontId="26" numFmtId="0" xfId="0" applyAlignment="1" applyBorder="1" applyFont="1">
      <alignment shrinkToFit="0" wrapText="1"/>
    </xf>
    <xf borderId="3" fillId="0" fontId="27" numFmtId="2" xfId="0" applyAlignment="1" applyBorder="1" applyFont="1" applyNumberFormat="1">
      <alignment horizontal="center" vertical="center"/>
    </xf>
    <xf borderId="3" fillId="0" fontId="27" numFmtId="0" xfId="0" applyAlignment="1" applyBorder="1" applyFont="1">
      <alignment horizontal="center" vertical="center"/>
    </xf>
    <xf borderId="0" fillId="0" fontId="26" numFmtId="0" xfId="0" applyAlignment="1" applyFont="1">
      <alignment shrinkToFit="0" wrapText="1"/>
    </xf>
    <xf borderId="0" fillId="0" fontId="27" numFmtId="2" xfId="0" applyAlignment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28" numFmtId="0" xfId="0" applyFont="1"/>
    <xf borderId="3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29" numFmtId="0" xfId="0" applyAlignment="1" applyBorder="1" applyFont="1">
      <alignment shrinkToFit="0" vertical="center" wrapText="1"/>
    </xf>
    <xf borderId="5" fillId="0" fontId="30" numFmtId="0" xfId="0" applyAlignment="1" applyBorder="1" applyFont="1">
      <alignment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7" fillId="0" fontId="30" numFmtId="0" xfId="0" applyAlignment="1" applyBorder="1" applyFont="1">
      <alignment horizontal="center" shrinkToFit="0" vertical="center" wrapText="1"/>
    </xf>
    <xf borderId="5" fillId="0" fontId="3" numFmtId="9" xfId="0" applyAlignment="1" applyBorder="1" applyFont="1" applyNumberFormat="1">
      <alignment horizontal="center"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1" fillId="0" fontId="12" numFmtId="0" xfId="0" applyBorder="1" applyFont="1"/>
    <xf borderId="12" fillId="0" fontId="1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0" fontId="33" numFmtId="0" xfId="0" applyFont="1"/>
    <xf borderId="0" fillId="0" fontId="34" numFmtId="0" xfId="0" applyFont="1"/>
    <xf borderId="0" fillId="0" fontId="35" numFmtId="0" xfId="0" applyFont="1"/>
    <xf borderId="0" fillId="0" fontId="3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Anna University Result of NOV/DEC Examination - 2025</a:t>
            </a:r>
          </a:p>
        </c:rich>
      </c:tx>
      <c:overlay val="0"/>
    </c:title>
    <c:plotArea>
      <c:layout>
        <c:manualLayout>
          <c:xMode val="edge"/>
          <c:yMode val="edge"/>
          <c:x val="0.04609991182800958"/>
          <c:y val="0.06785192262079329"/>
          <c:w val="0.9274576659226008"/>
          <c:h val="0.675395158938466"/>
        </c:manualLayout>
      </c:layout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IT'!$G$123:$G$131</c:f>
              <c:numCache/>
            </c:numRef>
          </c:val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IT'!$H$123:$H$131</c:f>
              <c:numCache/>
            </c:numRef>
          </c:val>
        </c:ser>
        <c:ser>
          <c:idx val="2"/>
          <c:order val="2"/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IT'!$I$123:$I$131</c:f>
              <c:numCache/>
            </c:numRef>
          </c:val>
        </c:ser>
        <c:ser>
          <c:idx val="3"/>
          <c:order val="3"/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IT'!$K$123:$K$131</c:f>
              <c:numCache/>
            </c:numRef>
          </c:val>
        </c:ser>
        <c:ser>
          <c:idx val="4"/>
          <c:order val="4"/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IT'!$M$123:$M$131</c:f>
              <c:numCache/>
            </c:numRef>
          </c:val>
        </c:ser>
        <c:ser>
          <c:idx val="5"/>
          <c:order val="5"/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IT'!$N$123:$N$131</c:f>
              <c:numCache/>
            </c:numRef>
          </c:val>
        </c:ser>
        <c:ser>
          <c:idx val="6"/>
          <c:order val="6"/>
          <c:spPr>
            <a:solidFill>
              <a:srgbClr val="7BAAF7"/>
            </a:solidFill>
            <a:ln cmpd="sng">
              <a:solidFill>
                <a:srgbClr val="000000"/>
              </a:solidFill>
            </a:ln>
          </c:spPr>
          <c:cat>
            <c:strRef>
              <c:f>'III IT'!$B$123:$B$131</c:f>
            </c:strRef>
          </c:cat>
          <c:val>
            <c:numRef>
              <c:f>'III IT'!$P$123:$P$131</c:f>
              <c:numCache/>
            </c:numRef>
          </c:val>
        </c:ser>
        <c:axId val="91036385"/>
        <c:axId val="1735193774"/>
      </c:barChart>
      <c:catAx>
        <c:axId val="91036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5193774"/>
      </c:catAx>
      <c:valAx>
        <c:axId val="1735193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0363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89</xdr:row>
      <xdr:rowOff>28575</xdr:rowOff>
    </xdr:from>
    <xdr:ext cx="10591800" cy="4495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609600</xdr:colOff>
      <xdr:row>0</xdr:row>
      <xdr:rowOff>28575</xdr:rowOff>
    </xdr:from>
    <xdr:ext cx="666750" cy="571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7.29"/>
    <col customWidth="1" min="4" max="7" width="11.86"/>
    <col customWidth="1" min="8" max="8" width="12.43"/>
    <col customWidth="1" min="9" max="9" width="11.86"/>
    <col customWidth="1" min="10" max="10" width="10.43"/>
    <col customWidth="1" min="11" max="11" width="10.14"/>
    <col customWidth="1" min="12" max="12" width="11.71"/>
    <col customWidth="1" min="13" max="13" width="0.14"/>
    <col customWidth="1" min="14" max="14" width="10.29"/>
    <col customWidth="1" min="15" max="15" width="13.43"/>
    <col customWidth="1" min="16" max="16" width="14.14"/>
    <col customWidth="1" min="17" max="17" width="8.71"/>
    <col customWidth="1" hidden="1" min="18" max="18" width="8.71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 t="s">
        <v>3</v>
      </c>
      <c r="B4" s="4"/>
      <c r="C4" s="4"/>
      <c r="D4" s="4"/>
      <c r="E4" s="4"/>
      <c r="F4" s="4"/>
      <c r="G4" s="5"/>
      <c r="H4" s="5"/>
      <c r="I4" s="4"/>
      <c r="J4" s="4"/>
      <c r="K4" s="4"/>
      <c r="L4" s="4"/>
      <c r="M4" s="4"/>
      <c r="N4" s="4"/>
      <c r="O4" s="4" t="s">
        <v>4</v>
      </c>
      <c r="P4" s="4"/>
      <c r="Q4" s="4"/>
    </row>
    <row r="5">
      <c r="A5" s="6" t="s">
        <v>5</v>
      </c>
      <c r="B5" s="6" t="s">
        <v>6</v>
      </c>
      <c r="C5" s="7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9"/>
      <c r="N5" s="10"/>
      <c r="O5" s="11" t="s">
        <v>17</v>
      </c>
      <c r="P5" s="11" t="s">
        <v>18</v>
      </c>
      <c r="Q5" s="12" t="s">
        <v>19</v>
      </c>
      <c r="R5" s="13"/>
    </row>
    <row r="6">
      <c r="A6" s="14"/>
      <c r="B6" s="14"/>
      <c r="C6" s="7" t="s">
        <v>20</v>
      </c>
      <c r="D6" s="15" t="s">
        <v>21</v>
      </c>
      <c r="E6" s="16" t="s">
        <v>21</v>
      </c>
      <c r="F6" s="16" t="s">
        <v>21</v>
      </c>
      <c r="G6" s="16" t="s">
        <v>21</v>
      </c>
      <c r="H6" s="16" t="s">
        <v>21</v>
      </c>
      <c r="I6" s="16" t="s">
        <v>21</v>
      </c>
      <c r="J6" s="16" t="s">
        <v>21</v>
      </c>
      <c r="K6" s="16" t="s">
        <v>21</v>
      </c>
      <c r="L6" s="16" t="s">
        <v>21</v>
      </c>
      <c r="M6" s="17"/>
      <c r="N6" s="16" t="s">
        <v>21</v>
      </c>
      <c r="O6" s="14"/>
      <c r="P6" s="14"/>
      <c r="Q6" s="14"/>
      <c r="R6" s="13"/>
    </row>
    <row r="7">
      <c r="A7" s="18">
        <v>1.0</v>
      </c>
      <c r="B7" s="19" t="s">
        <v>22</v>
      </c>
      <c r="C7" s="20" t="s">
        <v>23</v>
      </c>
      <c r="D7" s="19" t="s">
        <v>24</v>
      </c>
      <c r="E7" s="19" t="s">
        <v>24</v>
      </c>
      <c r="F7" s="19" t="s">
        <v>25</v>
      </c>
      <c r="G7" s="19" t="s">
        <v>24</v>
      </c>
      <c r="H7" s="19" t="s">
        <v>25</v>
      </c>
      <c r="I7" s="19" t="s">
        <v>25</v>
      </c>
      <c r="J7" s="19" t="s">
        <v>26</v>
      </c>
      <c r="K7" s="19" t="s">
        <v>27</v>
      </c>
      <c r="L7" s="19" t="s">
        <v>27</v>
      </c>
      <c r="M7" s="21"/>
      <c r="N7" s="21"/>
      <c r="O7" s="22" t="str">
        <f>COUNTIF(D7:N7,"U")</f>
        <v>3</v>
      </c>
      <c r="P7" s="22" t="str">
        <f t="shared" ref="P7:P70" si="1">COUNTIF(D7:L7,"UA")</f>
        <v>0</v>
      </c>
      <c r="Q7" s="16" t="str">
        <f t="shared" ref="Q7:Q54" si="2">IF(AND(O7=0,P7=0),"PASS","FAIL")</f>
        <v>FAIL</v>
      </c>
      <c r="R7" s="13" t="str">
        <f t="shared" ref="R7:R54" si="3">IF(OR(D7="U",H7="U",I7="U",J7="U",K7="U",L7="U",#REF!="U",#REF!="U",M7="U"),"FAIL",IF(OR(D7="UA",H7="UA",I7="UA",J7="UA",K7="UA",L7="UA",#REF!="UA",#REF!="UA",M7="UA"),"FAIL","PASS"))</f>
        <v>#REF!</v>
      </c>
    </row>
    <row r="8">
      <c r="A8" s="23">
        <v>2.0</v>
      </c>
      <c r="B8" s="19" t="s">
        <v>28</v>
      </c>
      <c r="C8" s="20" t="s">
        <v>29</v>
      </c>
      <c r="D8" s="19" t="s">
        <v>30</v>
      </c>
      <c r="E8" s="19" t="s">
        <v>26</v>
      </c>
      <c r="F8" s="19" t="s">
        <v>24</v>
      </c>
      <c r="G8" s="19" t="s">
        <v>30</v>
      </c>
      <c r="H8" s="19" t="s">
        <v>30</v>
      </c>
      <c r="I8" s="19" t="s">
        <v>30</v>
      </c>
      <c r="J8" s="19" t="s">
        <v>27</v>
      </c>
      <c r="K8" s="19" t="s">
        <v>27</v>
      </c>
      <c r="L8" s="19" t="s">
        <v>27</v>
      </c>
      <c r="M8" s="21"/>
      <c r="N8" s="21"/>
      <c r="O8" s="22" t="str">
        <f t="shared" ref="O8:O70" si="4">COUNTIF(D8:L8,"U")</f>
        <v>0</v>
      </c>
      <c r="P8" s="22" t="str">
        <f t="shared" si="1"/>
        <v>0</v>
      </c>
      <c r="Q8" s="16" t="str">
        <f t="shared" si="2"/>
        <v>PASS</v>
      </c>
      <c r="R8" s="13" t="str">
        <f t="shared" si="3"/>
        <v>#REF!</v>
      </c>
    </row>
    <row r="9">
      <c r="A9" s="23">
        <v>3.0</v>
      </c>
      <c r="B9" s="19" t="s">
        <v>31</v>
      </c>
      <c r="C9" s="20" t="s">
        <v>32</v>
      </c>
      <c r="D9" s="19" t="s">
        <v>30</v>
      </c>
      <c r="E9" s="19" t="s">
        <v>26</v>
      </c>
      <c r="F9" s="19" t="s">
        <v>30</v>
      </c>
      <c r="G9" s="19" t="s">
        <v>30</v>
      </c>
      <c r="H9" s="19" t="s">
        <v>30</v>
      </c>
      <c r="I9" s="19" t="s">
        <v>30</v>
      </c>
      <c r="J9" s="19" t="s">
        <v>27</v>
      </c>
      <c r="K9" s="19" t="s">
        <v>27</v>
      </c>
      <c r="L9" s="19" t="s">
        <v>27</v>
      </c>
      <c r="M9" s="21"/>
      <c r="N9" s="21"/>
      <c r="O9" s="22" t="str">
        <f t="shared" si="4"/>
        <v>0</v>
      </c>
      <c r="P9" s="22" t="str">
        <f t="shared" si="1"/>
        <v>0</v>
      </c>
      <c r="Q9" s="16" t="str">
        <f t="shared" si="2"/>
        <v>PASS</v>
      </c>
      <c r="R9" s="13" t="str">
        <f t="shared" si="3"/>
        <v>#REF!</v>
      </c>
    </row>
    <row r="10">
      <c r="A10" s="23">
        <v>4.0</v>
      </c>
      <c r="B10" s="19" t="s">
        <v>33</v>
      </c>
      <c r="C10" s="20" t="s">
        <v>34</v>
      </c>
      <c r="D10" s="19" t="s">
        <v>26</v>
      </c>
      <c r="E10" s="19" t="s">
        <v>26</v>
      </c>
      <c r="F10" s="19" t="s">
        <v>26</v>
      </c>
      <c r="G10" s="19" t="s">
        <v>30</v>
      </c>
      <c r="H10" s="19" t="s">
        <v>26</v>
      </c>
      <c r="I10" s="19" t="s">
        <v>26</v>
      </c>
      <c r="J10" s="19" t="s">
        <v>27</v>
      </c>
      <c r="K10" s="19" t="s">
        <v>27</v>
      </c>
      <c r="L10" s="19" t="s">
        <v>27</v>
      </c>
      <c r="M10" s="21"/>
      <c r="N10" s="21"/>
      <c r="O10" s="22" t="str">
        <f t="shared" si="4"/>
        <v>0</v>
      </c>
      <c r="P10" s="22" t="str">
        <f t="shared" si="1"/>
        <v>0</v>
      </c>
      <c r="Q10" s="16" t="str">
        <f t="shared" si="2"/>
        <v>PASS</v>
      </c>
      <c r="R10" s="13" t="str">
        <f t="shared" si="3"/>
        <v>#REF!</v>
      </c>
    </row>
    <row r="11">
      <c r="A11" s="23">
        <v>5.0</v>
      </c>
      <c r="B11" s="19" t="s">
        <v>35</v>
      </c>
      <c r="C11" s="20" t="s">
        <v>36</v>
      </c>
      <c r="D11" s="19" t="s">
        <v>30</v>
      </c>
      <c r="E11" s="19" t="s">
        <v>24</v>
      </c>
      <c r="F11" s="19" t="s">
        <v>24</v>
      </c>
      <c r="G11" s="19" t="s">
        <v>24</v>
      </c>
      <c r="H11" s="19" t="s">
        <v>24</v>
      </c>
      <c r="I11" s="19" t="s">
        <v>24</v>
      </c>
      <c r="J11" s="19" t="s">
        <v>26</v>
      </c>
      <c r="K11" s="19" t="s">
        <v>27</v>
      </c>
      <c r="L11" s="19" t="s">
        <v>27</v>
      </c>
      <c r="M11" s="21"/>
      <c r="N11" s="21"/>
      <c r="O11" s="22" t="str">
        <f t="shared" si="4"/>
        <v>0</v>
      </c>
      <c r="P11" s="22" t="str">
        <f t="shared" si="1"/>
        <v>0</v>
      </c>
      <c r="Q11" s="16" t="str">
        <f t="shared" si="2"/>
        <v>PASS</v>
      </c>
      <c r="R11" s="13" t="str">
        <f t="shared" si="3"/>
        <v>#REF!</v>
      </c>
    </row>
    <row r="12">
      <c r="A12" s="23">
        <v>6.0</v>
      </c>
      <c r="B12" s="19" t="s">
        <v>37</v>
      </c>
      <c r="C12" s="20" t="s">
        <v>38</v>
      </c>
      <c r="D12" s="19" t="s">
        <v>30</v>
      </c>
      <c r="E12" s="19" t="s">
        <v>30</v>
      </c>
      <c r="F12" s="19" t="s">
        <v>30</v>
      </c>
      <c r="G12" s="19" t="s">
        <v>30</v>
      </c>
      <c r="H12" s="19" t="s">
        <v>30</v>
      </c>
      <c r="I12" s="19" t="s">
        <v>30</v>
      </c>
      <c r="J12" s="19" t="s">
        <v>26</v>
      </c>
      <c r="K12" s="19" t="s">
        <v>27</v>
      </c>
      <c r="L12" s="19" t="s">
        <v>27</v>
      </c>
      <c r="M12" s="21"/>
      <c r="N12" s="21"/>
      <c r="O12" s="22" t="str">
        <f t="shared" si="4"/>
        <v>0</v>
      </c>
      <c r="P12" s="22" t="str">
        <f t="shared" si="1"/>
        <v>0</v>
      </c>
      <c r="Q12" s="16" t="str">
        <f t="shared" si="2"/>
        <v>PASS</v>
      </c>
      <c r="R12" s="13" t="str">
        <f t="shared" si="3"/>
        <v>#REF!</v>
      </c>
    </row>
    <row r="13">
      <c r="A13" s="23">
        <v>7.0</v>
      </c>
      <c r="B13" s="19" t="s">
        <v>39</v>
      </c>
      <c r="C13" s="20" t="s">
        <v>40</v>
      </c>
      <c r="D13" s="19" t="s">
        <v>30</v>
      </c>
      <c r="E13" s="19" t="s">
        <v>24</v>
      </c>
      <c r="F13" s="19" t="s">
        <v>24</v>
      </c>
      <c r="G13" s="19" t="s">
        <v>30</v>
      </c>
      <c r="H13" s="19" t="s">
        <v>24</v>
      </c>
      <c r="I13" s="19" t="s">
        <v>25</v>
      </c>
      <c r="J13" s="19" t="s">
        <v>26</v>
      </c>
      <c r="K13" s="19" t="s">
        <v>27</v>
      </c>
      <c r="L13" s="19" t="s">
        <v>27</v>
      </c>
      <c r="M13" s="21"/>
      <c r="N13" s="21"/>
      <c r="O13" s="22" t="str">
        <f t="shared" si="4"/>
        <v>1</v>
      </c>
      <c r="P13" s="22" t="str">
        <f t="shared" si="1"/>
        <v>0</v>
      </c>
      <c r="Q13" s="16" t="str">
        <f t="shared" si="2"/>
        <v>FAIL</v>
      </c>
      <c r="R13" s="13" t="str">
        <f t="shared" si="3"/>
        <v>#REF!</v>
      </c>
    </row>
    <row r="14">
      <c r="A14" s="23">
        <v>8.0</v>
      </c>
      <c r="B14" s="19" t="s">
        <v>41</v>
      </c>
      <c r="C14" s="20" t="s">
        <v>42</v>
      </c>
      <c r="D14" s="19" t="s">
        <v>24</v>
      </c>
      <c r="E14" s="19" t="s">
        <v>30</v>
      </c>
      <c r="F14" s="19" t="s">
        <v>24</v>
      </c>
      <c r="G14" s="19" t="s">
        <v>30</v>
      </c>
      <c r="H14" s="19" t="s">
        <v>24</v>
      </c>
      <c r="I14" s="19" t="s">
        <v>25</v>
      </c>
      <c r="J14" s="19" t="s">
        <v>26</v>
      </c>
      <c r="K14" s="19" t="s">
        <v>27</v>
      </c>
      <c r="L14" s="19" t="s">
        <v>27</v>
      </c>
      <c r="M14" s="21"/>
      <c r="N14" s="21"/>
      <c r="O14" s="22" t="str">
        <f t="shared" si="4"/>
        <v>1</v>
      </c>
      <c r="P14" s="22" t="str">
        <f t="shared" si="1"/>
        <v>0</v>
      </c>
      <c r="Q14" s="16" t="str">
        <f t="shared" si="2"/>
        <v>FAIL</v>
      </c>
      <c r="R14" s="13" t="str">
        <f t="shared" si="3"/>
        <v>#REF!</v>
      </c>
    </row>
    <row r="15">
      <c r="A15" s="23">
        <v>9.0</v>
      </c>
      <c r="B15" s="19" t="s">
        <v>43</v>
      </c>
      <c r="C15" s="20" t="s">
        <v>44</v>
      </c>
      <c r="D15" s="19" t="s">
        <v>30</v>
      </c>
      <c r="E15" s="19" t="s">
        <v>24</v>
      </c>
      <c r="F15" s="19" t="s">
        <v>24</v>
      </c>
      <c r="G15" s="19" t="s">
        <v>30</v>
      </c>
      <c r="H15" s="19" t="s">
        <v>30</v>
      </c>
      <c r="I15" s="19" t="s">
        <v>24</v>
      </c>
      <c r="J15" s="19" t="s">
        <v>26</v>
      </c>
      <c r="K15" s="19" t="s">
        <v>27</v>
      </c>
      <c r="L15" s="19" t="s">
        <v>27</v>
      </c>
      <c r="M15" s="21"/>
      <c r="N15" s="21"/>
      <c r="O15" s="22" t="str">
        <f t="shared" si="4"/>
        <v>0</v>
      </c>
      <c r="P15" s="22" t="str">
        <f t="shared" si="1"/>
        <v>0</v>
      </c>
      <c r="Q15" s="16" t="str">
        <f t="shared" si="2"/>
        <v>PASS</v>
      </c>
      <c r="R15" s="13" t="str">
        <f t="shared" si="3"/>
        <v>#REF!</v>
      </c>
    </row>
    <row r="16">
      <c r="A16" s="23">
        <v>10.0</v>
      </c>
      <c r="B16" s="19" t="s">
        <v>45</v>
      </c>
      <c r="C16" s="20" t="s">
        <v>46</v>
      </c>
      <c r="D16" s="19" t="s">
        <v>26</v>
      </c>
      <c r="E16" s="19" t="s">
        <v>26</v>
      </c>
      <c r="F16" s="19" t="s">
        <v>26</v>
      </c>
      <c r="G16" s="19" t="s">
        <v>30</v>
      </c>
      <c r="H16" s="19" t="s">
        <v>30</v>
      </c>
      <c r="I16" s="19" t="s">
        <v>27</v>
      </c>
      <c r="J16" s="19" t="s">
        <v>27</v>
      </c>
      <c r="K16" s="19" t="s">
        <v>27</v>
      </c>
      <c r="L16" s="19" t="s">
        <v>27</v>
      </c>
      <c r="M16" s="21"/>
      <c r="N16" s="21"/>
      <c r="O16" s="22" t="str">
        <f t="shared" si="4"/>
        <v>0</v>
      </c>
      <c r="P16" s="22" t="str">
        <f t="shared" si="1"/>
        <v>0</v>
      </c>
      <c r="Q16" s="16" t="str">
        <f t="shared" si="2"/>
        <v>PASS</v>
      </c>
      <c r="R16" s="13" t="str">
        <f t="shared" si="3"/>
        <v>#REF!</v>
      </c>
    </row>
    <row r="17">
      <c r="A17" s="23">
        <v>11.0</v>
      </c>
      <c r="B17" s="19" t="s">
        <v>47</v>
      </c>
      <c r="C17" s="20" t="s">
        <v>48</v>
      </c>
      <c r="D17" s="19" t="s">
        <v>30</v>
      </c>
      <c r="E17" s="19" t="s">
        <v>30</v>
      </c>
      <c r="F17" s="19" t="s">
        <v>26</v>
      </c>
      <c r="G17" s="19" t="s">
        <v>30</v>
      </c>
      <c r="H17" s="19" t="s">
        <v>30</v>
      </c>
      <c r="I17" s="19" t="s">
        <v>26</v>
      </c>
      <c r="J17" s="19" t="s">
        <v>26</v>
      </c>
      <c r="K17" s="19" t="s">
        <v>27</v>
      </c>
      <c r="L17" s="19" t="s">
        <v>27</v>
      </c>
      <c r="M17" s="21"/>
      <c r="N17" s="21"/>
      <c r="O17" s="22" t="str">
        <f t="shared" si="4"/>
        <v>0</v>
      </c>
      <c r="P17" s="22" t="str">
        <f t="shared" si="1"/>
        <v>0</v>
      </c>
      <c r="Q17" s="16" t="str">
        <f t="shared" si="2"/>
        <v>PASS</v>
      </c>
      <c r="R17" s="13" t="str">
        <f t="shared" si="3"/>
        <v>#REF!</v>
      </c>
    </row>
    <row r="18">
      <c r="A18" s="23">
        <v>12.0</v>
      </c>
      <c r="B18" s="19" t="s">
        <v>49</v>
      </c>
      <c r="C18" s="20" t="s">
        <v>50</v>
      </c>
      <c r="D18" s="19" t="s">
        <v>30</v>
      </c>
      <c r="E18" s="19" t="s">
        <v>30</v>
      </c>
      <c r="F18" s="19" t="s">
        <v>30</v>
      </c>
      <c r="G18" s="19" t="s">
        <v>30</v>
      </c>
      <c r="H18" s="19" t="s">
        <v>26</v>
      </c>
      <c r="I18" s="19" t="s">
        <v>26</v>
      </c>
      <c r="J18" s="19" t="s">
        <v>27</v>
      </c>
      <c r="K18" s="19" t="s">
        <v>27</v>
      </c>
      <c r="L18" s="19" t="s">
        <v>27</v>
      </c>
      <c r="M18" s="21"/>
      <c r="N18" s="21"/>
      <c r="O18" s="22" t="str">
        <f t="shared" si="4"/>
        <v>0</v>
      </c>
      <c r="P18" s="22" t="str">
        <f t="shared" si="1"/>
        <v>0</v>
      </c>
      <c r="Q18" s="16" t="str">
        <f t="shared" si="2"/>
        <v>PASS</v>
      </c>
      <c r="R18" s="13" t="str">
        <f t="shared" si="3"/>
        <v>#REF!</v>
      </c>
    </row>
    <row r="19">
      <c r="A19" s="23">
        <v>13.0</v>
      </c>
      <c r="B19" s="19" t="s">
        <v>51</v>
      </c>
      <c r="C19" s="20" t="s">
        <v>52</v>
      </c>
      <c r="D19" s="19" t="s">
        <v>30</v>
      </c>
      <c r="E19" s="19" t="s">
        <v>30</v>
      </c>
      <c r="F19" s="19" t="s">
        <v>26</v>
      </c>
      <c r="G19" s="19" t="s">
        <v>30</v>
      </c>
      <c r="H19" s="19" t="s">
        <v>30</v>
      </c>
      <c r="I19" s="19" t="s">
        <v>30</v>
      </c>
      <c r="J19" s="19" t="s">
        <v>27</v>
      </c>
      <c r="K19" s="19" t="s">
        <v>27</v>
      </c>
      <c r="L19" s="19" t="s">
        <v>27</v>
      </c>
      <c r="M19" s="21"/>
      <c r="N19" s="21"/>
      <c r="O19" s="22" t="str">
        <f t="shared" si="4"/>
        <v>0</v>
      </c>
      <c r="P19" s="22" t="str">
        <f t="shared" si="1"/>
        <v>0</v>
      </c>
      <c r="Q19" s="16" t="str">
        <f t="shared" si="2"/>
        <v>PASS</v>
      </c>
      <c r="R19" s="13" t="str">
        <f t="shared" si="3"/>
        <v>#REF!</v>
      </c>
    </row>
    <row r="20">
      <c r="A20" s="23">
        <v>14.0</v>
      </c>
      <c r="B20" s="19" t="s">
        <v>53</v>
      </c>
      <c r="C20" s="20" t="s">
        <v>54</v>
      </c>
      <c r="D20" s="19" t="s">
        <v>30</v>
      </c>
      <c r="E20" s="19" t="s">
        <v>30</v>
      </c>
      <c r="F20" s="19" t="s">
        <v>30</v>
      </c>
      <c r="G20" s="19" t="s">
        <v>26</v>
      </c>
      <c r="H20" s="19" t="s">
        <v>30</v>
      </c>
      <c r="I20" s="19" t="s">
        <v>30</v>
      </c>
      <c r="J20" s="19" t="s">
        <v>27</v>
      </c>
      <c r="K20" s="19" t="s">
        <v>27</v>
      </c>
      <c r="L20" s="19" t="s">
        <v>27</v>
      </c>
      <c r="M20" s="21"/>
      <c r="N20" s="21"/>
      <c r="O20" s="22" t="str">
        <f t="shared" si="4"/>
        <v>0</v>
      </c>
      <c r="P20" s="22" t="str">
        <f t="shared" si="1"/>
        <v>0</v>
      </c>
      <c r="Q20" s="16" t="str">
        <f t="shared" si="2"/>
        <v>PASS</v>
      </c>
      <c r="R20" s="13" t="str">
        <f t="shared" si="3"/>
        <v>#REF!</v>
      </c>
    </row>
    <row r="21" ht="15.75" customHeight="1">
      <c r="A21" s="23">
        <v>15.0</v>
      </c>
      <c r="B21" s="19" t="s">
        <v>55</v>
      </c>
      <c r="C21" s="20" t="s">
        <v>56</v>
      </c>
      <c r="D21" s="19" t="s">
        <v>30</v>
      </c>
      <c r="E21" s="19" t="s">
        <v>26</v>
      </c>
      <c r="F21" s="19" t="s">
        <v>26</v>
      </c>
      <c r="G21" s="19" t="s">
        <v>30</v>
      </c>
      <c r="H21" s="19" t="s">
        <v>30</v>
      </c>
      <c r="I21" s="19" t="s">
        <v>27</v>
      </c>
      <c r="J21" s="19" t="s">
        <v>27</v>
      </c>
      <c r="K21" s="19" t="s">
        <v>27</v>
      </c>
      <c r="L21" s="19" t="s">
        <v>27</v>
      </c>
      <c r="M21" s="21"/>
      <c r="N21" s="21"/>
      <c r="O21" s="22" t="str">
        <f t="shared" si="4"/>
        <v>0</v>
      </c>
      <c r="P21" s="22" t="str">
        <f t="shared" si="1"/>
        <v>0</v>
      </c>
      <c r="Q21" s="16" t="str">
        <f t="shared" si="2"/>
        <v>PASS</v>
      </c>
      <c r="R21" s="13" t="str">
        <f t="shared" si="3"/>
        <v>#REF!</v>
      </c>
    </row>
    <row r="22" ht="15.75" customHeight="1">
      <c r="A22" s="23">
        <v>16.0</v>
      </c>
      <c r="B22" s="19" t="s">
        <v>57</v>
      </c>
      <c r="C22" s="20" t="s">
        <v>58</v>
      </c>
      <c r="D22" s="19" t="s">
        <v>30</v>
      </c>
      <c r="E22" s="19" t="s">
        <v>30</v>
      </c>
      <c r="F22" s="19" t="s">
        <v>24</v>
      </c>
      <c r="G22" s="19" t="s">
        <v>30</v>
      </c>
      <c r="H22" s="19" t="s">
        <v>30</v>
      </c>
      <c r="I22" s="19" t="s">
        <v>30</v>
      </c>
      <c r="J22" s="19" t="s">
        <v>26</v>
      </c>
      <c r="K22" s="19" t="s">
        <v>27</v>
      </c>
      <c r="L22" s="19" t="s">
        <v>27</v>
      </c>
      <c r="M22" s="24"/>
      <c r="N22" s="21"/>
      <c r="O22" s="25" t="str">
        <f t="shared" si="4"/>
        <v>0</v>
      </c>
      <c r="P22" s="22" t="str">
        <f t="shared" si="1"/>
        <v>0</v>
      </c>
      <c r="Q22" s="16" t="str">
        <f t="shared" si="2"/>
        <v>PASS</v>
      </c>
      <c r="R22" s="13" t="str">
        <f t="shared" si="3"/>
        <v>#REF!</v>
      </c>
    </row>
    <row r="23" ht="15.75" customHeight="1">
      <c r="A23" s="23">
        <v>17.0</v>
      </c>
      <c r="B23" s="19" t="s">
        <v>59</v>
      </c>
      <c r="C23" s="20" t="s">
        <v>60</v>
      </c>
      <c r="D23" s="19" t="s">
        <v>30</v>
      </c>
      <c r="E23" s="19" t="s">
        <v>30</v>
      </c>
      <c r="F23" s="19" t="s">
        <v>30</v>
      </c>
      <c r="G23" s="19" t="s">
        <v>30</v>
      </c>
      <c r="H23" s="19" t="s">
        <v>30</v>
      </c>
      <c r="I23" s="19" t="s">
        <v>30</v>
      </c>
      <c r="J23" s="19" t="s">
        <v>27</v>
      </c>
      <c r="K23" s="19" t="s">
        <v>27</v>
      </c>
      <c r="L23" s="19" t="s">
        <v>27</v>
      </c>
      <c r="M23" s="24"/>
      <c r="N23" s="21"/>
      <c r="O23" s="25" t="str">
        <f t="shared" si="4"/>
        <v>0</v>
      </c>
      <c r="P23" s="22" t="str">
        <f t="shared" si="1"/>
        <v>0</v>
      </c>
      <c r="Q23" s="16" t="str">
        <f t="shared" si="2"/>
        <v>PASS</v>
      </c>
      <c r="R23" s="13" t="str">
        <f t="shared" si="3"/>
        <v>#REF!</v>
      </c>
    </row>
    <row r="24" ht="15.75" customHeight="1">
      <c r="A24" s="23">
        <v>18.0</v>
      </c>
      <c r="B24" s="19" t="s">
        <v>61</v>
      </c>
      <c r="C24" s="20" t="s">
        <v>62</v>
      </c>
      <c r="D24" s="19" t="s">
        <v>26</v>
      </c>
      <c r="E24" s="19" t="s">
        <v>26</v>
      </c>
      <c r="F24" s="19" t="s">
        <v>26</v>
      </c>
      <c r="G24" s="19" t="s">
        <v>30</v>
      </c>
      <c r="H24" s="19" t="s">
        <v>30</v>
      </c>
      <c r="I24" s="19" t="s">
        <v>26</v>
      </c>
      <c r="J24" s="19" t="s">
        <v>27</v>
      </c>
      <c r="K24" s="19" t="s">
        <v>27</v>
      </c>
      <c r="L24" s="19" t="s">
        <v>27</v>
      </c>
      <c r="M24" s="24"/>
      <c r="N24" s="21"/>
      <c r="O24" s="25" t="str">
        <f t="shared" si="4"/>
        <v>0</v>
      </c>
      <c r="P24" s="22" t="str">
        <f t="shared" si="1"/>
        <v>0</v>
      </c>
      <c r="Q24" s="16" t="str">
        <f t="shared" si="2"/>
        <v>PASS</v>
      </c>
      <c r="R24" s="13" t="str">
        <f t="shared" si="3"/>
        <v>#REF!</v>
      </c>
    </row>
    <row r="25" ht="15.75" customHeight="1">
      <c r="A25" s="23">
        <v>19.0</v>
      </c>
      <c r="B25" s="19" t="s">
        <v>63</v>
      </c>
      <c r="C25" s="20" t="s">
        <v>64</v>
      </c>
      <c r="D25" s="19" t="s">
        <v>30</v>
      </c>
      <c r="E25" s="19" t="s">
        <v>30</v>
      </c>
      <c r="F25" s="19" t="s">
        <v>30</v>
      </c>
      <c r="G25" s="19" t="s">
        <v>30</v>
      </c>
      <c r="H25" s="19" t="s">
        <v>30</v>
      </c>
      <c r="I25" s="19" t="s">
        <v>26</v>
      </c>
      <c r="J25" s="19" t="s">
        <v>27</v>
      </c>
      <c r="K25" s="19" t="s">
        <v>27</v>
      </c>
      <c r="L25" s="19" t="s">
        <v>27</v>
      </c>
      <c r="M25" s="21"/>
      <c r="N25" s="21"/>
      <c r="O25" s="22" t="str">
        <f t="shared" si="4"/>
        <v>0</v>
      </c>
      <c r="P25" s="22" t="str">
        <f t="shared" si="1"/>
        <v>0</v>
      </c>
      <c r="Q25" s="16" t="str">
        <f t="shared" si="2"/>
        <v>PASS</v>
      </c>
      <c r="R25" s="13" t="str">
        <f t="shared" si="3"/>
        <v>#REF!</v>
      </c>
    </row>
    <row r="26" ht="15.75" customHeight="1">
      <c r="A26" s="23">
        <v>20.0</v>
      </c>
      <c r="B26" s="19" t="s">
        <v>65</v>
      </c>
      <c r="C26" s="20" t="s">
        <v>66</v>
      </c>
      <c r="D26" s="19" t="s">
        <v>30</v>
      </c>
      <c r="E26" s="19" t="s">
        <v>30</v>
      </c>
      <c r="F26" s="19" t="s">
        <v>30</v>
      </c>
      <c r="G26" s="19" t="s">
        <v>30</v>
      </c>
      <c r="H26" s="19" t="s">
        <v>30</v>
      </c>
      <c r="I26" s="19" t="s">
        <v>24</v>
      </c>
      <c r="J26" s="19" t="s">
        <v>26</v>
      </c>
      <c r="K26" s="19" t="s">
        <v>27</v>
      </c>
      <c r="L26" s="19" t="s">
        <v>27</v>
      </c>
      <c r="M26" s="21"/>
      <c r="N26" s="21"/>
      <c r="O26" s="22" t="str">
        <f t="shared" si="4"/>
        <v>0</v>
      </c>
      <c r="P26" s="22" t="str">
        <f t="shared" si="1"/>
        <v>0</v>
      </c>
      <c r="Q26" s="16" t="str">
        <f t="shared" si="2"/>
        <v>PASS</v>
      </c>
      <c r="R26" s="13" t="str">
        <f t="shared" si="3"/>
        <v>#REF!</v>
      </c>
    </row>
    <row r="27" ht="15.75" customHeight="1">
      <c r="A27" s="23">
        <v>21.0</v>
      </c>
      <c r="B27" s="19" t="s">
        <v>67</v>
      </c>
      <c r="C27" s="20" t="s">
        <v>68</v>
      </c>
      <c r="D27" s="19" t="s">
        <v>30</v>
      </c>
      <c r="E27" s="19" t="s">
        <v>30</v>
      </c>
      <c r="F27" s="19" t="s">
        <v>26</v>
      </c>
      <c r="G27" s="19" t="s">
        <v>30</v>
      </c>
      <c r="H27" s="19" t="s">
        <v>30</v>
      </c>
      <c r="I27" s="19" t="s">
        <v>26</v>
      </c>
      <c r="J27" s="19" t="s">
        <v>26</v>
      </c>
      <c r="K27" s="19" t="s">
        <v>27</v>
      </c>
      <c r="L27" s="19" t="s">
        <v>27</v>
      </c>
      <c r="M27" s="21"/>
      <c r="N27" s="21"/>
      <c r="O27" s="22" t="str">
        <f t="shared" si="4"/>
        <v>0</v>
      </c>
      <c r="P27" s="22" t="str">
        <f t="shared" si="1"/>
        <v>0</v>
      </c>
      <c r="Q27" s="16" t="str">
        <f t="shared" si="2"/>
        <v>PASS</v>
      </c>
      <c r="R27" s="13" t="str">
        <f t="shared" si="3"/>
        <v>#REF!</v>
      </c>
    </row>
    <row r="28" ht="15.75" customHeight="1">
      <c r="A28" s="23">
        <v>22.0</v>
      </c>
      <c r="B28" s="19" t="s">
        <v>69</v>
      </c>
      <c r="C28" s="20" t="s">
        <v>70</v>
      </c>
      <c r="D28" s="19" t="s">
        <v>30</v>
      </c>
      <c r="E28" s="19" t="s">
        <v>26</v>
      </c>
      <c r="F28" s="19" t="s">
        <v>26</v>
      </c>
      <c r="G28" s="19" t="s">
        <v>30</v>
      </c>
      <c r="H28" s="19" t="s">
        <v>30</v>
      </c>
      <c r="I28" s="19" t="s">
        <v>27</v>
      </c>
      <c r="J28" s="19" t="s">
        <v>27</v>
      </c>
      <c r="K28" s="19" t="s">
        <v>27</v>
      </c>
      <c r="L28" s="19" t="s">
        <v>27</v>
      </c>
      <c r="M28" s="21"/>
      <c r="N28" s="21"/>
      <c r="O28" s="22" t="str">
        <f t="shared" si="4"/>
        <v>0</v>
      </c>
      <c r="P28" s="22" t="str">
        <f t="shared" si="1"/>
        <v>0</v>
      </c>
      <c r="Q28" s="16" t="str">
        <f t="shared" si="2"/>
        <v>PASS</v>
      </c>
      <c r="R28" s="13" t="str">
        <f t="shared" si="3"/>
        <v>#REF!</v>
      </c>
    </row>
    <row r="29" ht="15.75" customHeight="1">
      <c r="A29" s="23">
        <v>23.0</v>
      </c>
      <c r="B29" s="19" t="s">
        <v>71</v>
      </c>
      <c r="C29" s="20" t="s">
        <v>72</v>
      </c>
      <c r="D29" s="19" t="s">
        <v>30</v>
      </c>
      <c r="E29" s="19" t="s">
        <v>30</v>
      </c>
      <c r="F29" s="19" t="s">
        <v>30</v>
      </c>
      <c r="G29" s="19" t="s">
        <v>30</v>
      </c>
      <c r="H29" s="19" t="s">
        <v>30</v>
      </c>
      <c r="I29" s="19" t="s">
        <v>30</v>
      </c>
      <c r="J29" s="19" t="s">
        <v>26</v>
      </c>
      <c r="K29" s="19" t="s">
        <v>27</v>
      </c>
      <c r="L29" s="19" t="s">
        <v>27</v>
      </c>
      <c r="M29" s="21"/>
      <c r="N29" s="21"/>
      <c r="O29" s="22" t="str">
        <f t="shared" si="4"/>
        <v>0</v>
      </c>
      <c r="P29" s="22" t="str">
        <f t="shared" si="1"/>
        <v>0</v>
      </c>
      <c r="Q29" s="16" t="str">
        <f t="shared" si="2"/>
        <v>PASS</v>
      </c>
      <c r="R29" s="13" t="str">
        <f t="shared" si="3"/>
        <v>#REF!</v>
      </c>
    </row>
    <row r="30" ht="15.75" customHeight="1">
      <c r="A30" s="23">
        <v>24.0</v>
      </c>
      <c r="B30" s="19" t="s">
        <v>73</v>
      </c>
      <c r="C30" s="20" t="s">
        <v>74</v>
      </c>
      <c r="D30" s="19" t="s">
        <v>30</v>
      </c>
      <c r="E30" s="19" t="s">
        <v>30</v>
      </c>
      <c r="F30" s="19" t="s">
        <v>24</v>
      </c>
      <c r="G30" s="19" t="s">
        <v>30</v>
      </c>
      <c r="H30" s="19" t="s">
        <v>30</v>
      </c>
      <c r="I30" s="19" t="s">
        <v>30</v>
      </c>
      <c r="J30" s="19" t="s">
        <v>26</v>
      </c>
      <c r="K30" s="19" t="s">
        <v>27</v>
      </c>
      <c r="L30" s="19" t="s">
        <v>27</v>
      </c>
      <c r="M30" s="21"/>
      <c r="N30" s="21"/>
      <c r="O30" s="22" t="str">
        <f t="shared" si="4"/>
        <v>0</v>
      </c>
      <c r="P30" s="22" t="str">
        <f t="shared" si="1"/>
        <v>0</v>
      </c>
      <c r="Q30" s="16" t="str">
        <f t="shared" si="2"/>
        <v>PASS</v>
      </c>
      <c r="R30" s="13" t="str">
        <f t="shared" si="3"/>
        <v>#REF!</v>
      </c>
    </row>
    <row r="31" ht="15.75" customHeight="1">
      <c r="A31" s="23">
        <v>25.0</v>
      </c>
      <c r="B31" s="19" t="s">
        <v>75</v>
      </c>
      <c r="C31" s="20" t="s">
        <v>76</v>
      </c>
      <c r="D31" s="19" t="s">
        <v>77</v>
      </c>
      <c r="E31" s="19" t="s">
        <v>30</v>
      </c>
      <c r="F31" s="19" t="s">
        <v>25</v>
      </c>
      <c r="G31" s="19" t="s">
        <v>30</v>
      </c>
      <c r="H31" s="19" t="s">
        <v>30</v>
      </c>
      <c r="I31" s="19" t="s">
        <v>24</v>
      </c>
      <c r="J31" s="19" t="s">
        <v>26</v>
      </c>
      <c r="K31" s="19" t="s">
        <v>27</v>
      </c>
      <c r="L31" s="19" t="s">
        <v>27</v>
      </c>
      <c r="M31" s="21"/>
      <c r="N31" s="21"/>
      <c r="O31" s="22" t="str">
        <f t="shared" si="4"/>
        <v>1</v>
      </c>
      <c r="P31" s="22" t="str">
        <f t="shared" si="1"/>
        <v>1</v>
      </c>
      <c r="Q31" s="16" t="str">
        <f t="shared" si="2"/>
        <v>FAIL</v>
      </c>
      <c r="R31" s="13" t="str">
        <f t="shared" si="3"/>
        <v>#REF!</v>
      </c>
    </row>
    <row r="32" ht="15.75" customHeight="1">
      <c r="A32" s="23">
        <v>26.0</v>
      </c>
      <c r="B32" s="19" t="s">
        <v>78</v>
      </c>
      <c r="C32" s="20" t="s">
        <v>79</v>
      </c>
      <c r="D32" s="19" t="s">
        <v>26</v>
      </c>
      <c r="E32" s="19" t="s">
        <v>30</v>
      </c>
      <c r="F32" s="19" t="s">
        <v>30</v>
      </c>
      <c r="G32" s="19" t="s">
        <v>26</v>
      </c>
      <c r="H32" s="19" t="s">
        <v>30</v>
      </c>
      <c r="I32" s="19" t="s">
        <v>26</v>
      </c>
      <c r="J32" s="19" t="s">
        <v>26</v>
      </c>
      <c r="K32" s="19" t="s">
        <v>27</v>
      </c>
      <c r="L32" s="19" t="s">
        <v>27</v>
      </c>
      <c r="M32" s="21"/>
      <c r="N32" s="21"/>
      <c r="O32" s="22" t="str">
        <f t="shared" si="4"/>
        <v>0</v>
      </c>
      <c r="P32" s="22" t="str">
        <f t="shared" si="1"/>
        <v>0</v>
      </c>
      <c r="Q32" s="16" t="str">
        <f t="shared" si="2"/>
        <v>PASS</v>
      </c>
      <c r="R32" s="13" t="str">
        <f t="shared" si="3"/>
        <v>#REF!</v>
      </c>
    </row>
    <row r="33" ht="15.75" customHeight="1">
      <c r="A33" s="23">
        <v>27.0</v>
      </c>
      <c r="B33" s="19" t="s">
        <v>80</v>
      </c>
      <c r="C33" s="20" t="s">
        <v>81</v>
      </c>
      <c r="D33" s="19" t="s">
        <v>30</v>
      </c>
      <c r="E33" s="19" t="s">
        <v>30</v>
      </c>
      <c r="F33" s="19" t="s">
        <v>30</v>
      </c>
      <c r="G33" s="19" t="s">
        <v>30</v>
      </c>
      <c r="H33" s="19" t="s">
        <v>30</v>
      </c>
      <c r="I33" s="19" t="s">
        <v>30</v>
      </c>
      <c r="J33" s="19" t="s">
        <v>26</v>
      </c>
      <c r="K33" s="19" t="s">
        <v>27</v>
      </c>
      <c r="L33" s="19" t="s">
        <v>27</v>
      </c>
      <c r="M33" s="21"/>
      <c r="N33" s="21"/>
      <c r="O33" s="22" t="str">
        <f t="shared" si="4"/>
        <v>0</v>
      </c>
      <c r="P33" s="22" t="str">
        <f t="shared" si="1"/>
        <v>0</v>
      </c>
      <c r="Q33" s="16" t="str">
        <f t="shared" si="2"/>
        <v>PASS</v>
      </c>
      <c r="R33" s="13" t="str">
        <f t="shared" si="3"/>
        <v>#REF!</v>
      </c>
    </row>
    <row r="34" ht="15.75" customHeight="1">
      <c r="A34" s="23">
        <v>28.0</v>
      </c>
      <c r="B34" s="19" t="s">
        <v>82</v>
      </c>
      <c r="C34" s="20" t="s">
        <v>83</v>
      </c>
      <c r="D34" s="19" t="s">
        <v>30</v>
      </c>
      <c r="E34" s="19" t="s">
        <v>30</v>
      </c>
      <c r="F34" s="19" t="s">
        <v>24</v>
      </c>
      <c r="G34" s="19" t="s">
        <v>30</v>
      </c>
      <c r="H34" s="19" t="s">
        <v>30</v>
      </c>
      <c r="I34" s="19" t="s">
        <v>30</v>
      </c>
      <c r="J34" s="19" t="s">
        <v>26</v>
      </c>
      <c r="K34" s="19" t="s">
        <v>27</v>
      </c>
      <c r="L34" s="19" t="s">
        <v>27</v>
      </c>
      <c r="M34" s="21"/>
      <c r="N34" s="21"/>
      <c r="O34" s="22" t="str">
        <f t="shared" si="4"/>
        <v>0</v>
      </c>
      <c r="P34" s="22" t="str">
        <f t="shared" si="1"/>
        <v>0</v>
      </c>
      <c r="Q34" s="16" t="str">
        <f t="shared" si="2"/>
        <v>PASS</v>
      </c>
      <c r="R34" s="13" t="str">
        <f t="shared" si="3"/>
        <v>#REF!</v>
      </c>
    </row>
    <row r="35" ht="15.75" customHeight="1">
      <c r="A35" s="23">
        <v>29.0</v>
      </c>
      <c r="B35" s="19" t="s">
        <v>84</v>
      </c>
      <c r="C35" s="20" t="s">
        <v>85</v>
      </c>
      <c r="D35" s="19" t="s">
        <v>30</v>
      </c>
      <c r="E35" s="19" t="s">
        <v>30</v>
      </c>
      <c r="F35" s="19" t="s">
        <v>25</v>
      </c>
      <c r="G35" s="19" t="s">
        <v>24</v>
      </c>
      <c r="H35" s="19" t="s">
        <v>30</v>
      </c>
      <c r="I35" s="19" t="s">
        <v>24</v>
      </c>
      <c r="J35" s="19" t="s">
        <v>26</v>
      </c>
      <c r="K35" s="19" t="s">
        <v>27</v>
      </c>
      <c r="L35" s="19" t="s">
        <v>27</v>
      </c>
      <c r="M35" s="21"/>
      <c r="N35" s="21"/>
      <c r="O35" s="22" t="str">
        <f t="shared" si="4"/>
        <v>1</v>
      </c>
      <c r="P35" s="22" t="str">
        <f t="shared" si="1"/>
        <v>0</v>
      </c>
      <c r="Q35" s="16" t="str">
        <f t="shared" si="2"/>
        <v>FAIL</v>
      </c>
      <c r="R35" s="13" t="str">
        <f t="shared" si="3"/>
        <v>#REF!</v>
      </c>
    </row>
    <row r="36" ht="15.75" customHeight="1">
      <c r="A36" s="23">
        <v>30.0</v>
      </c>
      <c r="B36" s="19" t="s">
        <v>86</v>
      </c>
      <c r="C36" s="20" t="s">
        <v>87</v>
      </c>
      <c r="D36" s="19" t="s">
        <v>30</v>
      </c>
      <c r="E36" s="19" t="s">
        <v>30</v>
      </c>
      <c r="F36" s="19" t="s">
        <v>30</v>
      </c>
      <c r="G36" s="19" t="s">
        <v>30</v>
      </c>
      <c r="H36" s="19" t="s">
        <v>30</v>
      </c>
      <c r="I36" s="19" t="s">
        <v>24</v>
      </c>
      <c r="J36" s="19" t="s">
        <v>27</v>
      </c>
      <c r="K36" s="19" t="s">
        <v>27</v>
      </c>
      <c r="L36" s="19" t="s">
        <v>27</v>
      </c>
      <c r="M36" s="21"/>
      <c r="N36" s="21"/>
      <c r="O36" s="22" t="str">
        <f t="shared" si="4"/>
        <v>0</v>
      </c>
      <c r="P36" s="22" t="str">
        <f t="shared" si="1"/>
        <v>0</v>
      </c>
      <c r="Q36" s="16" t="str">
        <f t="shared" si="2"/>
        <v>PASS</v>
      </c>
      <c r="R36" s="13" t="str">
        <f t="shared" si="3"/>
        <v>#REF!</v>
      </c>
    </row>
    <row r="37" ht="15.75" customHeight="1">
      <c r="A37" s="23">
        <v>31.0</v>
      </c>
      <c r="B37" s="19" t="s">
        <v>88</v>
      </c>
      <c r="C37" s="20" t="s">
        <v>89</v>
      </c>
      <c r="D37" s="19" t="s">
        <v>30</v>
      </c>
      <c r="E37" s="19" t="s">
        <v>26</v>
      </c>
      <c r="F37" s="19" t="s">
        <v>30</v>
      </c>
      <c r="G37" s="19" t="s">
        <v>30</v>
      </c>
      <c r="H37" s="19" t="s">
        <v>30</v>
      </c>
      <c r="I37" s="19" t="s">
        <v>26</v>
      </c>
      <c r="J37" s="19" t="s">
        <v>27</v>
      </c>
      <c r="K37" s="19" t="s">
        <v>27</v>
      </c>
      <c r="L37" s="19" t="s">
        <v>27</v>
      </c>
      <c r="M37" s="21"/>
      <c r="N37" s="21"/>
      <c r="O37" s="22" t="str">
        <f t="shared" si="4"/>
        <v>0</v>
      </c>
      <c r="P37" s="22" t="str">
        <f t="shared" si="1"/>
        <v>0</v>
      </c>
      <c r="Q37" s="16" t="str">
        <f t="shared" si="2"/>
        <v>PASS</v>
      </c>
      <c r="R37" s="13" t="str">
        <f t="shared" si="3"/>
        <v>#REF!</v>
      </c>
    </row>
    <row r="38" ht="15.75" customHeight="1">
      <c r="A38" s="23">
        <v>32.0</v>
      </c>
      <c r="B38" s="19" t="s">
        <v>90</v>
      </c>
      <c r="C38" s="20" t="s">
        <v>91</v>
      </c>
      <c r="D38" s="19" t="s">
        <v>26</v>
      </c>
      <c r="E38" s="19" t="s">
        <v>26</v>
      </c>
      <c r="F38" s="19" t="s">
        <v>26</v>
      </c>
      <c r="G38" s="19" t="s">
        <v>30</v>
      </c>
      <c r="H38" s="19" t="s">
        <v>26</v>
      </c>
      <c r="I38" s="19" t="s">
        <v>30</v>
      </c>
      <c r="J38" s="19" t="s">
        <v>27</v>
      </c>
      <c r="K38" s="19" t="s">
        <v>27</v>
      </c>
      <c r="L38" s="19" t="s">
        <v>27</v>
      </c>
      <c r="M38" s="21"/>
      <c r="N38" s="21"/>
      <c r="O38" s="22" t="str">
        <f t="shared" si="4"/>
        <v>0</v>
      </c>
      <c r="P38" s="22" t="str">
        <f t="shared" si="1"/>
        <v>0</v>
      </c>
      <c r="Q38" s="16" t="str">
        <f t="shared" si="2"/>
        <v>PASS</v>
      </c>
      <c r="R38" s="13" t="str">
        <f t="shared" si="3"/>
        <v>#REF!</v>
      </c>
    </row>
    <row r="39" ht="15.75" customHeight="1">
      <c r="A39" s="23">
        <v>33.0</v>
      </c>
      <c r="B39" s="19" t="s">
        <v>92</v>
      </c>
      <c r="C39" s="20" t="s">
        <v>93</v>
      </c>
      <c r="D39" s="19" t="s">
        <v>30</v>
      </c>
      <c r="E39" s="19" t="s">
        <v>30</v>
      </c>
      <c r="F39" s="19" t="s">
        <v>24</v>
      </c>
      <c r="G39" s="19" t="s">
        <v>30</v>
      </c>
      <c r="H39" s="19" t="s">
        <v>30</v>
      </c>
      <c r="I39" s="19" t="s">
        <v>25</v>
      </c>
      <c r="J39" s="19" t="s">
        <v>26</v>
      </c>
      <c r="K39" s="19" t="s">
        <v>27</v>
      </c>
      <c r="L39" s="19" t="s">
        <v>27</v>
      </c>
      <c r="M39" s="21"/>
      <c r="N39" s="21"/>
      <c r="O39" s="22" t="str">
        <f t="shared" si="4"/>
        <v>1</v>
      </c>
      <c r="P39" s="22" t="str">
        <f t="shared" si="1"/>
        <v>0</v>
      </c>
      <c r="Q39" s="16" t="str">
        <f t="shared" si="2"/>
        <v>FAIL</v>
      </c>
      <c r="R39" s="13" t="str">
        <f t="shared" si="3"/>
        <v>#REF!</v>
      </c>
    </row>
    <row r="40" ht="15.75" customHeight="1">
      <c r="A40" s="23">
        <v>34.0</v>
      </c>
      <c r="B40" s="19" t="s">
        <v>94</v>
      </c>
      <c r="C40" s="20" t="s">
        <v>95</v>
      </c>
      <c r="D40" s="19" t="s">
        <v>30</v>
      </c>
      <c r="E40" s="19" t="s">
        <v>30</v>
      </c>
      <c r="F40" s="19" t="s">
        <v>25</v>
      </c>
      <c r="G40" s="19" t="s">
        <v>30</v>
      </c>
      <c r="H40" s="19" t="s">
        <v>30</v>
      </c>
      <c r="I40" s="19" t="s">
        <v>25</v>
      </c>
      <c r="J40" s="19" t="s">
        <v>26</v>
      </c>
      <c r="K40" s="19" t="s">
        <v>27</v>
      </c>
      <c r="L40" s="19" t="s">
        <v>27</v>
      </c>
      <c r="M40" s="21"/>
      <c r="N40" s="21"/>
      <c r="O40" s="22" t="str">
        <f t="shared" si="4"/>
        <v>2</v>
      </c>
      <c r="P40" s="22" t="str">
        <f t="shared" si="1"/>
        <v>0</v>
      </c>
      <c r="Q40" s="16" t="str">
        <f t="shared" si="2"/>
        <v>FAIL</v>
      </c>
      <c r="R40" s="13" t="str">
        <f t="shared" si="3"/>
        <v>#REF!</v>
      </c>
    </row>
    <row r="41" ht="15.75" customHeight="1">
      <c r="A41" s="23">
        <v>35.0</v>
      </c>
      <c r="B41" s="19" t="s">
        <v>96</v>
      </c>
      <c r="C41" s="20" t="s">
        <v>97</v>
      </c>
      <c r="D41" s="19" t="s">
        <v>30</v>
      </c>
      <c r="E41" s="19" t="s">
        <v>30</v>
      </c>
      <c r="F41" s="19" t="s">
        <v>24</v>
      </c>
      <c r="G41" s="19" t="s">
        <v>30</v>
      </c>
      <c r="H41" s="19" t="s">
        <v>30</v>
      </c>
      <c r="I41" s="19" t="s">
        <v>24</v>
      </c>
      <c r="J41" s="19" t="s">
        <v>27</v>
      </c>
      <c r="K41" s="19" t="s">
        <v>27</v>
      </c>
      <c r="L41" s="19" t="s">
        <v>27</v>
      </c>
      <c r="M41" s="21"/>
      <c r="N41" s="21"/>
      <c r="O41" s="22" t="str">
        <f t="shared" si="4"/>
        <v>0</v>
      </c>
      <c r="P41" s="22" t="str">
        <f t="shared" si="1"/>
        <v>0</v>
      </c>
      <c r="Q41" s="16" t="str">
        <f t="shared" si="2"/>
        <v>PASS</v>
      </c>
      <c r="R41" s="13" t="str">
        <f t="shared" si="3"/>
        <v>#REF!</v>
      </c>
    </row>
    <row r="42" ht="15.75" customHeight="1">
      <c r="A42" s="23">
        <v>36.0</v>
      </c>
      <c r="B42" s="19" t="s">
        <v>98</v>
      </c>
      <c r="C42" s="20" t="s">
        <v>99</v>
      </c>
      <c r="D42" s="19" t="s">
        <v>26</v>
      </c>
      <c r="E42" s="19" t="s">
        <v>26</v>
      </c>
      <c r="F42" s="19" t="s">
        <v>26</v>
      </c>
      <c r="G42" s="19" t="s">
        <v>30</v>
      </c>
      <c r="H42" s="19" t="s">
        <v>30</v>
      </c>
      <c r="I42" s="19" t="s">
        <v>27</v>
      </c>
      <c r="J42" s="19" t="s">
        <v>27</v>
      </c>
      <c r="K42" s="19" t="s">
        <v>27</v>
      </c>
      <c r="L42" s="19" t="s">
        <v>27</v>
      </c>
      <c r="M42" s="21"/>
      <c r="N42" s="21"/>
      <c r="O42" s="22" t="str">
        <f t="shared" si="4"/>
        <v>0</v>
      </c>
      <c r="P42" s="22" t="str">
        <f t="shared" si="1"/>
        <v>0</v>
      </c>
      <c r="Q42" s="16" t="str">
        <f t="shared" si="2"/>
        <v>PASS</v>
      </c>
      <c r="R42" s="13" t="str">
        <f t="shared" si="3"/>
        <v>#REF!</v>
      </c>
    </row>
    <row r="43" ht="15.75" customHeight="1">
      <c r="A43" s="23">
        <v>37.0</v>
      </c>
      <c r="B43" s="19" t="s">
        <v>100</v>
      </c>
      <c r="C43" s="20" t="s">
        <v>101</v>
      </c>
      <c r="D43" s="19" t="s">
        <v>26</v>
      </c>
      <c r="E43" s="19" t="s">
        <v>30</v>
      </c>
      <c r="F43" s="19" t="s">
        <v>30</v>
      </c>
      <c r="G43" s="19" t="s">
        <v>30</v>
      </c>
      <c r="H43" s="19" t="s">
        <v>30</v>
      </c>
      <c r="I43" s="19" t="s">
        <v>30</v>
      </c>
      <c r="J43" s="19" t="s">
        <v>26</v>
      </c>
      <c r="K43" s="19" t="s">
        <v>27</v>
      </c>
      <c r="L43" s="19" t="s">
        <v>27</v>
      </c>
      <c r="M43" s="21"/>
      <c r="N43" s="21"/>
      <c r="O43" s="22" t="str">
        <f t="shared" si="4"/>
        <v>0</v>
      </c>
      <c r="P43" s="22" t="str">
        <f t="shared" si="1"/>
        <v>0</v>
      </c>
      <c r="Q43" s="16" t="str">
        <f t="shared" si="2"/>
        <v>PASS</v>
      </c>
      <c r="R43" s="13" t="str">
        <f t="shared" si="3"/>
        <v>#REF!</v>
      </c>
    </row>
    <row r="44" ht="15.75" customHeight="1">
      <c r="A44" s="23">
        <v>38.0</v>
      </c>
      <c r="B44" s="19" t="s">
        <v>102</v>
      </c>
      <c r="C44" s="20" t="s">
        <v>103</v>
      </c>
      <c r="D44" s="19" t="s">
        <v>30</v>
      </c>
      <c r="E44" s="19" t="s">
        <v>30</v>
      </c>
      <c r="F44" s="19" t="s">
        <v>24</v>
      </c>
      <c r="G44" s="19" t="s">
        <v>30</v>
      </c>
      <c r="H44" s="19" t="s">
        <v>30</v>
      </c>
      <c r="I44" s="19" t="s">
        <v>30</v>
      </c>
      <c r="J44" s="19" t="s">
        <v>26</v>
      </c>
      <c r="K44" s="19" t="s">
        <v>27</v>
      </c>
      <c r="L44" s="19" t="s">
        <v>27</v>
      </c>
      <c r="M44" s="21"/>
      <c r="N44" s="21"/>
      <c r="O44" s="22" t="str">
        <f t="shared" si="4"/>
        <v>0</v>
      </c>
      <c r="P44" s="22" t="str">
        <f t="shared" si="1"/>
        <v>0</v>
      </c>
      <c r="Q44" s="16" t="str">
        <f t="shared" si="2"/>
        <v>PASS</v>
      </c>
      <c r="R44" s="13" t="str">
        <f t="shared" si="3"/>
        <v>#REF!</v>
      </c>
    </row>
    <row r="45" ht="15.75" customHeight="1">
      <c r="A45" s="23">
        <v>39.0</v>
      </c>
      <c r="B45" s="19" t="s">
        <v>104</v>
      </c>
      <c r="C45" s="20" t="s">
        <v>105</v>
      </c>
      <c r="D45" s="19" t="s">
        <v>30</v>
      </c>
      <c r="E45" s="19" t="s">
        <v>30</v>
      </c>
      <c r="F45" s="19" t="s">
        <v>24</v>
      </c>
      <c r="G45" s="19" t="s">
        <v>30</v>
      </c>
      <c r="H45" s="19" t="s">
        <v>30</v>
      </c>
      <c r="I45" s="19" t="s">
        <v>30</v>
      </c>
      <c r="J45" s="19" t="s">
        <v>27</v>
      </c>
      <c r="K45" s="19" t="s">
        <v>27</v>
      </c>
      <c r="L45" s="19" t="s">
        <v>27</v>
      </c>
      <c r="M45" s="21"/>
      <c r="N45" s="21"/>
      <c r="O45" s="22" t="str">
        <f t="shared" si="4"/>
        <v>0</v>
      </c>
      <c r="P45" s="22" t="str">
        <f t="shared" si="1"/>
        <v>0</v>
      </c>
      <c r="Q45" s="16" t="str">
        <f t="shared" si="2"/>
        <v>PASS</v>
      </c>
      <c r="R45" s="13" t="str">
        <f t="shared" si="3"/>
        <v>#REF!</v>
      </c>
    </row>
    <row r="46" ht="15.75" customHeight="1">
      <c r="A46" s="23">
        <v>40.0</v>
      </c>
      <c r="B46" s="19" t="s">
        <v>106</v>
      </c>
      <c r="C46" s="20" t="s">
        <v>107</v>
      </c>
      <c r="D46" s="19" t="s">
        <v>26</v>
      </c>
      <c r="E46" s="19" t="s">
        <v>26</v>
      </c>
      <c r="F46" s="19" t="s">
        <v>30</v>
      </c>
      <c r="G46" s="19" t="s">
        <v>26</v>
      </c>
      <c r="H46" s="19" t="s">
        <v>30</v>
      </c>
      <c r="I46" s="19" t="s">
        <v>30</v>
      </c>
      <c r="J46" s="19" t="s">
        <v>26</v>
      </c>
      <c r="K46" s="19" t="s">
        <v>27</v>
      </c>
      <c r="L46" s="19" t="s">
        <v>27</v>
      </c>
      <c r="M46" s="21"/>
      <c r="N46" s="21"/>
      <c r="O46" s="22" t="str">
        <f t="shared" si="4"/>
        <v>0</v>
      </c>
      <c r="P46" s="22" t="str">
        <f t="shared" si="1"/>
        <v>0</v>
      </c>
      <c r="Q46" s="16" t="str">
        <f t="shared" si="2"/>
        <v>PASS</v>
      </c>
      <c r="R46" s="13" t="str">
        <f t="shared" si="3"/>
        <v>#REF!</v>
      </c>
    </row>
    <row r="47" ht="15.75" customHeight="1">
      <c r="A47" s="23">
        <v>41.0</v>
      </c>
      <c r="B47" s="19" t="s">
        <v>108</v>
      </c>
      <c r="C47" s="20" t="s">
        <v>109</v>
      </c>
      <c r="D47" s="19" t="s">
        <v>30</v>
      </c>
      <c r="E47" s="19" t="s">
        <v>26</v>
      </c>
      <c r="F47" s="19" t="s">
        <v>30</v>
      </c>
      <c r="G47" s="19" t="s">
        <v>30</v>
      </c>
      <c r="H47" s="19" t="s">
        <v>30</v>
      </c>
      <c r="I47" s="19" t="s">
        <v>30</v>
      </c>
      <c r="J47" s="19" t="s">
        <v>27</v>
      </c>
      <c r="K47" s="19" t="s">
        <v>27</v>
      </c>
      <c r="L47" s="19" t="s">
        <v>27</v>
      </c>
      <c r="M47" s="21"/>
      <c r="N47" s="21"/>
      <c r="O47" s="22" t="str">
        <f t="shared" si="4"/>
        <v>0</v>
      </c>
      <c r="P47" s="22" t="str">
        <f t="shared" si="1"/>
        <v>0</v>
      </c>
      <c r="Q47" s="16" t="str">
        <f t="shared" si="2"/>
        <v>PASS</v>
      </c>
      <c r="R47" s="13" t="str">
        <f t="shared" si="3"/>
        <v>#REF!</v>
      </c>
    </row>
    <row r="48" ht="15.75" customHeight="1">
      <c r="A48" s="23">
        <v>42.0</v>
      </c>
      <c r="B48" s="19" t="s">
        <v>110</v>
      </c>
      <c r="C48" s="20" t="s">
        <v>111</v>
      </c>
      <c r="D48" s="19" t="s">
        <v>30</v>
      </c>
      <c r="E48" s="19" t="s">
        <v>24</v>
      </c>
      <c r="F48" s="19" t="s">
        <v>25</v>
      </c>
      <c r="G48" s="19" t="s">
        <v>30</v>
      </c>
      <c r="H48" s="19" t="s">
        <v>30</v>
      </c>
      <c r="I48" s="19" t="s">
        <v>24</v>
      </c>
      <c r="J48" s="19" t="s">
        <v>26</v>
      </c>
      <c r="K48" s="19" t="s">
        <v>27</v>
      </c>
      <c r="L48" s="19" t="s">
        <v>27</v>
      </c>
      <c r="M48" s="21"/>
      <c r="N48" s="21"/>
      <c r="O48" s="22" t="str">
        <f t="shared" si="4"/>
        <v>1</v>
      </c>
      <c r="P48" s="22" t="str">
        <f t="shared" si="1"/>
        <v>0</v>
      </c>
      <c r="Q48" s="16" t="str">
        <f t="shared" si="2"/>
        <v>FAIL</v>
      </c>
      <c r="R48" s="13" t="str">
        <f t="shared" si="3"/>
        <v>#REF!</v>
      </c>
    </row>
    <row r="49" ht="15.75" customHeight="1">
      <c r="A49" s="23">
        <v>43.0</v>
      </c>
      <c r="B49" s="19" t="s">
        <v>112</v>
      </c>
      <c r="C49" s="20" t="s">
        <v>113</v>
      </c>
      <c r="D49" s="19" t="s">
        <v>26</v>
      </c>
      <c r="E49" s="19" t="s">
        <v>30</v>
      </c>
      <c r="F49" s="19" t="s">
        <v>30</v>
      </c>
      <c r="G49" s="19" t="s">
        <v>30</v>
      </c>
      <c r="H49" s="19" t="s">
        <v>30</v>
      </c>
      <c r="I49" s="19" t="s">
        <v>26</v>
      </c>
      <c r="J49" s="19" t="s">
        <v>27</v>
      </c>
      <c r="K49" s="19" t="s">
        <v>27</v>
      </c>
      <c r="L49" s="19" t="s">
        <v>27</v>
      </c>
      <c r="M49" s="21"/>
      <c r="N49" s="21"/>
      <c r="O49" s="22" t="str">
        <f t="shared" si="4"/>
        <v>0</v>
      </c>
      <c r="P49" s="22" t="str">
        <f t="shared" si="1"/>
        <v>0</v>
      </c>
      <c r="Q49" s="16" t="str">
        <f t="shared" si="2"/>
        <v>PASS</v>
      </c>
      <c r="R49" s="13" t="str">
        <f t="shared" si="3"/>
        <v>#REF!</v>
      </c>
    </row>
    <row r="50" ht="15.75" customHeight="1">
      <c r="A50" s="23">
        <v>44.0</v>
      </c>
      <c r="B50" s="19" t="s">
        <v>114</v>
      </c>
      <c r="C50" s="20" t="s">
        <v>115</v>
      </c>
      <c r="D50" s="19" t="s">
        <v>30</v>
      </c>
      <c r="E50" s="19" t="s">
        <v>24</v>
      </c>
      <c r="F50" s="19" t="s">
        <v>24</v>
      </c>
      <c r="G50" s="19" t="s">
        <v>30</v>
      </c>
      <c r="H50" s="19" t="s">
        <v>30</v>
      </c>
      <c r="I50" s="19" t="s">
        <v>30</v>
      </c>
      <c r="J50" s="19" t="s">
        <v>26</v>
      </c>
      <c r="K50" s="19" t="s">
        <v>27</v>
      </c>
      <c r="L50" s="19" t="s">
        <v>27</v>
      </c>
      <c r="M50" s="21"/>
      <c r="N50" s="21"/>
      <c r="O50" s="22" t="str">
        <f t="shared" si="4"/>
        <v>0</v>
      </c>
      <c r="P50" s="22" t="str">
        <f t="shared" si="1"/>
        <v>0</v>
      </c>
      <c r="Q50" s="16" t="str">
        <f t="shared" si="2"/>
        <v>PASS</v>
      </c>
      <c r="R50" s="13" t="str">
        <f t="shared" si="3"/>
        <v>#REF!</v>
      </c>
    </row>
    <row r="51" ht="15.75" customHeight="1">
      <c r="A51" s="23">
        <v>45.0</v>
      </c>
      <c r="B51" s="19" t="s">
        <v>116</v>
      </c>
      <c r="C51" s="20" t="s">
        <v>117</v>
      </c>
      <c r="D51" s="19" t="s">
        <v>30</v>
      </c>
      <c r="E51" s="19" t="s">
        <v>30</v>
      </c>
      <c r="F51" s="19" t="s">
        <v>24</v>
      </c>
      <c r="G51" s="19" t="s">
        <v>30</v>
      </c>
      <c r="H51" s="19" t="s">
        <v>30</v>
      </c>
      <c r="I51" s="19" t="s">
        <v>24</v>
      </c>
      <c r="J51" s="19" t="s">
        <v>26</v>
      </c>
      <c r="K51" s="19" t="s">
        <v>27</v>
      </c>
      <c r="L51" s="19" t="s">
        <v>27</v>
      </c>
      <c r="M51" s="21"/>
      <c r="N51" s="21"/>
      <c r="O51" s="22" t="str">
        <f t="shared" si="4"/>
        <v>0</v>
      </c>
      <c r="P51" s="22" t="str">
        <f t="shared" si="1"/>
        <v>0</v>
      </c>
      <c r="Q51" s="16" t="str">
        <f t="shared" si="2"/>
        <v>PASS</v>
      </c>
      <c r="R51" s="13" t="str">
        <f t="shared" si="3"/>
        <v>#REF!</v>
      </c>
    </row>
    <row r="52" ht="15.75" customHeight="1">
      <c r="A52" s="23">
        <v>46.0</v>
      </c>
      <c r="B52" s="19" t="s">
        <v>118</v>
      </c>
      <c r="C52" s="20" t="s">
        <v>119</v>
      </c>
      <c r="D52" s="19" t="s">
        <v>24</v>
      </c>
      <c r="E52" s="19" t="s">
        <v>24</v>
      </c>
      <c r="F52" s="19" t="s">
        <v>24</v>
      </c>
      <c r="G52" s="19" t="s">
        <v>30</v>
      </c>
      <c r="H52" s="19" t="s">
        <v>30</v>
      </c>
      <c r="I52" s="19" t="s">
        <v>30</v>
      </c>
      <c r="J52" s="19" t="s">
        <v>26</v>
      </c>
      <c r="K52" s="19" t="s">
        <v>27</v>
      </c>
      <c r="L52" s="19" t="s">
        <v>27</v>
      </c>
      <c r="M52" s="21"/>
      <c r="N52" s="21"/>
      <c r="O52" s="22" t="str">
        <f t="shared" si="4"/>
        <v>0</v>
      </c>
      <c r="P52" s="22" t="str">
        <f t="shared" si="1"/>
        <v>0</v>
      </c>
      <c r="Q52" s="16" t="str">
        <f t="shared" si="2"/>
        <v>PASS</v>
      </c>
      <c r="R52" s="13" t="str">
        <f t="shared" si="3"/>
        <v>#REF!</v>
      </c>
    </row>
    <row r="53" ht="15.75" customHeight="1">
      <c r="A53" s="23">
        <v>47.0</v>
      </c>
      <c r="B53" s="19" t="s">
        <v>120</v>
      </c>
      <c r="C53" s="20" t="s">
        <v>121</v>
      </c>
      <c r="D53" s="19" t="s">
        <v>24</v>
      </c>
      <c r="E53" s="19" t="s">
        <v>30</v>
      </c>
      <c r="F53" s="19" t="s">
        <v>25</v>
      </c>
      <c r="G53" s="19" t="s">
        <v>30</v>
      </c>
      <c r="H53" s="19" t="s">
        <v>30</v>
      </c>
      <c r="I53" s="19" t="s">
        <v>25</v>
      </c>
      <c r="J53" s="19" t="s">
        <v>26</v>
      </c>
      <c r="K53" s="19" t="s">
        <v>27</v>
      </c>
      <c r="L53" s="19" t="s">
        <v>27</v>
      </c>
      <c r="M53" s="21"/>
      <c r="N53" s="21"/>
      <c r="O53" s="22" t="str">
        <f t="shared" si="4"/>
        <v>2</v>
      </c>
      <c r="P53" s="22" t="str">
        <f t="shared" si="1"/>
        <v>0</v>
      </c>
      <c r="Q53" s="16" t="str">
        <f t="shared" si="2"/>
        <v>FAIL</v>
      </c>
      <c r="R53" s="13" t="str">
        <f t="shared" si="3"/>
        <v>#REF!</v>
      </c>
    </row>
    <row r="54" ht="15.75" customHeight="1">
      <c r="A54" s="23">
        <v>48.0</v>
      </c>
      <c r="B54" s="19" t="s">
        <v>122</v>
      </c>
      <c r="C54" s="20" t="s">
        <v>123</v>
      </c>
      <c r="D54" s="19" t="s">
        <v>30</v>
      </c>
      <c r="E54" s="19" t="s">
        <v>30</v>
      </c>
      <c r="F54" s="19" t="s">
        <v>24</v>
      </c>
      <c r="G54" s="19" t="s">
        <v>30</v>
      </c>
      <c r="H54" s="19" t="s">
        <v>30</v>
      </c>
      <c r="I54" s="19" t="s">
        <v>30</v>
      </c>
      <c r="J54" s="19" t="s">
        <v>26</v>
      </c>
      <c r="K54" s="19" t="s">
        <v>27</v>
      </c>
      <c r="L54" s="19" t="s">
        <v>27</v>
      </c>
      <c r="M54" s="21"/>
      <c r="N54" s="21"/>
      <c r="O54" s="22" t="str">
        <f t="shared" si="4"/>
        <v>0</v>
      </c>
      <c r="P54" s="22" t="str">
        <f t="shared" si="1"/>
        <v>0</v>
      </c>
      <c r="Q54" s="16" t="str">
        <f t="shared" si="2"/>
        <v>PASS</v>
      </c>
      <c r="R54" s="13" t="str">
        <f t="shared" si="3"/>
        <v>#REF!</v>
      </c>
    </row>
    <row r="55" ht="15.75" customHeight="1">
      <c r="A55" s="23">
        <v>49.0</v>
      </c>
      <c r="B55" s="19" t="s">
        <v>124</v>
      </c>
      <c r="C55" s="20" t="s">
        <v>125</v>
      </c>
      <c r="D55" s="19" t="s">
        <v>126</v>
      </c>
      <c r="E55" s="19" t="s">
        <v>126</v>
      </c>
      <c r="F55" s="19" t="s">
        <v>126</v>
      </c>
      <c r="G55" s="19" t="s">
        <v>126</v>
      </c>
      <c r="H55" s="19" t="s">
        <v>126</v>
      </c>
      <c r="I55" s="19" t="s">
        <v>126</v>
      </c>
      <c r="J55" s="19" t="s">
        <v>126</v>
      </c>
      <c r="K55" s="19" t="s">
        <v>126</v>
      </c>
      <c r="L55" s="19" t="s">
        <v>126</v>
      </c>
      <c r="M55" s="26"/>
      <c r="N55" s="21"/>
      <c r="O55" s="22" t="str">
        <f t="shared" si="4"/>
        <v>0</v>
      </c>
      <c r="P55" s="22" t="str">
        <f t="shared" si="1"/>
        <v>0</v>
      </c>
      <c r="Q55" s="16" t="s">
        <v>127</v>
      </c>
      <c r="R55" s="13"/>
    </row>
    <row r="56" ht="15.75" customHeight="1">
      <c r="A56" s="23">
        <v>50.0</v>
      </c>
      <c r="B56" s="19" t="s">
        <v>128</v>
      </c>
      <c r="C56" s="20" t="s">
        <v>129</v>
      </c>
      <c r="D56" s="19" t="s">
        <v>24</v>
      </c>
      <c r="E56" s="19" t="s">
        <v>24</v>
      </c>
      <c r="F56" s="19" t="s">
        <v>25</v>
      </c>
      <c r="G56" s="19" t="s">
        <v>24</v>
      </c>
      <c r="H56" s="19" t="s">
        <v>24</v>
      </c>
      <c r="I56" s="19" t="s">
        <v>25</v>
      </c>
      <c r="J56" s="19" t="s">
        <v>26</v>
      </c>
      <c r="K56" s="19" t="s">
        <v>27</v>
      </c>
      <c r="L56" s="19" t="s">
        <v>27</v>
      </c>
      <c r="M56" s="26"/>
      <c r="N56" s="21"/>
      <c r="O56" s="22" t="str">
        <f t="shared" si="4"/>
        <v>2</v>
      </c>
      <c r="P56" s="22" t="str">
        <f t="shared" si="1"/>
        <v>0</v>
      </c>
      <c r="Q56" s="16" t="str">
        <f t="shared" ref="Q56:Q70" si="5">IF(AND(O56=0,P56=0),"PASS","FAIL")</f>
        <v>FAIL</v>
      </c>
      <c r="R56" s="13"/>
    </row>
    <row r="57" ht="15.75" customHeight="1">
      <c r="A57" s="23">
        <v>51.0</v>
      </c>
      <c r="B57" s="19" t="s">
        <v>130</v>
      </c>
      <c r="C57" s="20" t="s">
        <v>131</v>
      </c>
      <c r="D57" s="19" t="s">
        <v>30</v>
      </c>
      <c r="E57" s="19" t="s">
        <v>30</v>
      </c>
      <c r="F57" s="19" t="s">
        <v>25</v>
      </c>
      <c r="G57" s="19" t="s">
        <v>24</v>
      </c>
      <c r="H57" s="19" t="s">
        <v>30</v>
      </c>
      <c r="I57" s="19" t="s">
        <v>24</v>
      </c>
      <c r="J57" s="19" t="s">
        <v>26</v>
      </c>
      <c r="K57" s="19" t="s">
        <v>27</v>
      </c>
      <c r="L57" s="19" t="s">
        <v>27</v>
      </c>
      <c r="M57" s="26"/>
      <c r="N57" s="21"/>
      <c r="O57" s="22" t="str">
        <f t="shared" si="4"/>
        <v>1</v>
      </c>
      <c r="P57" s="22" t="str">
        <f t="shared" si="1"/>
        <v>0</v>
      </c>
      <c r="Q57" s="16" t="str">
        <f t="shared" si="5"/>
        <v>FAIL</v>
      </c>
      <c r="R57" s="13"/>
    </row>
    <row r="58" ht="15.75" customHeight="1">
      <c r="A58" s="23">
        <v>52.0</v>
      </c>
      <c r="B58" s="19" t="s">
        <v>132</v>
      </c>
      <c r="C58" s="20" t="s">
        <v>133</v>
      </c>
      <c r="D58" s="19" t="s">
        <v>30</v>
      </c>
      <c r="E58" s="19" t="s">
        <v>30</v>
      </c>
      <c r="F58" s="19" t="s">
        <v>30</v>
      </c>
      <c r="G58" s="19" t="s">
        <v>30</v>
      </c>
      <c r="H58" s="19" t="s">
        <v>30</v>
      </c>
      <c r="I58" s="19" t="s">
        <v>30</v>
      </c>
      <c r="J58" s="19" t="s">
        <v>26</v>
      </c>
      <c r="K58" s="19" t="s">
        <v>27</v>
      </c>
      <c r="L58" s="19" t="s">
        <v>27</v>
      </c>
      <c r="M58" s="26"/>
      <c r="N58" s="21"/>
      <c r="O58" s="22" t="str">
        <f t="shared" si="4"/>
        <v>0</v>
      </c>
      <c r="P58" s="22" t="str">
        <f t="shared" si="1"/>
        <v>0</v>
      </c>
      <c r="Q58" s="16" t="str">
        <f t="shared" si="5"/>
        <v>PASS</v>
      </c>
      <c r="R58" s="13"/>
    </row>
    <row r="59" ht="15.75" customHeight="1">
      <c r="A59" s="23">
        <v>53.0</v>
      </c>
      <c r="B59" s="19" t="s">
        <v>134</v>
      </c>
      <c r="C59" s="20" t="s">
        <v>135</v>
      </c>
      <c r="D59" s="19" t="s">
        <v>26</v>
      </c>
      <c r="E59" s="19" t="s">
        <v>26</v>
      </c>
      <c r="F59" s="19" t="s">
        <v>27</v>
      </c>
      <c r="G59" s="19" t="s">
        <v>30</v>
      </c>
      <c r="H59" s="19" t="s">
        <v>26</v>
      </c>
      <c r="I59" s="19" t="s">
        <v>26</v>
      </c>
      <c r="J59" s="19" t="s">
        <v>27</v>
      </c>
      <c r="K59" s="19" t="s">
        <v>27</v>
      </c>
      <c r="L59" s="19" t="s">
        <v>27</v>
      </c>
      <c r="M59" s="26"/>
      <c r="N59" s="21"/>
      <c r="O59" s="22" t="str">
        <f t="shared" si="4"/>
        <v>0</v>
      </c>
      <c r="P59" s="22" t="str">
        <f t="shared" si="1"/>
        <v>0</v>
      </c>
      <c r="Q59" s="16" t="str">
        <f t="shared" si="5"/>
        <v>PASS</v>
      </c>
      <c r="R59" s="13"/>
    </row>
    <row r="60" ht="15.75" customHeight="1">
      <c r="A60" s="23">
        <v>54.0</v>
      </c>
      <c r="B60" s="19" t="s">
        <v>136</v>
      </c>
      <c r="C60" s="20" t="s">
        <v>137</v>
      </c>
      <c r="D60" s="19" t="s">
        <v>30</v>
      </c>
      <c r="E60" s="19" t="s">
        <v>30</v>
      </c>
      <c r="F60" s="19" t="s">
        <v>24</v>
      </c>
      <c r="G60" s="19" t="s">
        <v>30</v>
      </c>
      <c r="H60" s="19" t="s">
        <v>30</v>
      </c>
      <c r="I60" s="19" t="s">
        <v>30</v>
      </c>
      <c r="J60" s="19" t="s">
        <v>26</v>
      </c>
      <c r="K60" s="19" t="s">
        <v>27</v>
      </c>
      <c r="L60" s="19" t="s">
        <v>27</v>
      </c>
      <c r="M60" s="26"/>
      <c r="N60" s="21"/>
      <c r="O60" s="22" t="str">
        <f t="shared" si="4"/>
        <v>0</v>
      </c>
      <c r="P60" s="22" t="str">
        <f t="shared" si="1"/>
        <v>0</v>
      </c>
      <c r="Q60" s="16" t="str">
        <f t="shared" si="5"/>
        <v>PASS</v>
      </c>
      <c r="R60" s="13"/>
    </row>
    <row r="61" ht="15.75" customHeight="1">
      <c r="A61" s="23">
        <v>55.0</v>
      </c>
      <c r="B61" s="19" t="s">
        <v>138</v>
      </c>
      <c r="C61" s="20" t="s">
        <v>139</v>
      </c>
      <c r="D61" s="19" t="s">
        <v>30</v>
      </c>
      <c r="E61" s="19" t="s">
        <v>30</v>
      </c>
      <c r="F61" s="19" t="s">
        <v>24</v>
      </c>
      <c r="G61" s="19" t="s">
        <v>30</v>
      </c>
      <c r="H61" s="19" t="s">
        <v>30</v>
      </c>
      <c r="I61" s="19" t="s">
        <v>30</v>
      </c>
      <c r="J61" s="19" t="s">
        <v>27</v>
      </c>
      <c r="K61" s="19" t="s">
        <v>27</v>
      </c>
      <c r="L61" s="19" t="s">
        <v>27</v>
      </c>
      <c r="M61" s="26"/>
      <c r="N61" s="21"/>
      <c r="O61" s="22" t="str">
        <f t="shared" si="4"/>
        <v>0</v>
      </c>
      <c r="P61" s="22" t="str">
        <f t="shared" si="1"/>
        <v>0</v>
      </c>
      <c r="Q61" s="16" t="str">
        <f t="shared" si="5"/>
        <v>PASS</v>
      </c>
      <c r="R61" s="13"/>
    </row>
    <row r="62" ht="15.75" customHeight="1">
      <c r="A62" s="23">
        <v>56.0</v>
      </c>
      <c r="B62" s="19" t="s">
        <v>140</v>
      </c>
      <c r="C62" s="20" t="s">
        <v>141</v>
      </c>
      <c r="D62" s="19" t="s">
        <v>30</v>
      </c>
      <c r="E62" s="19" t="s">
        <v>30</v>
      </c>
      <c r="F62" s="19" t="s">
        <v>24</v>
      </c>
      <c r="G62" s="19" t="s">
        <v>30</v>
      </c>
      <c r="H62" s="19" t="s">
        <v>30</v>
      </c>
      <c r="I62" s="19" t="s">
        <v>30</v>
      </c>
      <c r="J62" s="19" t="s">
        <v>26</v>
      </c>
      <c r="K62" s="19" t="s">
        <v>27</v>
      </c>
      <c r="L62" s="19" t="s">
        <v>27</v>
      </c>
      <c r="M62" s="26"/>
      <c r="N62" s="21"/>
      <c r="O62" s="22" t="str">
        <f t="shared" si="4"/>
        <v>0</v>
      </c>
      <c r="P62" s="22" t="str">
        <f t="shared" si="1"/>
        <v>0</v>
      </c>
      <c r="Q62" s="16" t="str">
        <f t="shared" si="5"/>
        <v>PASS</v>
      </c>
      <c r="R62" s="13"/>
    </row>
    <row r="63" ht="15.75" customHeight="1">
      <c r="A63" s="23">
        <v>57.0</v>
      </c>
      <c r="B63" s="19" t="s">
        <v>142</v>
      </c>
      <c r="C63" s="20" t="s">
        <v>143</v>
      </c>
      <c r="D63" s="19" t="s">
        <v>30</v>
      </c>
      <c r="E63" s="19" t="s">
        <v>30</v>
      </c>
      <c r="F63" s="19" t="s">
        <v>24</v>
      </c>
      <c r="G63" s="19" t="s">
        <v>30</v>
      </c>
      <c r="H63" s="19" t="s">
        <v>30</v>
      </c>
      <c r="I63" s="19" t="s">
        <v>24</v>
      </c>
      <c r="J63" s="19" t="s">
        <v>27</v>
      </c>
      <c r="K63" s="19" t="s">
        <v>27</v>
      </c>
      <c r="L63" s="19" t="s">
        <v>27</v>
      </c>
      <c r="M63" s="26"/>
      <c r="N63" s="21"/>
      <c r="O63" s="22" t="str">
        <f t="shared" si="4"/>
        <v>0</v>
      </c>
      <c r="P63" s="22" t="str">
        <f t="shared" si="1"/>
        <v>0</v>
      </c>
      <c r="Q63" s="16" t="str">
        <f t="shared" si="5"/>
        <v>PASS</v>
      </c>
      <c r="R63" s="13"/>
    </row>
    <row r="64" ht="15.75" customHeight="1">
      <c r="A64" s="23">
        <v>58.0</v>
      </c>
      <c r="B64" s="19" t="s">
        <v>144</v>
      </c>
      <c r="C64" s="20" t="s">
        <v>145</v>
      </c>
      <c r="D64" s="19" t="s">
        <v>30</v>
      </c>
      <c r="E64" s="19" t="s">
        <v>30</v>
      </c>
      <c r="F64" s="19" t="s">
        <v>25</v>
      </c>
      <c r="G64" s="19" t="s">
        <v>30</v>
      </c>
      <c r="H64" s="19" t="s">
        <v>30</v>
      </c>
      <c r="I64" s="19" t="s">
        <v>24</v>
      </c>
      <c r="J64" s="19" t="s">
        <v>26</v>
      </c>
      <c r="K64" s="19" t="s">
        <v>27</v>
      </c>
      <c r="L64" s="19" t="s">
        <v>27</v>
      </c>
      <c r="M64" s="26"/>
      <c r="N64" s="21"/>
      <c r="O64" s="22" t="str">
        <f t="shared" si="4"/>
        <v>1</v>
      </c>
      <c r="P64" s="22" t="str">
        <f t="shared" si="1"/>
        <v>0</v>
      </c>
      <c r="Q64" s="16" t="str">
        <f t="shared" si="5"/>
        <v>FAIL</v>
      </c>
      <c r="R64" s="13"/>
    </row>
    <row r="65" ht="15.75" customHeight="1">
      <c r="A65" s="23">
        <v>59.0</v>
      </c>
      <c r="B65" s="19" t="s">
        <v>146</v>
      </c>
      <c r="C65" s="20" t="s">
        <v>147</v>
      </c>
      <c r="D65" s="19" t="s">
        <v>30</v>
      </c>
      <c r="E65" s="19" t="s">
        <v>30</v>
      </c>
      <c r="F65" s="19" t="s">
        <v>24</v>
      </c>
      <c r="G65" s="19" t="s">
        <v>30</v>
      </c>
      <c r="H65" s="19" t="s">
        <v>30</v>
      </c>
      <c r="I65" s="19" t="s">
        <v>30</v>
      </c>
      <c r="J65" s="19" t="s">
        <v>27</v>
      </c>
      <c r="K65" s="19" t="s">
        <v>27</v>
      </c>
      <c r="L65" s="19" t="s">
        <v>27</v>
      </c>
      <c r="M65" s="26"/>
      <c r="N65" s="21"/>
      <c r="O65" s="22" t="str">
        <f t="shared" si="4"/>
        <v>0</v>
      </c>
      <c r="P65" s="22" t="str">
        <f t="shared" si="1"/>
        <v>0</v>
      </c>
      <c r="Q65" s="16" t="str">
        <f t="shared" si="5"/>
        <v>PASS</v>
      </c>
      <c r="R65" s="13"/>
    </row>
    <row r="66" ht="15.75" customHeight="1">
      <c r="A66" s="23">
        <v>60.0</v>
      </c>
      <c r="B66" s="19" t="s">
        <v>148</v>
      </c>
      <c r="C66" s="20" t="s">
        <v>149</v>
      </c>
      <c r="D66" s="19" t="s">
        <v>24</v>
      </c>
      <c r="E66" s="19" t="s">
        <v>24</v>
      </c>
      <c r="F66" s="19" t="s">
        <v>25</v>
      </c>
      <c r="G66" s="19" t="s">
        <v>24</v>
      </c>
      <c r="H66" s="19" t="s">
        <v>77</v>
      </c>
      <c r="I66" s="19" t="s">
        <v>25</v>
      </c>
      <c r="J66" s="19" t="s">
        <v>26</v>
      </c>
      <c r="K66" s="19" t="s">
        <v>27</v>
      </c>
      <c r="L66" s="19" t="s">
        <v>27</v>
      </c>
      <c r="M66" s="26"/>
      <c r="N66" s="21"/>
      <c r="O66" s="22" t="str">
        <f t="shared" si="4"/>
        <v>2</v>
      </c>
      <c r="P66" s="22" t="str">
        <f t="shared" si="1"/>
        <v>1</v>
      </c>
      <c r="Q66" s="16" t="str">
        <f t="shared" si="5"/>
        <v>FAIL</v>
      </c>
      <c r="R66" s="13"/>
    </row>
    <row r="67" ht="15.75" customHeight="1">
      <c r="A67" s="23">
        <v>61.0</v>
      </c>
      <c r="B67" s="19" t="s">
        <v>150</v>
      </c>
      <c r="C67" s="20" t="s">
        <v>151</v>
      </c>
      <c r="D67" s="19" t="s">
        <v>30</v>
      </c>
      <c r="E67" s="19" t="s">
        <v>30</v>
      </c>
      <c r="F67" s="19" t="s">
        <v>25</v>
      </c>
      <c r="G67" s="19" t="s">
        <v>24</v>
      </c>
      <c r="H67" s="19" t="s">
        <v>30</v>
      </c>
      <c r="I67" s="19" t="s">
        <v>24</v>
      </c>
      <c r="J67" s="19" t="s">
        <v>26</v>
      </c>
      <c r="K67" s="19" t="s">
        <v>27</v>
      </c>
      <c r="L67" s="19" t="s">
        <v>27</v>
      </c>
      <c r="M67" s="26"/>
      <c r="N67" s="21"/>
      <c r="O67" s="22" t="str">
        <f t="shared" si="4"/>
        <v>1</v>
      </c>
      <c r="P67" s="22" t="str">
        <f t="shared" si="1"/>
        <v>0</v>
      </c>
      <c r="Q67" s="16" t="str">
        <f t="shared" si="5"/>
        <v>FAIL</v>
      </c>
      <c r="R67" s="13"/>
    </row>
    <row r="68" ht="15.75" customHeight="1">
      <c r="A68" s="23">
        <v>62.0</v>
      </c>
      <c r="B68" s="19" t="s">
        <v>152</v>
      </c>
      <c r="C68" s="20" t="s">
        <v>153</v>
      </c>
      <c r="D68" s="19" t="s">
        <v>30</v>
      </c>
      <c r="E68" s="19" t="s">
        <v>30</v>
      </c>
      <c r="F68" s="19" t="s">
        <v>24</v>
      </c>
      <c r="G68" s="19" t="s">
        <v>24</v>
      </c>
      <c r="H68" s="19" t="s">
        <v>30</v>
      </c>
      <c r="I68" s="19" t="s">
        <v>30</v>
      </c>
      <c r="J68" s="19" t="s">
        <v>26</v>
      </c>
      <c r="K68" s="19" t="s">
        <v>27</v>
      </c>
      <c r="L68" s="19" t="s">
        <v>27</v>
      </c>
      <c r="M68" s="26"/>
      <c r="N68" s="21"/>
      <c r="O68" s="22" t="str">
        <f t="shared" si="4"/>
        <v>0</v>
      </c>
      <c r="P68" s="22" t="str">
        <f t="shared" si="1"/>
        <v>0</v>
      </c>
      <c r="Q68" s="16" t="str">
        <f t="shared" si="5"/>
        <v>PASS</v>
      </c>
      <c r="R68" s="13"/>
    </row>
    <row r="69" ht="15.75" customHeight="1">
      <c r="A69" s="23">
        <v>63.0</v>
      </c>
      <c r="B69" s="19" t="s">
        <v>154</v>
      </c>
      <c r="C69" s="20" t="s">
        <v>155</v>
      </c>
      <c r="D69" s="19" t="s">
        <v>30</v>
      </c>
      <c r="E69" s="19" t="s">
        <v>30</v>
      </c>
      <c r="F69" s="19" t="s">
        <v>25</v>
      </c>
      <c r="G69" s="19" t="s">
        <v>24</v>
      </c>
      <c r="H69" s="19" t="s">
        <v>30</v>
      </c>
      <c r="I69" s="19" t="s">
        <v>24</v>
      </c>
      <c r="J69" s="19" t="s">
        <v>26</v>
      </c>
      <c r="K69" s="19" t="s">
        <v>27</v>
      </c>
      <c r="L69" s="19" t="s">
        <v>27</v>
      </c>
      <c r="M69" s="26"/>
      <c r="N69" s="21"/>
      <c r="O69" s="22" t="str">
        <f t="shared" si="4"/>
        <v>1</v>
      </c>
      <c r="P69" s="22" t="str">
        <f t="shared" si="1"/>
        <v>0</v>
      </c>
      <c r="Q69" s="16" t="str">
        <f t="shared" si="5"/>
        <v>FAIL</v>
      </c>
      <c r="R69" s="13"/>
    </row>
    <row r="70" ht="15.75" customHeight="1">
      <c r="A70" s="23">
        <v>64.0</v>
      </c>
      <c r="B70" s="19" t="s">
        <v>156</v>
      </c>
      <c r="C70" s="20" t="s">
        <v>157</v>
      </c>
      <c r="D70" s="19" t="s">
        <v>24</v>
      </c>
      <c r="E70" s="19" t="s">
        <v>30</v>
      </c>
      <c r="F70" s="19" t="s">
        <v>24</v>
      </c>
      <c r="G70" s="19" t="s">
        <v>30</v>
      </c>
      <c r="H70" s="19" t="s">
        <v>30</v>
      </c>
      <c r="I70" s="19" t="s">
        <v>24</v>
      </c>
      <c r="J70" s="19" t="s">
        <v>26</v>
      </c>
      <c r="K70" s="19" t="s">
        <v>27</v>
      </c>
      <c r="L70" s="19" t="s">
        <v>27</v>
      </c>
      <c r="M70" s="26"/>
      <c r="N70" s="21"/>
      <c r="O70" s="22" t="str">
        <f t="shared" si="4"/>
        <v>0</v>
      </c>
      <c r="P70" s="22" t="str">
        <f t="shared" si="1"/>
        <v>0</v>
      </c>
      <c r="Q70" s="16" t="str">
        <f t="shared" si="5"/>
        <v>PASS</v>
      </c>
      <c r="R70" s="13"/>
    </row>
    <row r="71" ht="15.75" customHeight="1">
      <c r="A71" s="23"/>
      <c r="B71" s="27"/>
      <c r="C71" s="28"/>
      <c r="D71" s="16"/>
      <c r="E71" s="16"/>
      <c r="F71" s="16"/>
      <c r="G71" s="16"/>
      <c r="H71" s="16"/>
      <c r="I71" s="16"/>
      <c r="J71" s="16"/>
      <c r="K71" s="16"/>
      <c r="L71" s="16"/>
      <c r="M71" s="29"/>
      <c r="N71" s="29"/>
      <c r="O71" s="16"/>
      <c r="P71" s="16"/>
      <c r="Q71" s="16"/>
      <c r="R71" s="13" t="str">
        <f>IF(OR(D71="U",H71="U",I71="U",J71="U",K71="U",L71="U",#REF!="U",#REF!="U",M71="U"),"FAIL",IF(OR(D71="UA",H71="UA",I71="UA",J71="UA",K71="UA",L71="UA",#REF!="UA",#REF!="UA",M71="UA"),"FAIL","PASS"))</f>
        <v>#REF!</v>
      </c>
    </row>
    <row r="72" ht="15.75" customHeight="1">
      <c r="A72" s="30" t="s">
        <v>158</v>
      </c>
      <c r="B72" s="31"/>
      <c r="C72" s="32"/>
      <c r="D72" s="33">
        <v>64.0</v>
      </c>
      <c r="E72" s="33">
        <v>64.0</v>
      </c>
      <c r="F72" s="33">
        <v>64.0</v>
      </c>
      <c r="G72" s="33">
        <v>64.0</v>
      </c>
      <c r="H72" s="33" t="str">
        <f>COUNT($A7:A$71)</f>
        <v>64</v>
      </c>
      <c r="I72" s="33" t="str">
        <f>COUNT(A7:A71)</f>
        <v>64</v>
      </c>
      <c r="J72" s="33" t="str">
        <f>COUNT(A7:A71)</f>
        <v>64</v>
      </c>
      <c r="K72" s="33" t="str">
        <f>COUNT(A7:A71)</f>
        <v>64</v>
      </c>
      <c r="L72" s="33" t="str">
        <f>COUNT(A7:A71)</f>
        <v>64</v>
      </c>
      <c r="M72" s="34"/>
      <c r="N72" s="34"/>
      <c r="O72" s="35" t="s">
        <v>159</v>
      </c>
      <c r="P72" s="36" t="str">
        <f>COUNTIF(O7:O71,"1")</f>
        <v>10</v>
      </c>
      <c r="Q72" s="37"/>
      <c r="R72" s="13"/>
    </row>
    <row r="73" ht="15.75" customHeight="1">
      <c r="A73" s="30" t="s">
        <v>160</v>
      </c>
      <c r="B73" s="31"/>
      <c r="C73" s="32"/>
      <c r="D73" s="33" t="str">
        <f t="shared" ref="D73:L73" si="6">COUNTIF(D7:D71,"UA")</f>
        <v>1</v>
      </c>
      <c r="E73" s="33" t="str">
        <f t="shared" si="6"/>
        <v>0</v>
      </c>
      <c r="F73" s="33" t="str">
        <f t="shared" si="6"/>
        <v>0</v>
      </c>
      <c r="G73" s="33" t="str">
        <f t="shared" si="6"/>
        <v>0</v>
      </c>
      <c r="H73" s="33" t="str">
        <f t="shared" si="6"/>
        <v>1</v>
      </c>
      <c r="I73" s="33" t="str">
        <f t="shared" si="6"/>
        <v>0</v>
      </c>
      <c r="J73" s="33" t="str">
        <f t="shared" si="6"/>
        <v>0</v>
      </c>
      <c r="K73" s="33" t="str">
        <f t="shared" si="6"/>
        <v>0</v>
      </c>
      <c r="L73" s="33" t="str">
        <f t="shared" si="6"/>
        <v>0</v>
      </c>
      <c r="M73" s="34"/>
      <c r="N73" s="34"/>
      <c r="O73" s="35" t="s">
        <v>161</v>
      </c>
      <c r="P73" s="36" t="str">
        <f>COUNTIF(O7:O71,"2")</f>
        <v>4</v>
      </c>
      <c r="Q73" s="37"/>
      <c r="R73" s="13"/>
    </row>
    <row r="74" ht="15.75" customHeight="1">
      <c r="A74" s="30" t="s">
        <v>162</v>
      </c>
      <c r="B74" s="31"/>
      <c r="C74" s="32"/>
      <c r="D74" s="33" t="str">
        <f t="shared" ref="D74:L74" si="7">D72-D73</f>
        <v>63</v>
      </c>
      <c r="E74" s="33" t="str">
        <f t="shared" si="7"/>
        <v>64</v>
      </c>
      <c r="F74" s="33" t="str">
        <f t="shared" si="7"/>
        <v>64</v>
      </c>
      <c r="G74" s="33" t="str">
        <f t="shared" si="7"/>
        <v>64</v>
      </c>
      <c r="H74" s="33" t="str">
        <f t="shared" si="7"/>
        <v>63</v>
      </c>
      <c r="I74" s="33" t="str">
        <f t="shared" si="7"/>
        <v>64</v>
      </c>
      <c r="J74" s="33" t="str">
        <f t="shared" si="7"/>
        <v>64</v>
      </c>
      <c r="K74" s="33" t="str">
        <f t="shared" si="7"/>
        <v>64</v>
      </c>
      <c r="L74" s="33" t="str">
        <f t="shared" si="7"/>
        <v>64</v>
      </c>
      <c r="M74" s="34"/>
      <c r="N74" s="34"/>
      <c r="O74" s="35" t="s">
        <v>163</v>
      </c>
      <c r="P74" s="36" t="str">
        <f>COUNTIF(O7:O71,"3")</f>
        <v>1</v>
      </c>
      <c r="Q74" s="37"/>
      <c r="R74" s="13"/>
    </row>
    <row r="75" ht="15.75" customHeight="1">
      <c r="A75" s="30" t="s">
        <v>164</v>
      </c>
      <c r="B75" s="31"/>
      <c r="C75" s="32"/>
      <c r="D75" s="33" t="str">
        <f t="shared" ref="D75:L75" si="8">COUNTIF(D7:D71,"U")</f>
        <v>0</v>
      </c>
      <c r="E75" s="33" t="str">
        <f t="shared" si="8"/>
        <v>0</v>
      </c>
      <c r="F75" s="33" t="str">
        <f t="shared" si="8"/>
        <v>12</v>
      </c>
      <c r="G75" s="33" t="str">
        <f t="shared" si="8"/>
        <v>0</v>
      </c>
      <c r="H75" s="33" t="str">
        <f t="shared" si="8"/>
        <v>1</v>
      </c>
      <c r="I75" s="33" t="str">
        <f t="shared" si="8"/>
        <v>8</v>
      </c>
      <c r="J75" s="33" t="str">
        <f t="shared" si="8"/>
        <v>0</v>
      </c>
      <c r="K75" s="33" t="str">
        <f t="shared" si="8"/>
        <v>0</v>
      </c>
      <c r="L75" s="33" t="str">
        <f t="shared" si="8"/>
        <v>0</v>
      </c>
      <c r="M75" s="34"/>
      <c r="N75" s="34"/>
      <c r="O75" s="35" t="s">
        <v>165</v>
      </c>
      <c r="P75" s="36" t="str">
        <f>COUNTIF(O7:O71,"4")</f>
        <v>0</v>
      </c>
      <c r="Q75" s="37"/>
      <c r="R75" s="13"/>
    </row>
    <row r="76" ht="15.75" customHeight="1">
      <c r="A76" s="30" t="s">
        <v>166</v>
      </c>
      <c r="B76" s="31"/>
      <c r="C76" s="32"/>
      <c r="D76" s="33" t="str">
        <f t="shared" ref="D76:L76" si="9">D74-D75</f>
        <v>63</v>
      </c>
      <c r="E76" s="33" t="str">
        <f t="shared" si="9"/>
        <v>64</v>
      </c>
      <c r="F76" s="33" t="str">
        <f t="shared" si="9"/>
        <v>52</v>
      </c>
      <c r="G76" s="33" t="str">
        <f t="shared" si="9"/>
        <v>64</v>
      </c>
      <c r="H76" s="33" t="str">
        <f t="shared" si="9"/>
        <v>62</v>
      </c>
      <c r="I76" s="33" t="str">
        <f t="shared" si="9"/>
        <v>56</v>
      </c>
      <c r="J76" s="33" t="str">
        <f t="shared" si="9"/>
        <v>64</v>
      </c>
      <c r="K76" s="33" t="str">
        <f t="shared" si="9"/>
        <v>64</v>
      </c>
      <c r="L76" s="33" t="str">
        <f t="shared" si="9"/>
        <v>64</v>
      </c>
      <c r="M76" s="34"/>
      <c r="N76" s="34"/>
      <c r="O76" s="35" t="s">
        <v>167</v>
      </c>
      <c r="P76" s="36" t="str">
        <f>COUNTIF(O7:O71,"5")</f>
        <v>0</v>
      </c>
      <c r="Q76" s="37"/>
      <c r="R76" s="13"/>
    </row>
    <row r="77" ht="15.75" customHeight="1">
      <c r="A77" s="30" t="s">
        <v>127</v>
      </c>
      <c r="B77" s="31"/>
      <c r="C77" s="32"/>
      <c r="D77" s="33">
        <v>1.0</v>
      </c>
      <c r="E77" s="33">
        <v>1.0</v>
      </c>
      <c r="F77" s="33">
        <v>1.0</v>
      </c>
      <c r="G77" s="33">
        <v>1.0</v>
      </c>
      <c r="H77" s="33">
        <v>1.0</v>
      </c>
      <c r="I77" s="33">
        <v>1.0</v>
      </c>
      <c r="J77" s="33">
        <v>1.0</v>
      </c>
      <c r="K77" s="33">
        <v>1.0</v>
      </c>
      <c r="L77" s="33">
        <v>1.0</v>
      </c>
      <c r="M77" s="34"/>
      <c r="N77" s="34"/>
      <c r="O77" s="35"/>
      <c r="P77" s="36"/>
      <c r="Q77" s="37"/>
      <c r="R77" s="13"/>
    </row>
    <row r="78" ht="15.75" customHeight="1">
      <c r="A78" s="38" t="s">
        <v>168</v>
      </c>
      <c r="B78" s="31"/>
      <c r="C78" s="32"/>
      <c r="D78" s="39" t="str">
        <f>(62/62)*100</f>
        <v>100</v>
      </c>
      <c r="E78" s="39" t="str">
        <f>(63/63)*100</f>
        <v>100</v>
      </c>
      <c r="F78" s="39" t="str">
        <f>(52/63)*100</f>
        <v>83</v>
      </c>
      <c r="G78" s="39" t="str">
        <f>(62/62)*100</f>
        <v>100</v>
      </c>
      <c r="H78" s="39" t="str">
        <f>(61/62)*100</f>
        <v>98</v>
      </c>
      <c r="I78" s="39" t="str">
        <f>(56/63)*100</f>
        <v>89</v>
      </c>
      <c r="J78" s="39" t="str">
        <f t="shared" ref="J78:L78" si="10">(63/63)*100</f>
        <v>100</v>
      </c>
      <c r="K78" s="39" t="str">
        <f t="shared" si="10"/>
        <v>100</v>
      </c>
      <c r="L78" s="39" t="str">
        <f t="shared" si="10"/>
        <v>100</v>
      </c>
      <c r="M78" s="40"/>
      <c r="N78" s="40"/>
      <c r="O78" s="35" t="s">
        <v>169</v>
      </c>
      <c r="P78" s="36" t="str">
        <f>COUNTIF(O7:O71,"5")</f>
        <v>0</v>
      </c>
      <c r="Q78" s="37"/>
      <c r="R78" s="13"/>
    </row>
    <row r="79" ht="15.75" customHeight="1">
      <c r="A79" s="30" t="s">
        <v>170</v>
      </c>
      <c r="B79" s="31"/>
      <c r="C79" s="32"/>
      <c r="D79" s="33" t="str">
        <f t="shared" ref="D79:L79" si="11">COUNTIF(D7:D71,"O")</f>
        <v>0</v>
      </c>
      <c r="E79" s="33" t="str">
        <f t="shared" si="11"/>
        <v>0</v>
      </c>
      <c r="F79" s="33" t="str">
        <f t="shared" si="11"/>
        <v>1</v>
      </c>
      <c r="G79" s="33" t="str">
        <f t="shared" si="11"/>
        <v>0</v>
      </c>
      <c r="H79" s="33" t="str">
        <f t="shared" si="11"/>
        <v>0</v>
      </c>
      <c r="I79" s="33" t="str">
        <f t="shared" si="11"/>
        <v>4</v>
      </c>
      <c r="J79" s="33" t="str">
        <f t="shared" si="11"/>
        <v>24</v>
      </c>
      <c r="K79" s="33" t="str">
        <f t="shared" si="11"/>
        <v>63</v>
      </c>
      <c r="L79" s="33" t="str">
        <f t="shared" si="11"/>
        <v>63</v>
      </c>
      <c r="M79" s="34"/>
      <c r="N79" s="34"/>
      <c r="O79" s="41"/>
      <c r="P79" s="42"/>
      <c r="Q79" s="37"/>
      <c r="R79" s="13"/>
    </row>
    <row r="80" ht="15.75" customHeight="1">
      <c r="A80" s="30" t="s">
        <v>171</v>
      </c>
      <c r="B80" s="31"/>
      <c r="C80" s="32"/>
      <c r="D80" s="33" t="str">
        <f t="shared" ref="D80:L80" si="12">COUNTIF(D7:D71,"A+")</f>
        <v>10</v>
      </c>
      <c r="E80" s="33" t="str">
        <f t="shared" si="12"/>
        <v>13</v>
      </c>
      <c r="F80" s="33" t="str">
        <f t="shared" si="12"/>
        <v>10</v>
      </c>
      <c r="G80" s="33" t="str">
        <f t="shared" si="12"/>
        <v>3</v>
      </c>
      <c r="H80" s="33" t="str">
        <f t="shared" si="12"/>
        <v>4</v>
      </c>
      <c r="I80" s="33" t="str">
        <f t="shared" si="12"/>
        <v>10</v>
      </c>
      <c r="J80" s="33" t="str">
        <f t="shared" si="12"/>
        <v>39</v>
      </c>
      <c r="K80" s="33" t="str">
        <f t="shared" si="12"/>
        <v>0</v>
      </c>
      <c r="L80" s="33" t="str">
        <f t="shared" si="12"/>
        <v>0</v>
      </c>
      <c r="M80" s="34"/>
      <c r="N80" s="34"/>
      <c r="O80" s="35" t="s">
        <v>172</v>
      </c>
      <c r="P80" s="36" t="str">
        <f t="shared" ref="P80:Q80" si="13">COUNTIF(Q7:Q70,"PASS")</f>
        <v>48</v>
      </c>
      <c r="Q80" s="36" t="str">
        <f t="shared" si="13"/>
        <v>0</v>
      </c>
      <c r="R80" s="13"/>
    </row>
    <row r="81" ht="15.75" customHeight="1">
      <c r="A81" s="30" t="s">
        <v>173</v>
      </c>
      <c r="B81" s="31"/>
      <c r="C81" s="32"/>
      <c r="D81" s="33" t="str">
        <f t="shared" ref="D81:L81" si="14">COUNTIF(D7:D71,"A")</f>
        <v>45</v>
      </c>
      <c r="E81" s="33" t="str">
        <f t="shared" si="14"/>
        <v>41</v>
      </c>
      <c r="F81" s="33" t="str">
        <f t="shared" si="14"/>
        <v>17</v>
      </c>
      <c r="G81" s="33" t="str">
        <f t="shared" si="14"/>
        <v>51</v>
      </c>
      <c r="H81" s="33" t="str">
        <f t="shared" si="14"/>
        <v>53</v>
      </c>
      <c r="I81" s="33" t="str">
        <f t="shared" si="14"/>
        <v>26</v>
      </c>
      <c r="J81" s="33" t="str">
        <f t="shared" si="14"/>
        <v>0</v>
      </c>
      <c r="K81" s="33" t="str">
        <f t="shared" si="14"/>
        <v>0</v>
      </c>
      <c r="L81" s="33" t="str">
        <f t="shared" si="14"/>
        <v>0</v>
      </c>
      <c r="M81" s="34"/>
      <c r="N81" s="34"/>
      <c r="O81" s="37"/>
      <c r="P81" s="37"/>
      <c r="Q81" s="37"/>
      <c r="R81" s="13"/>
    </row>
    <row r="82" ht="15.75" customHeight="1">
      <c r="A82" s="30" t="s">
        <v>174</v>
      </c>
      <c r="B82" s="31"/>
      <c r="C82" s="32"/>
      <c r="D82" s="33" t="str">
        <f t="shared" ref="D82:L82" si="15">COUNTIF(D7:D71,"B+")</f>
        <v>7</v>
      </c>
      <c r="E82" s="33" t="str">
        <f t="shared" si="15"/>
        <v>9</v>
      </c>
      <c r="F82" s="33" t="str">
        <f t="shared" si="15"/>
        <v>23</v>
      </c>
      <c r="G82" s="33" t="str">
        <f t="shared" si="15"/>
        <v>9</v>
      </c>
      <c r="H82" s="33" t="str">
        <f t="shared" si="15"/>
        <v>4</v>
      </c>
      <c r="I82" s="33" t="str">
        <f t="shared" si="15"/>
        <v>15</v>
      </c>
      <c r="J82" s="33" t="str">
        <f t="shared" si="15"/>
        <v>0</v>
      </c>
      <c r="K82" s="33" t="str">
        <f t="shared" si="15"/>
        <v>0</v>
      </c>
      <c r="L82" s="33" t="str">
        <f t="shared" si="15"/>
        <v>0</v>
      </c>
      <c r="M82" s="34"/>
      <c r="N82" s="34"/>
      <c r="O82" s="37"/>
      <c r="P82" s="37"/>
      <c r="Q82" s="37"/>
      <c r="R82" s="13"/>
    </row>
    <row r="83" ht="15.75" customHeight="1">
      <c r="A83" s="30" t="s">
        <v>175</v>
      </c>
      <c r="B83" s="31"/>
      <c r="C83" s="32"/>
      <c r="D83" s="33" t="str">
        <f t="shared" ref="D83:L83" si="16">COUNTIF(D6:D71,"B")</f>
        <v>0</v>
      </c>
      <c r="E83" s="33" t="str">
        <f t="shared" si="16"/>
        <v>0</v>
      </c>
      <c r="F83" s="33" t="str">
        <f t="shared" si="16"/>
        <v>0</v>
      </c>
      <c r="G83" s="33" t="str">
        <f t="shared" si="16"/>
        <v>0</v>
      </c>
      <c r="H83" s="33" t="str">
        <f t="shared" si="16"/>
        <v>0</v>
      </c>
      <c r="I83" s="33" t="str">
        <f t="shared" si="16"/>
        <v>0</v>
      </c>
      <c r="J83" s="33" t="str">
        <f t="shared" si="16"/>
        <v>0</v>
      </c>
      <c r="K83" s="33" t="str">
        <f t="shared" si="16"/>
        <v>0</v>
      </c>
      <c r="L83" s="33" t="str">
        <f t="shared" si="16"/>
        <v>0</v>
      </c>
      <c r="M83" s="34"/>
      <c r="N83" s="34"/>
      <c r="O83" s="37"/>
      <c r="P83" s="37"/>
      <c r="Q83" s="37"/>
      <c r="R83" s="13"/>
    </row>
    <row r="84" ht="15.75" customHeight="1">
      <c r="A84" s="43" t="s">
        <v>172</v>
      </c>
      <c r="B84" s="31"/>
      <c r="C84" s="44"/>
      <c r="D84" s="45">
        <v>48.0</v>
      </c>
      <c r="E84" s="31"/>
      <c r="F84" s="31"/>
      <c r="G84" s="31"/>
      <c r="H84" s="31"/>
      <c r="I84" s="31"/>
      <c r="J84" s="31"/>
      <c r="K84" s="31"/>
      <c r="L84" s="31"/>
      <c r="M84" s="32"/>
      <c r="N84" s="46"/>
      <c r="O84" s="37"/>
      <c r="P84" s="37"/>
      <c r="Q84" s="37"/>
      <c r="R84" s="13"/>
    </row>
    <row r="85" ht="15.75" customHeight="1">
      <c r="A85" s="43" t="s">
        <v>176</v>
      </c>
      <c r="B85" s="31"/>
      <c r="C85" s="44"/>
      <c r="D85" s="47" t="str">
        <f>48/63*100</f>
        <v>76.19</v>
      </c>
      <c r="E85" s="31"/>
      <c r="F85" s="31"/>
      <c r="G85" s="31"/>
      <c r="H85" s="31"/>
      <c r="I85" s="31"/>
      <c r="J85" s="31"/>
      <c r="K85" s="31"/>
      <c r="L85" s="31"/>
      <c r="M85" s="32"/>
      <c r="N85" s="48"/>
      <c r="O85" s="37"/>
      <c r="P85" s="37"/>
      <c r="Q85" s="37"/>
      <c r="R85" s="13"/>
    </row>
    <row r="86" ht="15.75" customHeight="1">
      <c r="B86" s="49" t="s">
        <v>177</v>
      </c>
      <c r="C86" s="31"/>
      <c r="D86" s="31"/>
      <c r="E86" s="31"/>
      <c r="F86" s="31"/>
      <c r="G86" s="31"/>
      <c r="H86" s="31"/>
      <c r="I86" s="31"/>
      <c r="J86" s="31"/>
      <c r="K86" s="31"/>
      <c r="L86" s="32"/>
    </row>
    <row r="87" ht="15.75" customHeight="1">
      <c r="B87" s="50" t="s">
        <v>178</v>
      </c>
      <c r="C87" s="51" t="s">
        <v>179</v>
      </c>
      <c r="D87" s="52" t="s">
        <v>180</v>
      </c>
      <c r="E87" s="31"/>
      <c r="F87" s="31"/>
      <c r="G87" s="31"/>
      <c r="H87" s="31"/>
      <c r="I87" s="31"/>
      <c r="J87" s="31"/>
      <c r="K87" s="31"/>
      <c r="L87" s="32"/>
    </row>
    <row r="88" ht="15.75" customHeight="1">
      <c r="B88" s="14"/>
      <c r="C88" s="53">
        <v>48.0</v>
      </c>
      <c r="D88" s="54" t="s">
        <v>181</v>
      </c>
      <c r="E88" s="54" t="s">
        <v>182</v>
      </c>
      <c r="F88" s="54" t="s">
        <v>183</v>
      </c>
      <c r="G88" s="54" t="s">
        <v>184</v>
      </c>
      <c r="H88" s="54" t="s">
        <v>185</v>
      </c>
      <c r="I88" s="54" t="s">
        <v>186</v>
      </c>
    </row>
    <row r="89" ht="15.75" customHeight="1">
      <c r="B89" s="55" t="s">
        <v>187</v>
      </c>
      <c r="C89" s="56" t="str">
        <f>D85</f>
        <v>76.19</v>
      </c>
      <c r="D89" s="57" t="str">
        <f>COUNTIF(O7:O71,"1")</f>
        <v>10</v>
      </c>
      <c r="E89" s="57" t="str">
        <f>COUNTIF(O7:O71,"2")</f>
        <v>4</v>
      </c>
      <c r="F89" s="57" t="str">
        <f>COUNTIF(O7:O71,"3")</f>
        <v>1</v>
      </c>
      <c r="G89" s="57" t="str">
        <f>COUNTIF(O7:O71,"4")</f>
        <v>0</v>
      </c>
      <c r="H89" s="57" t="str">
        <f>COUNTIF(O7:O71,"5")</f>
        <v>0</v>
      </c>
      <c r="I89" s="57" t="str">
        <f>COUNTIF(O7:O71,"6")</f>
        <v>0</v>
      </c>
    </row>
    <row r="90" ht="15.75" customHeight="1">
      <c r="B90" s="58"/>
      <c r="C90" s="59"/>
      <c r="D90" s="60"/>
      <c r="E90" s="60"/>
      <c r="F90" s="60"/>
      <c r="G90" s="60"/>
      <c r="H90" s="60"/>
      <c r="I90" s="60"/>
    </row>
    <row r="91" ht="15.75" customHeight="1">
      <c r="B91" s="58"/>
      <c r="C91" s="59"/>
      <c r="D91" s="60"/>
      <c r="E91" s="60"/>
      <c r="F91" s="60"/>
      <c r="G91" s="60"/>
      <c r="H91" s="60"/>
      <c r="I91" s="60"/>
    </row>
    <row r="92" ht="15.75" customHeight="1">
      <c r="B92" s="58"/>
      <c r="C92" s="59"/>
      <c r="D92" s="60"/>
      <c r="E92" s="60"/>
      <c r="F92" s="60"/>
      <c r="G92" s="60"/>
      <c r="H92" s="60"/>
      <c r="I92" s="60"/>
    </row>
    <row r="93" ht="15.75" customHeight="1">
      <c r="B93" s="58"/>
      <c r="C93" s="59"/>
      <c r="D93" s="60"/>
      <c r="E93" s="60"/>
      <c r="F93" s="60"/>
      <c r="G93" s="60"/>
      <c r="H93" s="60"/>
      <c r="I93" s="60"/>
    </row>
    <row r="94" ht="15.75" customHeight="1">
      <c r="B94" s="58"/>
      <c r="C94" s="59"/>
      <c r="D94" s="60"/>
      <c r="E94" s="60"/>
      <c r="F94" s="60"/>
      <c r="G94" s="60"/>
      <c r="H94" s="60"/>
      <c r="I94" s="60"/>
    </row>
    <row r="95" ht="15.75" customHeight="1">
      <c r="B95" s="58"/>
      <c r="C95" s="59"/>
      <c r="D95" s="60"/>
      <c r="E95" s="60"/>
      <c r="F95" s="60"/>
      <c r="G95" s="60"/>
      <c r="H95" s="60"/>
      <c r="I95" s="60"/>
    </row>
    <row r="96" ht="15.75" customHeight="1">
      <c r="B96" s="58"/>
      <c r="C96" s="59"/>
      <c r="D96" s="60"/>
      <c r="E96" s="60"/>
      <c r="F96" s="60"/>
      <c r="G96" s="60"/>
      <c r="H96" s="60"/>
      <c r="I96" s="60"/>
    </row>
    <row r="97" ht="15.75" customHeight="1">
      <c r="B97" s="58"/>
      <c r="C97" s="59"/>
      <c r="D97" s="60"/>
      <c r="E97" s="60"/>
      <c r="F97" s="60"/>
      <c r="G97" s="60"/>
      <c r="H97" s="60"/>
      <c r="I97" s="60"/>
    </row>
    <row r="98" ht="15.75" customHeight="1">
      <c r="B98" s="58"/>
      <c r="C98" s="59"/>
      <c r="D98" s="60"/>
      <c r="E98" s="60"/>
      <c r="F98" s="60"/>
      <c r="G98" s="60"/>
      <c r="H98" s="60"/>
      <c r="I98" s="60"/>
    </row>
    <row r="99" ht="15.75" customHeight="1">
      <c r="B99" s="58"/>
      <c r="C99" s="59"/>
      <c r="D99" s="60"/>
      <c r="E99" s="60"/>
      <c r="F99" s="60"/>
      <c r="G99" s="60"/>
      <c r="H99" s="60"/>
      <c r="I99" s="60"/>
    </row>
    <row r="100" ht="15.75" customHeight="1">
      <c r="B100" s="58"/>
      <c r="C100" s="59"/>
      <c r="D100" s="60"/>
      <c r="E100" s="60"/>
      <c r="F100" s="60"/>
      <c r="G100" s="60"/>
      <c r="H100" s="60"/>
      <c r="I100" s="60"/>
    </row>
    <row r="101" ht="15.75" customHeight="1">
      <c r="B101" s="58"/>
      <c r="C101" s="59"/>
      <c r="D101" s="60"/>
      <c r="E101" s="60"/>
      <c r="F101" s="60"/>
      <c r="G101" s="60"/>
      <c r="H101" s="60"/>
      <c r="I101" s="60"/>
    </row>
    <row r="102" ht="15.75" customHeight="1">
      <c r="B102" s="58"/>
      <c r="C102" s="59"/>
      <c r="D102" s="60"/>
      <c r="E102" s="60"/>
      <c r="F102" s="60"/>
      <c r="G102" s="60"/>
      <c r="H102" s="60"/>
      <c r="I102" s="60"/>
    </row>
    <row r="103" ht="15.75" customHeight="1">
      <c r="B103" s="58"/>
      <c r="C103" s="59"/>
      <c r="D103" s="60"/>
      <c r="E103" s="60"/>
      <c r="F103" s="60"/>
      <c r="G103" s="60"/>
      <c r="H103" s="60"/>
      <c r="I103" s="60"/>
    </row>
    <row r="104" ht="15.75" customHeight="1">
      <c r="B104" s="58"/>
      <c r="C104" s="59"/>
      <c r="D104" s="60"/>
      <c r="E104" s="60"/>
      <c r="F104" s="60"/>
      <c r="G104" s="60"/>
      <c r="H104" s="60"/>
      <c r="I104" s="60"/>
    </row>
    <row r="105" ht="15.75" customHeight="1">
      <c r="B105" s="58"/>
      <c r="C105" s="59"/>
      <c r="D105" s="60"/>
      <c r="E105" s="60"/>
      <c r="F105" s="60"/>
      <c r="G105" s="60"/>
      <c r="H105" s="60"/>
      <c r="I105" s="60"/>
    </row>
    <row r="106" ht="15.75" customHeight="1">
      <c r="B106" s="58"/>
      <c r="C106" s="59"/>
      <c r="D106" s="60"/>
      <c r="E106" s="60"/>
      <c r="F106" s="60"/>
      <c r="G106" s="60"/>
      <c r="H106" s="60"/>
      <c r="I106" s="60"/>
    </row>
    <row r="107" ht="15.75" customHeight="1">
      <c r="B107" s="58"/>
      <c r="C107" s="59"/>
      <c r="D107" s="60"/>
      <c r="E107" s="60"/>
      <c r="F107" s="60"/>
      <c r="G107" s="60"/>
      <c r="H107" s="60"/>
      <c r="I107" s="60"/>
    </row>
    <row r="108" ht="15.75" customHeight="1">
      <c r="B108" s="58"/>
      <c r="C108" s="59"/>
      <c r="D108" s="60"/>
      <c r="E108" s="60"/>
      <c r="F108" s="60"/>
      <c r="G108" s="60"/>
      <c r="H108" s="60"/>
      <c r="I108" s="60"/>
    </row>
    <row r="109" ht="15.75" customHeight="1">
      <c r="B109" s="58"/>
      <c r="C109" s="59"/>
      <c r="D109" s="60"/>
      <c r="E109" s="60"/>
      <c r="F109" s="60"/>
      <c r="G109" s="60"/>
      <c r="H109" s="60"/>
      <c r="I109" s="60"/>
    </row>
    <row r="110" ht="15.75" customHeight="1">
      <c r="B110" s="58"/>
      <c r="C110" s="59"/>
      <c r="D110" s="60"/>
      <c r="E110" s="60"/>
      <c r="F110" s="60"/>
      <c r="G110" s="60"/>
      <c r="H110" s="60"/>
      <c r="I110" s="60"/>
    </row>
    <row r="111" ht="15.75" customHeight="1">
      <c r="B111" s="58"/>
      <c r="C111" s="59"/>
      <c r="D111" s="60"/>
      <c r="E111" s="60"/>
      <c r="F111" s="60"/>
      <c r="G111" s="60"/>
      <c r="H111" s="60"/>
      <c r="I111" s="60"/>
    </row>
    <row r="112" ht="15.75" customHeight="1">
      <c r="B112" s="58"/>
      <c r="C112" s="59"/>
      <c r="D112" s="60"/>
      <c r="E112" s="60"/>
      <c r="F112" s="60"/>
      <c r="G112" s="60"/>
      <c r="H112" s="60"/>
      <c r="I112" s="60"/>
    </row>
    <row r="113" ht="15.75" customHeight="1">
      <c r="B113" s="58"/>
      <c r="C113" s="59"/>
      <c r="D113" s="60"/>
      <c r="E113" s="60"/>
      <c r="F113" s="60"/>
      <c r="G113" s="60"/>
      <c r="H113" s="60"/>
      <c r="I113" s="60"/>
    </row>
    <row r="114" ht="15.75" customHeight="1">
      <c r="B114" s="58"/>
      <c r="C114" s="59"/>
      <c r="D114" s="60"/>
      <c r="E114" s="60"/>
      <c r="F114" s="60"/>
      <c r="G114" s="60"/>
      <c r="H114" s="60"/>
      <c r="I114" s="60"/>
    </row>
    <row r="115" ht="15.75" customHeight="1">
      <c r="B115" s="58"/>
      <c r="C115" s="59"/>
      <c r="D115" s="60"/>
      <c r="E115" s="60"/>
      <c r="F115" s="60"/>
      <c r="G115" s="60"/>
      <c r="H115" s="60"/>
      <c r="I115" s="60"/>
    </row>
    <row r="116" ht="15.75" customHeight="1">
      <c r="B116" s="58"/>
      <c r="C116" s="59"/>
      <c r="D116" s="60"/>
      <c r="E116" s="60"/>
      <c r="F116" s="60"/>
      <c r="G116" s="60"/>
      <c r="H116" s="60"/>
      <c r="I116" s="60"/>
    </row>
    <row r="117" ht="15.75" customHeight="1">
      <c r="B117" s="58"/>
      <c r="C117" s="59"/>
      <c r="D117" s="60"/>
      <c r="E117" s="60"/>
      <c r="F117" s="60"/>
      <c r="G117" s="60"/>
      <c r="H117" s="60"/>
      <c r="I117" s="60"/>
    </row>
    <row r="118" ht="15.75" customHeight="1">
      <c r="B118" s="58"/>
      <c r="C118" s="59"/>
      <c r="D118" s="60"/>
      <c r="E118" s="60"/>
      <c r="F118" s="60"/>
      <c r="G118" s="60"/>
      <c r="H118" s="60"/>
      <c r="I118" s="60"/>
    </row>
    <row r="119" ht="15.75" customHeight="1">
      <c r="B119" s="58"/>
      <c r="C119" s="59"/>
      <c r="D119" s="60"/>
      <c r="E119" s="60"/>
      <c r="F119" s="60"/>
      <c r="G119" s="60"/>
      <c r="H119" s="60"/>
      <c r="I119" s="60"/>
    </row>
    <row r="120" ht="15.75" customHeight="1">
      <c r="B120" s="58"/>
      <c r="C120" s="59"/>
      <c r="D120" s="60"/>
      <c r="E120" s="60"/>
      <c r="F120" s="60"/>
      <c r="G120" s="60"/>
      <c r="H120" s="60"/>
      <c r="I120" s="60"/>
    </row>
    <row r="121" ht="15.75" customHeight="1">
      <c r="A121" s="61" t="s">
        <v>188</v>
      </c>
    </row>
    <row r="122" ht="51.75" customHeight="1">
      <c r="A122" s="62" t="s">
        <v>189</v>
      </c>
      <c r="B122" s="63" t="s">
        <v>190</v>
      </c>
      <c r="C122" s="32"/>
      <c r="D122" s="63" t="s">
        <v>191</v>
      </c>
      <c r="E122" s="31"/>
      <c r="F122" s="31"/>
      <c r="G122" s="64" t="s">
        <v>192</v>
      </c>
      <c r="H122" s="65" t="s">
        <v>193</v>
      </c>
      <c r="I122" s="66" t="s">
        <v>194</v>
      </c>
      <c r="J122" s="32"/>
      <c r="K122" s="67" t="s">
        <v>195</v>
      </c>
      <c r="L122" s="32"/>
      <c r="M122" s="68" t="s">
        <v>196</v>
      </c>
      <c r="N122" s="31"/>
      <c r="O122" s="32"/>
      <c r="P122" s="66" t="s">
        <v>197</v>
      </c>
      <c r="Q122" s="32"/>
    </row>
    <row r="123" ht="39.75" customHeight="1">
      <c r="A123" s="69">
        <v>1.0</v>
      </c>
      <c r="B123" s="70" t="s">
        <v>198</v>
      </c>
      <c r="C123" s="32"/>
      <c r="D123" s="71" t="s">
        <v>199</v>
      </c>
      <c r="E123" s="31"/>
      <c r="F123" s="32"/>
      <c r="G123" s="72">
        <v>64.0</v>
      </c>
      <c r="H123" s="72">
        <v>63.0</v>
      </c>
      <c r="I123" s="63">
        <v>1.0</v>
      </c>
      <c r="J123" s="32"/>
      <c r="K123" s="73">
        <v>63.0</v>
      </c>
      <c r="L123" s="32"/>
      <c r="M123" s="68"/>
      <c r="N123" s="74">
        <v>0.0</v>
      </c>
      <c r="O123" s="32"/>
      <c r="P123" s="75">
        <v>1.0</v>
      </c>
      <c r="Q123" s="32"/>
    </row>
    <row r="124" ht="30.0" customHeight="1">
      <c r="A124" s="69">
        <v>2.0</v>
      </c>
      <c r="B124" s="70" t="s">
        <v>200</v>
      </c>
      <c r="C124" s="32"/>
      <c r="D124" s="71" t="s">
        <v>201</v>
      </c>
      <c r="E124" s="31"/>
      <c r="F124" s="31"/>
      <c r="G124" s="72">
        <v>64.0</v>
      </c>
      <c r="H124" s="72">
        <v>63.0</v>
      </c>
      <c r="I124" s="63">
        <v>1.0</v>
      </c>
      <c r="J124" s="32"/>
      <c r="K124" s="73">
        <v>56.0</v>
      </c>
      <c r="L124" s="32"/>
      <c r="M124" s="68"/>
      <c r="N124" s="74">
        <v>8.0</v>
      </c>
      <c r="O124" s="32"/>
      <c r="P124" s="75" t="str">
        <f>K124/H124</f>
        <v>89%</v>
      </c>
      <c r="Q124" s="32"/>
    </row>
    <row r="125" ht="34.5" customHeight="1">
      <c r="A125" s="69">
        <v>3.0</v>
      </c>
      <c r="B125" s="70" t="s">
        <v>202</v>
      </c>
      <c r="C125" s="32"/>
      <c r="D125" s="71" t="s">
        <v>203</v>
      </c>
      <c r="E125" s="31"/>
      <c r="F125" s="31"/>
      <c r="G125" s="72">
        <v>64.0</v>
      </c>
      <c r="H125" s="72">
        <v>63.0</v>
      </c>
      <c r="I125" s="63">
        <v>1.0</v>
      </c>
      <c r="J125" s="32"/>
      <c r="K125" s="73">
        <v>52.0</v>
      </c>
      <c r="L125" s="32"/>
      <c r="M125" s="68"/>
      <c r="N125" s="74">
        <v>12.0</v>
      </c>
      <c r="O125" s="32"/>
      <c r="P125" s="75">
        <v>0.83</v>
      </c>
      <c r="Q125" s="32"/>
    </row>
    <row r="126" ht="36.0" customHeight="1">
      <c r="A126" s="69">
        <v>4.0</v>
      </c>
      <c r="B126" s="70" t="s">
        <v>204</v>
      </c>
      <c r="C126" s="32"/>
      <c r="D126" s="71" t="s">
        <v>205</v>
      </c>
      <c r="E126" s="31"/>
      <c r="F126" s="31"/>
      <c r="G126" s="72">
        <v>63.0</v>
      </c>
      <c r="H126" s="72">
        <v>62.0</v>
      </c>
      <c r="I126" s="63">
        <v>1.0</v>
      </c>
      <c r="J126" s="32"/>
      <c r="K126" s="63">
        <v>61.0</v>
      </c>
      <c r="L126" s="32"/>
      <c r="M126" s="76">
        <v>1.0</v>
      </c>
      <c r="N126" s="31"/>
      <c r="O126" s="32"/>
      <c r="P126" s="75" t="str">
        <f t="shared" ref="P126:P131" si="17">K126/H126</f>
        <v>98%</v>
      </c>
      <c r="Q126" s="32"/>
    </row>
    <row r="127" ht="30.0" customHeight="1">
      <c r="A127" s="69">
        <v>5.0</v>
      </c>
      <c r="B127" s="70" t="s">
        <v>206</v>
      </c>
      <c r="C127" s="32"/>
      <c r="D127" s="71" t="s">
        <v>207</v>
      </c>
      <c r="E127" s="31"/>
      <c r="F127" s="31"/>
      <c r="G127" s="72">
        <v>63.0</v>
      </c>
      <c r="H127" s="72">
        <v>62.0</v>
      </c>
      <c r="I127" s="63">
        <v>1.0</v>
      </c>
      <c r="J127" s="32"/>
      <c r="K127" s="73">
        <v>62.0</v>
      </c>
      <c r="L127" s="32"/>
      <c r="M127" s="68"/>
      <c r="N127" s="74">
        <v>0.0</v>
      </c>
      <c r="O127" s="32"/>
      <c r="P127" s="75" t="str">
        <f t="shared" si="17"/>
        <v>100%</v>
      </c>
      <c r="Q127" s="32"/>
    </row>
    <row r="128" ht="34.5" customHeight="1">
      <c r="A128" s="69">
        <v>6.0</v>
      </c>
      <c r="B128" s="70" t="s">
        <v>208</v>
      </c>
      <c r="C128" s="32"/>
      <c r="D128" s="71" t="s">
        <v>209</v>
      </c>
      <c r="E128" s="31"/>
      <c r="F128" s="31"/>
      <c r="G128" s="72">
        <v>64.0</v>
      </c>
      <c r="H128" s="72">
        <v>63.0</v>
      </c>
      <c r="I128" s="63">
        <v>1.0</v>
      </c>
      <c r="J128" s="32"/>
      <c r="K128" s="73">
        <v>63.0</v>
      </c>
      <c r="L128" s="32"/>
      <c r="M128" s="68"/>
      <c r="N128" s="74">
        <v>0.0</v>
      </c>
      <c r="O128" s="32"/>
      <c r="P128" s="75" t="str">
        <f t="shared" si="17"/>
        <v>100%</v>
      </c>
      <c r="Q128" s="32"/>
    </row>
    <row r="129" ht="36.0" customHeight="1">
      <c r="A129" s="69">
        <v>7.0</v>
      </c>
      <c r="B129" s="70" t="s">
        <v>210</v>
      </c>
      <c r="C129" s="32"/>
      <c r="D129" s="71" t="s">
        <v>211</v>
      </c>
      <c r="E129" s="31"/>
      <c r="F129" s="31"/>
      <c r="G129" s="72">
        <v>64.0</v>
      </c>
      <c r="H129" s="72">
        <v>63.0</v>
      </c>
      <c r="I129" s="63">
        <v>1.0</v>
      </c>
      <c r="J129" s="32"/>
      <c r="K129" s="73">
        <v>63.0</v>
      </c>
      <c r="L129" s="32"/>
      <c r="M129" s="68"/>
      <c r="N129" s="74">
        <v>0.0</v>
      </c>
      <c r="O129" s="32"/>
      <c r="P129" s="75" t="str">
        <f t="shared" si="17"/>
        <v>100%</v>
      </c>
      <c r="Q129" s="32"/>
    </row>
    <row r="130" ht="39.75" customHeight="1">
      <c r="A130" s="69">
        <v>8.0</v>
      </c>
      <c r="B130" s="70" t="s">
        <v>212</v>
      </c>
      <c r="C130" s="32"/>
      <c r="D130" s="71" t="s">
        <v>213</v>
      </c>
      <c r="E130" s="31"/>
      <c r="F130" s="31"/>
      <c r="G130" s="72">
        <v>64.0</v>
      </c>
      <c r="H130" s="72">
        <v>63.0</v>
      </c>
      <c r="I130" s="63">
        <v>1.0</v>
      </c>
      <c r="J130" s="32"/>
      <c r="K130" s="73">
        <v>63.0</v>
      </c>
      <c r="L130" s="32"/>
      <c r="M130" s="68"/>
      <c r="N130" s="74">
        <v>0.0</v>
      </c>
      <c r="O130" s="32"/>
      <c r="P130" s="75" t="str">
        <f t="shared" si="17"/>
        <v>100%</v>
      </c>
      <c r="Q130" s="32"/>
    </row>
    <row r="131" ht="30.0" customHeight="1">
      <c r="A131" s="69">
        <v>9.0</v>
      </c>
      <c r="B131" s="70" t="s">
        <v>214</v>
      </c>
      <c r="C131" s="32"/>
      <c r="D131" s="71" t="s">
        <v>215</v>
      </c>
      <c r="E131" s="31"/>
      <c r="F131" s="31"/>
      <c r="G131" s="72">
        <v>64.0</v>
      </c>
      <c r="H131" s="72">
        <v>63.0</v>
      </c>
      <c r="I131" s="63">
        <v>1.0</v>
      </c>
      <c r="J131" s="32"/>
      <c r="K131" s="73">
        <v>63.0</v>
      </c>
      <c r="L131" s="32"/>
      <c r="M131" s="68"/>
      <c r="N131" s="74">
        <v>0.0</v>
      </c>
      <c r="O131" s="32"/>
      <c r="P131" s="75" t="str">
        <f t="shared" si="17"/>
        <v>100%</v>
      </c>
      <c r="Q131" s="32"/>
    </row>
    <row r="132" ht="30.0" customHeight="1">
      <c r="A132" s="77"/>
      <c r="B132" s="78"/>
      <c r="C132" s="79"/>
      <c r="D132" s="78"/>
      <c r="E132" s="80"/>
      <c r="F132" s="80"/>
      <c r="G132" s="80"/>
      <c r="H132" s="79"/>
      <c r="I132" s="81"/>
      <c r="J132" s="81"/>
      <c r="K132" s="82"/>
      <c r="L132" s="82"/>
      <c r="M132" s="83"/>
      <c r="N132" s="83"/>
      <c r="O132" s="84"/>
      <c r="P132" s="85"/>
      <c r="Q132" s="85"/>
    </row>
    <row r="133" ht="15.75" customHeight="1">
      <c r="B133" s="86"/>
      <c r="D133" s="87"/>
    </row>
    <row r="134" ht="15.75" customHeight="1"/>
    <row r="135" ht="15.75" customHeight="1">
      <c r="B135" s="88" t="s">
        <v>216</v>
      </c>
      <c r="C135" s="88"/>
      <c r="E135" s="88"/>
      <c r="F135" s="88"/>
      <c r="G135" s="88" t="s">
        <v>217</v>
      </c>
      <c r="H135" s="88"/>
      <c r="I135" s="88"/>
      <c r="J135" s="88"/>
      <c r="K135" s="88"/>
      <c r="L135" s="88" t="s">
        <v>218</v>
      </c>
      <c r="M135" s="88"/>
      <c r="N135" s="88"/>
      <c r="O135" s="88"/>
      <c r="P135" s="88"/>
    </row>
    <row r="136" ht="15.75" customHeight="1">
      <c r="B136" s="89" t="s">
        <v>215</v>
      </c>
      <c r="E136" s="88"/>
      <c r="F136" s="88"/>
      <c r="G136" s="88" t="s">
        <v>199</v>
      </c>
      <c r="H136" s="88"/>
      <c r="I136" s="88"/>
      <c r="J136" s="88"/>
      <c r="K136" s="88"/>
      <c r="L136" s="88" t="s">
        <v>219</v>
      </c>
      <c r="M136" s="88"/>
      <c r="N136" s="88"/>
      <c r="O136" s="88"/>
      <c r="P136" s="88"/>
    </row>
  </sheetData>
  <mergeCells count="90">
    <mergeCell ref="O5:O6"/>
    <mergeCell ref="P5:P6"/>
    <mergeCell ref="A85:C85"/>
    <mergeCell ref="A84:C84"/>
    <mergeCell ref="A72:C72"/>
    <mergeCell ref="A73:C73"/>
    <mergeCell ref="A74:C74"/>
    <mergeCell ref="A75:C75"/>
    <mergeCell ref="A76:C76"/>
    <mergeCell ref="A78:C78"/>
    <mergeCell ref="A77:C77"/>
    <mergeCell ref="A79:C79"/>
    <mergeCell ref="A80:C80"/>
    <mergeCell ref="A81:C81"/>
    <mergeCell ref="A82:C82"/>
    <mergeCell ref="D85:M85"/>
    <mergeCell ref="A1:Q1"/>
    <mergeCell ref="A2:Q2"/>
    <mergeCell ref="A3:Q3"/>
    <mergeCell ref="A5:A6"/>
    <mergeCell ref="B5:B6"/>
    <mergeCell ref="Q5:Q6"/>
    <mergeCell ref="A83:C83"/>
    <mergeCell ref="D126:F126"/>
    <mergeCell ref="D123:F123"/>
    <mergeCell ref="P125:Q125"/>
    <mergeCell ref="P126:Q126"/>
    <mergeCell ref="P127:Q127"/>
    <mergeCell ref="P128:Q128"/>
    <mergeCell ref="M126:O126"/>
    <mergeCell ref="N125:O125"/>
    <mergeCell ref="N124:O124"/>
    <mergeCell ref="N127:O127"/>
    <mergeCell ref="B126:C126"/>
    <mergeCell ref="I126:J126"/>
    <mergeCell ref="D127:F127"/>
    <mergeCell ref="I127:J127"/>
    <mergeCell ref="D128:F128"/>
    <mergeCell ref="B128:C128"/>
    <mergeCell ref="P122:Q122"/>
    <mergeCell ref="B122:C122"/>
    <mergeCell ref="N123:O123"/>
    <mergeCell ref="N128:O128"/>
    <mergeCell ref="K126:L126"/>
    <mergeCell ref="B127:C127"/>
    <mergeCell ref="D131:F131"/>
    <mergeCell ref="B131:C131"/>
    <mergeCell ref="K122:L122"/>
    <mergeCell ref="K123:L123"/>
    <mergeCell ref="D129:F129"/>
    <mergeCell ref="D122:F122"/>
    <mergeCell ref="M122:O122"/>
    <mergeCell ref="I122:J122"/>
    <mergeCell ref="I131:J131"/>
    <mergeCell ref="I123:J123"/>
    <mergeCell ref="I129:J129"/>
    <mergeCell ref="I130:J130"/>
    <mergeCell ref="P129:Q129"/>
    <mergeCell ref="P130:Q130"/>
    <mergeCell ref="P131:Q131"/>
    <mergeCell ref="N129:O129"/>
    <mergeCell ref="N130:O130"/>
    <mergeCell ref="N131:O131"/>
    <mergeCell ref="P123:Q123"/>
    <mergeCell ref="P124:Q124"/>
    <mergeCell ref="B86:L86"/>
    <mergeCell ref="B87:B88"/>
    <mergeCell ref="D87:L87"/>
    <mergeCell ref="B132:C132"/>
    <mergeCell ref="D132:H132"/>
    <mergeCell ref="B130:C130"/>
    <mergeCell ref="D130:F130"/>
    <mergeCell ref="B129:C129"/>
    <mergeCell ref="D84:M84"/>
    <mergeCell ref="B125:C125"/>
    <mergeCell ref="I124:J124"/>
    <mergeCell ref="I125:J125"/>
    <mergeCell ref="B124:C124"/>
    <mergeCell ref="B123:C123"/>
    <mergeCell ref="B136:C136"/>
    <mergeCell ref="D124:F124"/>
    <mergeCell ref="D125:F125"/>
    <mergeCell ref="K124:L124"/>
    <mergeCell ref="K125:L125"/>
    <mergeCell ref="K127:L127"/>
    <mergeCell ref="K128:L128"/>
    <mergeCell ref="K129:L129"/>
    <mergeCell ref="K130:L130"/>
    <mergeCell ref="K131:L131"/>
    <mergeCell ref="I128:J128"/>
  </mergeCells>
  <printOptions horizontalCentered="1" verticalCentered="1"/>
  <pageMargins bottom="0.25" footer="0.0" header="0.0" left="0.25" right="0.25" top="0.25"/>
  <pageSetup paperSize="9" orientation="landscape"/>
  <rowBreaks count="2" manualBreakCount="2">
    <brk id="37" man="1"/>
    <brk id="7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baseType="lpstr" size="3">
      <vt:lpstr>III IT</vt:lpstr>
      <vt:lpstr>'III IT'!Print_Area</vt:lpstr>
      <vt:lpstr>'III IT'!Print_Titles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2024-04-17T10:28:31Z</dcterms:created>
  <dc:creator>KANCHANAMALA P</dc:creator>
  <cp:lastModifiedBy>Admin</cp:lastModifiedBy>
  <cp:lastPrinted>2026-03-16T04:31:08Z</cp:lastPrinted>
  <dcterms:modified xsi:type="dcterms:W3CDTF">2026-03-16T05:50:04Z</dcterms:modified>
</cp:coreProperties>
</file>