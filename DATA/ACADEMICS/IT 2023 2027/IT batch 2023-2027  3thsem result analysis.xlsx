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M3 IT BEFORE (2)" sheetId="1" state="visible" r:id="rId3"/>
    <sheet name="SEM5 IT BEFOR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<sst xmlns="http://schemas.openxmlformats.org/spreadsheetml/2006/main" count="1385" uniqueCount="237">
  <si>
    <t xml:space="preserve">P.T. Lee CHENGALVARAYA NAICKER COLLEGE OF ENGINEERING AND TECHNOLOGY </t>
  </si>
  <si>
    <t xml:space="preserve">Oovery, KanchipUram - 631 502</t>
  </si>
  <si>
    <t xml:space="preserve">Anna University ResUlts of NOV/DEC Examination, 2024</t>
  </si>
  <si>
    <t xml:space="preserve">Department of  Information Technology                       Third year </t>
  </si>
  <si>
    <t xml:space="preserve">Second Year</t>
  </si>
  <si>
    <t xml:space="preserve"> Semester No. : 03                   Regulation 2021</t>
  </si>
  <si>
    <t xml:space="preserve">Before Revaluation</t>
  </si>
  <si>
    <t xml:space="preserve">DEPT./YEAR/SEM. :</t>
  </si>
  <si>
    <t xml:space="preserve">IT/II/3</t>
  </si>
  <si>
    <t xml:space="preserve">S. No.</t>
  </si>
  <si>
    <t xml:space="preserve">Reg. Number</t>
  </si>
  <si>
    <t xml:space="preserve">Subject Code </t>
  </si>
  <si>
    <t xml:space="preserve">CD3281</t>
  </si>
  <si>
    <t xml:space="preserve">CD3291</t>
  </si>
  <si>
    <t xml:space="preserve">CS3351</t>
  </si>
  <si>
    <t xml:space="preserve">CS3352</t>
  </si>
  <si>
    <t xml:space="preserve">CS3361</t>
  </si>
  <si>
    <t xml:space="preserve">CS3381</t>
  </si>
  <si>
    <t xml:space="preserve">CS3391</t>
  </si>
  <si>
    <t xml:space="preserve">GE3361</t>
  </si>
  <si>
    <t xml:space="preserve">MA3354</t>
  </si>
  <si>
    <t xml:space="preserve">No. Of "U"- Arrear's</t>
  </si>
  <si>
    <t xml:space="preserve">No. Of "UA" No of Absent</t>
  </si>
  <si>
    <t xml:space="preserve">Total No. Of Arrear</t>
  </si>
  <si>
    <t xml:space="preserve">Result</t>
  </si>
  <si>
    <t xml:space="preserve">Stud. Name</t>
  </si>
  <si>
    <t xml:space="preserve">Grade</t>
  </si>
  <si>
    <t xml:space="preserve">AASAIMANI T</t>
  </si>
  <si>
    <t xml:space="preserve">A+</t>
  </si>
  <si>
    <t xml:space="preserve">U</t>
  </si>
  <si>
    <t xml:space="preserve">B</t>
  </si>
  <si>
    <t xml:space="preserve">AATHI S</t>
  </si>
  <si>
    <t xml:space="preserve">O</t>
  </si>
  <si>
    <t xml:space="preserve">B+</t>
  </si>
  <si>
    <t xml:space="preserve">ABI  P</t>
  </si>
  <si>
    <t xml:space="preserve">A</t>
  </si>
  <si>
    <t xml:space="preserve">ABIRAMI M</t>
  </si>
  <si>
    <t xml:space="preserve">ADHITHYA A</t>
  </si>
  <si>
    <t xml:space="preserve">ANANDHARAMAN M</t>
  </si>
  <si>
    <t xml:space="preserve">ARISH S</t>
  </si>
  <si>
    <t xml:space="preserve">ARULIRASAN G</t>
  </si>
  <si>
    <t xml:space="preserve">ASHWIN G</t>
  </si>
  <si>
    <t xml:space="preserve">ASWINI V</t>
  </si>
  <si>
    <t xml:space="preserve">DHANALAKSHMI R</t>
  </si>
  <si>
    <t xml:space="preserve">DHANAPRIYA P</t>
  </si>
  <si>
    <t xml:space="preserve">DIVAGARAN M</t>
  </si>
  <si>
    <t xml:space="preserve">DIVYA R</t>
  </si>
  <si>
    <t xml:space="preserve">DIVYA S</t>
  </si>
  <si>
    <t xml:space="preserve">GOPI M</t>
  </si>
  <si>
    <t xml:space="preserve">HARISH K</t>
  </si>
  <si>
    <t xml:space="preserve">HARISHARAN PS</t>
  </si>
  <si>
    <t xml:space="preserve">HEMALATHA M</t>
  </si>
  <si>
    <t xml:space="preserve">JAGAN S</t>
  </si>
  <si>
    <t xml:space="preserve">JANANI J</t>
  </si>
  <si>
    <t xml:space="preserve">JAYANTHI  K</t>
  </si>
  <si>
    <t xml:space="preserve">KEERTHANA M</t>
  </si>
  <si>
    <t xml:space="preserve">KEERTHANA R</t>
  </si>
  <si>
    <t xml:space="preserve">KEERTHIVASAN V</t>
  </si>
  <si>
    <t xml:space="preserve">KOWSALYA B</t>
  </si>
  <si>
    <t xml:space="preserve">LAKSHMI PRIYA S K</t>
  </si>
  <si>
    <t xml:space="preserve">LOSEYA V</t>
  </si>
  <si>
    <t xml:space="preserve">MADHANKUMAR R</t>
  </si>
  <si>
    <t xml:space="preserve">MADHUMITHA V</t>
  </si>
  <si>
    <t xml:space="preserve">MAHALAKSHMI S</t>
  </si>
  <si>
    <t xml:space="preserve">MOHANAPRIYA S</t>
  </si>
  <si>
    <t xml:space="preserve">MONICA U</t>
  </si>
  <si>
    <t xml:space="preserve">NITHEESWARI S</t>
  </si>
  <si>
    <t xml:space="preserve">NITHYA PRIYA C</t>
  </si>
  <si>
    <t xml:space="preserve">PRASANTH P</t>
  </si>
  <si>
    <t xml:space="preserve">PRIYADHARSHAN A</t>
  </si>
  <si>
    <t xml:space="preserve">RAGULGANDHI K</t>
  </si>
  <si>
    <t xml:space="preserve">RAGURAM R</t>
  </si>
  <si>
    <t xml:space="preserve">RAMYA N</t>
  </si>
  <si>
    <t xml:space="preserve">REETHIKA K</t>
  </si>
  <si>
    <t xml:space="preserve">RITHIK K</t>
  </si>
  <si>
    <t xml:space="preserve">SACHIN S</t>
  </si>
  <si>
    <t xml:space="preserve">SAGUNTHALA K</t>
  </si>
  <si>
    <t xml:space="preserve">SAKTHIVEL R</t>
  </si>
  <si>
    <t xml:space="preserve">SAMUVEL M</t>
  </si>
  <si>
    <t xml:space="preserve">SANDHIYA L</t>
  </si>
  <si>
    <t xml:space="preserve">SANGEETHA V</t>
  </si>
  <si>
    <t xml:space="preserve">SANKAR GANESH J</t>
  </si>
  <si>
    <t xml:space="preserve">UA</t>
  </si>
  <si>
    <t xml:space="preserve">SANTHASEELAN R</t>
  </si>
  <si>
    <t xml:space="preserve">SANTHOSH R</t>
  </si>
  <si>
    <t xml:space="preserve">SHARMILA B</t>
  </si>
  <si>
    <t xml:space="preserve">SIVAPRIYA S</t>
  </si>
  <si>
    <t xml:space="preserve">SRIMANOJ C</t>
  </si>
  <si>
    <t xml:space="preserve">SRINIVASAN N</t>
  </si>
  <si>
    <t xml:space="preserve">TAMILSELVAN J</t>
  </si>
  <si>
    <t xml:space="preserve">THAMIZHVANI S</t>
  </si>
  <si>
    <t xml:space="preserve">UDHAYACHANDHAR H</t>
  </si>
  <si>
    <t xml:space="preserve">UGENDRAN R</t>
  </si>
  <si>
    <t xml:space="preserve">VICKNESH D</t>
  </si>
  <si>
    <t xml:space="preserve">VIMALRAJ R</t>
  </si>
  <si>
    <t xml:space="preserve">YOGIBALA V</t>
  </si>
  <si>
    <t xml:space="preserve">SOMASUNDHARAM P</t>
  </si>
  <si>
    <t xml:space="preserve">THIRUNEELAKANDAN  M</t>
  </si>
  <si>
    <t xml:space="preserve">Total No. of Registered Students</t>
  </si>
  <si>
    <t xml:space="preserve">Total No. of Absentees</t>
  </si>
  <si>
    <t xml:space="preserve">Result Before Revaluation </t>
  </si>
  <si>
    <t xml:space="preserve">Total No. of Appear</t>
  </si>
  <si>
    <t xml:space="preserve">Total No. of Fail</t>
  </si>
  <si>
    <t xml:space="preserve">Total No. of Pass</t>
  </si>
  <si>
    <t xml:space="preserve">No. of 1 Arrear</t>
  </si>
  <si>
    <t xml:space="preserve">=</t>
  </si>
  <si>
    <t xml:space="preserve">No. of  WH1 - Withheld for Suspected Malpractice </t>
  </si>
  <si>
    <t xml:space="preserve">No. of 2 Arrear</t>
  </si>
  <si>
    <t xml:space="preserve">Total No. of Result Published</t>
  </si>
  <si>
    <t xml:space="preserve">No. of 3 Arrear</t>
  </si>
  <si>
    <t xml:space="preserve">Pass %</t>
  </si>
  <si>
    <t xml:space="preserve">No. of 4 Arrear</t>
  </si>
  <si>
    <t xml:space="preserve">No of. "O" Grade </t>
  </si>
  <si>
    <t xml:space="preserve">No of. "A+" Grade </t>
  </si>
  <si>
    <t xml:space="preserve">No of. "A" Grade </t>
  </si>
  <si>
    <t xml:space="preserve">No of. "B+" Grade </t>
  </si>
  <si>
    <t xml:space="preserve">No of. "B" Grade </t>
  </si>
  <si>
    <t xml:space="preserve">No of. "c" Grade </t>
  </si>
  <si>
    <t xml:space="preserve">All Pass</t>
  </si>
  <si>
    <t xml:space="preserve">( with out WH1 - Withheld for Suspected Malpractice ) Overall Pass %</t>
  </si>
  <si>
    <t xml:space="preserve">Subjectwise Individual Pass Percentage </t>
  </si>
  <si>
    <t xml:space="preserve">S.No</t>
  </si>
  <si>
    <t xml:space="preserve">Name of the Faculty </t>
  </si>
  <si>
    <t xml:space="preserve">Subject code/  Name </t>
  </si>
  <si>
    <t xml:space="preserve">No of students attended	</t>
  </si>
  <si>
    <t xml:space="preserve">Result Published</t>
  </si>
  <si>
    <t xml:space="preserve">No of Passed</t>
  </si>
  <si>
    <t xml:space="preserve">No of Failed</t>
  </si>
  <si>
    <t xml:space="preserve">Percentage of Passes (%)</t>
  </si>
  <si>
    <t xml:space="preserve">Dr. A.K. Gnanasekar, HOD/CSE</t>
  </si>
  <si>
    <t xml:space="preserve">CS3351-Digital Principles and Computer Organization</t>
  </si>
  <si>
    <t xml:space="preserve">Mrs.R.Rajalakshmi AP/IT</t>
  </si>
  <si>
    <t xml:space="preserve">CS3352 - Foundation of Data Science</t>
  </si>
  <si>
    <t xml:space="preserve">Mrs. R. Leelavathi, AP/IT</t>
  </si>
  <si>
    <t xml:space="preserve">CD3291-Data Structures and Algorithms</t>
  </si>
  <si>
    <t xml:space="preserve">Mr.S. Ganesan,AP/CSE</t>
  </si>
  <si>
    <t xml:space="preserve">CS3391 - Object Oriented Programming</t>
  </si>
  <si>
    <t xml:space="preserve">Mrs.C.Arunmozhi Devi, ASP/Maths</t>
  </si>
  <si>
    <t xml:space="preserve">MA3354 - Discrete Mathematics</t>
  </si>
  <si>
    <t xml:space="preserve">CD3281-Data Structures and Algorithms Lab</t>
  </si>
  <si>
    <t xml:space="preserve">CS3361 Data Science Lab</t>
  </si>
  <si>
    <t xml:space="preserve">CS3381 - Object Oriented Programming Lab</t>
  </si>
  <si>
    <t xml:space="preserve">GE3361-Professional Development</t>
  </si>
  <si>
    <t xml:space="preserve">CLASS INCHARGE</t>
  </si>
  <si>
    <t xml:space="preserve">HOD</t>
  </si>
  <si>
    <t xml:space="preserve">PRINCIPAL</t>
  </si>
  <si>
    <t xml:space="preserve"> Semester No. : 05                   Regulation 2021</t>
  </si>
  <si>
    <t xml:space="preserve">IT/III/5</t>
  </si>
  <si>
    <t xml:space="preserve">Reg. NUmber</t>
  </si>
  <si>
    <t xml:space="preserve">SUbject Code </t>
  </si>
  <si>
    <t xml:space="preserve">CCS334</t>
  </si>
  <si>
    <t xml:space="preserve">CCS346</t>
  </si>
  <si>
    <t xml:space="preserve">CS3551</t>
  </si>
  <si>
    <t xml:space="preserve">CS3591</t>
  </si>
  <si>
    <t xml:space="preserve">CS3691</t>
  </si>
  <si>
    <t xml:space="preserve">IT3501</t>
  </si>
  <si>
    <t xml:space="preserve">IT3511</t>
  </si>
  <si>
    <t xml:space="preserve">MX3081</t>
  </si>
  <si>
    <t xml:space="preserve">NM1032</t>
  </si>
  <si>
    <t xml:space="preserve">ResUlt</t>
  </si>
  <si>
    <t xml:space="preserve">StUd. Name</t>
  </si>
  <si>
    <t xml:space="preserve">AAKASH K</t>
  </si>
  <si>
    <t xml:space="preserve">ABINASH B</t>
  </si>
  <si>
    <t xml:space="preserve">ABINAYA K</t>
  </si>
  <si>
    <t xml:space="preserve">ARIVUMATHI K</t>
  </si>
  <si>
    <t xml:space="preserve">BARATH P</t>
  </si>
  <si>
    <t xml:space="preserve">BARATHKUMAR P</t>
  </si>
  <si>
    <t xml:space="preserve">BHAVANA V</t>
  </si>
  <si>
    <t xml:space="preserve">DEEPIKA B</t>
  </si>
  <si>
    <t xml:space="preserve">DHANYASRI M</t>
  </si>
  <si>
    <t xml:space="preserve">DHARSHINI R</t>
  </si>
  <si>
    <t xml:space="preserve">DHIVAKAR D</t>
  </si>
  <si>
    <t xml:space="preserve">DHIVYADHARSHINI S</t>
  </si>
  <si>
    <t xml:space="preserve">DIVYA G</t>
  </si>
  <si>
    <t xml:space="preserve">GOWSALYA M</t>
  </si>
  <si>
    <t xml:space="preserve">GOWTHAM A</t>
  </si>
  <si>
    <t xml:space="preserve">GOWTHAM R</t>
  </si>
  <si>
    <t xml:space="preserve">HARIHARAN K</t>
  </si>
  <si>
    <t xml:space="preserve">INDUMATHI Y</t>
  </si>
  <si>
    <t xml:space="preserve">JAYAPRAKASH V</t>
  </si>
  <si>
    <t xml:space="preserve">JENITHA M</t>
  </si>
  <si>
    <t xml:space="preserve">KAMESH S</t>
  </si>
  <si>
    <t xml:space="preserve">KANIMOZHI M</t>
  </si>
  <si>
    <t xml:space="preserve">KAVITHA K</t>
  </si>
  <si>
    <t xml:space="preserve">LAKSHANA K</t>
  </si>
  <si>
    <t xml:space="preserve">LOGANATHAN R</t>
  </si>
  <si>
    <t xml:space="preserve">LOGANATHAN T</t>
  </si>
  <si>
    <t xml:space="preserve">LOGESH K</t>
  </si>
  <si>
    <t xml:space="preserve">MADANA RAJ A K</t>
  </si>
  <si>
    <t xml:space="preserve">C</t>
  </si>
  <si>
    <t xml:space="preserve">MADHAN KUMAR V</t>
  </si>
  <si>
    <t xml:space="preserve">MAGESH R</t>
  </si>
  <si>
    <t xml:space="preserve">MAHIMADHAN K</t>
  </si>
  <si>
    <t xml:space="preserve">MOHAN A</t>
  </si>
  <si>
    <t xml:space="preserve">NAVEENKUMAR M</t>
  </si>
  <si>
    <t xml:space="preserve">PRADEEP R</t>
  </si>
  <si>
    <t xml:space="preserve">PRIYA DARSHINEE S</t>
  </si>
  <si>
    <t xml:space="preserve">RAJA M</t>
  </si>
  <si>
    <t xml:space="preserve">RAMKUMAR R</t>
  </si>
  <si>
    <t xml:space="preserve">RISHIKUMAR U</t>
  </si>
  <si>
    <t xml:space="preserve">SANJAY M</t>
  </si>
  <si>
    <t xml:space="preserve">SANTHIYA E</t>
  </si>
  <si>
    <t xml:space="preserve">SARATHI K</t>
  </si>
  <si>
    <t xml:space="preserve">SASIDHARAN A</t>
  </si>
  <si>
    <t xml:space="preserve">SIVARANJANI S</t>
  </si>
  <si>
    <t xml:space="preserve">SRIDHARAN S</t>
  </si>
  <si>
    <t xml:space="preserve">SRIMATHI B</t>
  </si>
  <si>
    <t xml:space="preserve">SWATHI S</t>
  </si>
  <si>
    <t xml:space="preserve">TAMILSELVI D</t>
  </si>
  <si>
    <t xml:space="preserve">THAMIZHILAKKIYA R</t>
  </si>
  <si>
    <t xml:space="preserve">UDHAYA SURIYA P</t>
  </si>
  <si>
    <t xml:space="preserve">VALAISELVAN P</t>
  </si>
  <si>
    <t xml:space="preserve">VARUNRAJ P</t>
  </si>
  <si>
    <t xml:space="preserve">VIMALRAJ E</t>
  </si>
  <si>
    <t xml:space="preserve">JAYASHREE D</t>
  </si>
  <si>
    <t xml:space="preserve">JANANI V</t>
  </si>
  <si>
    <t xml:space="preserve">KANAGAVALLI R</t>
  </si>
  <si>
    <t xml:space="preserve">No. of 5 Arrear</t>
  </si>
  <si>
    <t xml:space="preserve">No. of 6 Arrear</t>
  </si>
  <si>
    <t xml:space="preserve">No. of 7 Arrear</t>
  </si>
  <si>
    <t xml:space="preserve">MRS.V.ANITHA AP/CSE</t>
  </si>
  <si>
    <t xml:space="preserve">CCS334/BIG DATA ANALYTICS</t>
  </si>
  <si>
    <t xml:space="preserve">MRS.R.RAJALAKSHMI AP/IT</t>
  </si>
  <si>
    <t xml:space="preserve">CCS346/EXPLORATORY DATA ANALYSIS</t>
  </si>
  <si>
    <t xml:space="preserve">MRS.R.ARUNLAKSHMI AP/CSE</t>
  </si>
  <si>
    <t xml:space="preserve">CS3351/DITRIBUTED COMPUTING</t>
  </si>
  <si>
    <t xml:space="preserve">MR.E.KAMALANATHAN AP/IT</t>
  </si>
  <si>
    <t xml:space="preserve">CS3591/COMPUTER NETWORK</t>
  </si>
  <si>
    <t xml:space="preserve">DR.S.PARASURAMAN AP/ECE</t>
  </si>
  <si>
    <t xml:space="preserve">CS3691/EMBEDED SYSTEM &amp; IOT</t>
  </si>
  <si>
    <t xml:space="preserve">MR.U.RATHINAVEL AP/IT</t>
  </si>
  <si>
    <t xml:space="preserve">IT3501/FULL STACK WEB DEVELOPMENT</t>
  </si>
  <si>
    <t xml:space="preserve">IT3511/FULL STACK LAB</t>
  </si>
  <si>
    <t xml:space="preserve">MR.S.ANBARASAN AP/ENG</t>
  </si>
  <si>
    <t xml:space="preserve">MX3081/INTRODUCTION TO WOMEN &amp; GENERAL STUDIES</t>
  </si>
  <si>
    <t xml:space="preserve">MR.S.GANESAN AP/AIDS</t>
  </si>
  <si>
    <t xml:space="preserve">NM1032/NAAN MUDHALAVAN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</si>
</sst>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_);[RED]\(0\)"/>
    <numFmt numFmtId="166" formatCode="0"/>
    <numFmt numFmtId="167" formatCode="0.00"/>
  </numFmts>
  <fonts count="42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Calibri"/>
      <family val="0"/>
      <charset val="1"/>
    </font>
    <font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2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4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6"/>
      <color rgb="FF000000"/>
      <name val="Calibri"/>
      <family val="0"/>
      <charset val="1"/>
    </font>
    <font>
      <b val="true"/>
      <sz val="12"/>
      <color rgb="FF000000"/>
      <name val="Times New Roman"/>
      <family val="0"/>
      <charset val="1"/>
    </font>
    <font>
      <b val="true"/>
      <sz val="12"/>
      <color rgb="FF385623"/>
      <name val="Times New Roman"/>
      <family val="0"/>
      <charset val="1"/>
    </font>
    <font>
      <b val="true"/>
      <sz val="12"/>
      <color rgb="FFC00000"/>
      <name val="Times New Roman"/>
      <family val="0"/>
      <charset val="1"/>
    </font>
    <font>
      <b val="true"/>
      <sz val="8"/>
      <color rgb="FF000000"/>
      <name val="Calibri"/>
      <family val="0"/>
      <charset val="1"/>
    </font>
    <font>
      <b val="true"/>
      <sz val="8"/>
      <color rgb="FF000000"/>
      <name val="Times New Roman"/>
      <family val="0"/>
      <charset val="1"/>
    </font>
    <font>
      <sz val="14"/>
      <color rgb="FF000000"/>
      <name val="Times New Roman"/>
      <family val="0"/>
      <charset val="1"/>
    </font>
    <font>
      <b val="true"/>
      <sz val="14"/>
      <color rgb="FF385623"/>
      <name val="Times New Roman"/>
      <family val="0"/>
      <charset val="1"/>
    </font>
    <font>
      <b val="true"/>
      <sz val="14"/>
      <name val="Times New Roman"/>
      <family val="0"/>
      <charset val="1"/>
    </font>
    <font>
      <b val="true"/>
      <sz val="14"/>
      <color rgb="FF000000"/>
      <name val="Times New Roman"/>
      <family val="0"/>
      <charset val="1"/>
    </font>
    <font>
      <sz val="14"/>
      <name val="Times New Roman"/>
      <family val="0"/>
      <charset val="1"/>
    </font>
    <font>
      <sz val="14"/>
      <name val="Calibri"/>
      <family val="0"/>
      <charset val="1"/>
    </font>
    <font>
      <b val="true"/>
      <sz val="12"/>
      <color rgb="FF000000"/>
      <name val="Arial"/>
      <family val="0"/>
      <charset val="1"/>
    </font>
    <font>
      <sz val="14"/>
      <color rgb="FF7030A0"/>
      <name val="Calibri"/>
      <family val="2"/>
    </font>
    <font>
      <sz val="9"/>
      <color rgb="FF000000"/>
      <name val="Calibri"/>
      <family val="2"/>
    </font>
    <font>
      <b val="true"/>
      <sz val="8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6"/>
      <color rgb="FF000000"/>
      <name val="Arial"/>
      <family val="0"/>
      <charset val="1"/>
    </font>
    <font>
      <sz val="16"/>
      <color rgb="FF000000"/>
      <name val="Times New Roman"/>
      <family val="0"/>
      <charset val="1"/>
    </font>
    <font>
      <b val="true"/>
      <sz val="16"/>
      <color rgb="FFC00000"/>
      <name val="Times New Roman"/>
      <family val="0"/>
      <charset val="1"/>
    </font>
    <font>
      <b val="true"/>
      <sz val="16"/>
      <color rgb="FF000000"/>
      <name val="Times New Roman"/>
      <family val="0"/>
      <charset val="1"/>
    </font>
    <font>
      <b val="true"/>
      <sz val="8"/>
      <color rgb="FFC00000"/>
      <name val="Arial"/>
      <family val="0"/>
      <charset val="1"/>
    </font>
    <font>
      <sz val="16"/>
      <color rgb="FFC00000"/>
      <name val="Times New Roman"/>
      <family val="0"/>
      <charset val="1"/>
    </font>
    <font>
      <b val="true"/>
      <sz val="14"/>
      <color rgb="FFC00000"/>
      <name val="Times New Roman"/>
      <family val="0"/>
      <charset val="1"/>
    </font>
    <font>
      <sz val="16"/>
      <color rgb="FFC00000"/>
      <name val="Calibri"/>
      <family val="0"/>
      <charset val="1"/>
    </font>
    <font>
      <sz val="14"/>
      <color rgb="FF757575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EEAF6"/>
        <bgColor rgb="FFD9E2F3"/>
      </patternFill>
    </fill>
    <fill>
      <patternFill patternType="solid">
        <fgColor rgb="FFF2F2F2"/>
        <bgColor rgb="FFDEEAF6"/>
      </patternFill>
    </fill>
    <fill>
      <patternFill patternType="solid">
        <fgColor rgb="FFAEABAB"/>
        <bgColor rgb="FFA5A5A5"/>
      </patternFill>
    </fill>
    <fill>
      <patternFill patternType="solid">
        <fgColor rgb="FFD9E2F3"/>
        <bgColor rgb="FFDEEAF6"/>
      </patternFill>
    </fill>
    <fill>
      <patternFill patternType="solid">
        <fgColor rgb="FFFFFFFF"/>
        <bgColor rgb="FFF2F2F2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5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5" borderId="1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3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  <xf numFmtId="164" fontId="21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3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3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A5A5A5"/>
      <rgbColor rgb="FF7030A0"/>
      <rgbColor rgb="FFF2F2F2"/>
      <rgbColor rgb="FFDEEA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CFFCC"/>
      <rgbColor rgb="FFFFFF99"/>
      <rgbColor rgb="FF99CCFF"/>
      <rgbColor rgb="FFFF99CC"/>
      <rgbColor rgb="FFAEABAB"/>
      <rgbColor rgb="FFFFCC99"/>
      <rgbColor rgb="FF4472C4"/>
      <rgbColor rgb="FF33CCCC"/>
      <rgbColor rgb="FF99CC00"/>
      <rgbColor rgb="FFFFC000"/>
      <rgbColor rgb="FFFF9900"/>
      <rgbColor rgb="FFED7D31"/>
      <rgbColor rgb="FF4285F4"/>
      <rgbColor rgb="FF8B8B8B"/>
      <rgbColor rgb="FF003366"/>
      <rgbColor rgb="FF339966"/>
      <rgbColor rgb="FF003300"/>
      <rgbColor rgb="FF333300"/>
      <rgbColor rgb="FF993300"/>
      <rgbColor rgb="FF993366"/>
      <rgbColor rgb="FF333399"/>
      <rgbColor rgb="FF38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7030A0"/>
                </a:solidFill>
                <a:uFillTx/>
                <a:latin typeface="Calibri"/>
              </a:rPr>
              <a:t>RESULT ANALYSIS NOV/DEC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285F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sz="9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'SEM3 IT BEFORE (2)'!$C$90:$C$98</c:f>
              <c:strCache>
                <c:ptCount val="9"/>
                <c:pt idx="0">
                  <c:v>CS3351-Digital Principles and Computer Organization</c:v>
                </c:pt>
                <c:pt idx="1">
                  <c:v>CS3352 - Foundation of Data Science</c:v>
                </c:pt>
                <c:pt idx="2">
                  <c:v>CD3291-Data Structures and Algorithms</c:v>
                </c:pt>
                <c:pt idx="3">
                  <c:v>CS3391 - Object Oriented Programming</c:v>
                </c:pt>
                <c:pt idx="4">
                  <c:v>MA3354 - Discrete Mathematics</c:v>
                </c:pt>
                <c:pt idx="5">
                  <c:v>CD3281-Data Structures and Algorithms Lab</c:v>
                </c:pt>
                <c:pt idx="6">
                  <c:v>CS3361 Data Science Lab</c:v>
                </c:pt>
                <c:pt idx="7">
                  <c:v>CS3381 - Object Oriented Programming Lab</c:v>
                </c:pt>
                <c:pt idx="8">
                  <c:v>GE3361-Professional Development</c:v>
                </c:pt>
              </c:strCache>
            </c:strRef>
          </c:cat>
          <c:val>
            <c:numRef>
              <c:f>'SEM3 IT BEFORE (2)'!$N$90:$N$98</c:f>
              <c:numCache>
                <c:formatCode>General</c:formatCode>
                <c:ptCount val="9"/>
              </c:numCache>
            </c:numRef>
          </c:val>
        </c:ser>
        <c:gapWidth val="150"/>
        <c:overlap val="0"/>
        <c:axId val="24611028"/>
        <c:axId val="91689203"/>
      </c:barChart>
      <c:catAx>
        <c:axId val="246110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1689203"/>
        <c:crosses val="autoZero"/>
        <c:auto val="1"/>
        <c:lblAlgn val="ctr"/>
        <c:lblOffset val="100"/>
        <c:noMultiLvlLbl val="0"/>
      </c:catAx>
      <c:valAx>
        <c:axId val="9168920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461102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757575"/>
                </a:solidFill>
                <a:uFillTx/>
                <a:latin typeface="Calibri"/>
              </a:rPr>
              <a:t>RESULT ANALYSIS NOV DEC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285F4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'SEM5 IT BEFORE'!$C$82:$C$90</c:f>
              <c:strCache>
                <c:ptCount val="9"/>
                <c:pt idx="0">
                  <c:v>CCS334/BIG DATA ANALYTICS</c:v>
                </c:pt>
                <c:pt idx="1">
                  <c:v>CCS346/EXPLORATORY DATA ANALYSIS</c:v>
                </c:pt>
                <c:pt idx="2">
                  <c:v>CS3351/DITRIBUTED COMPUTING</c:v>
                </c:pt>
                <c:pt idx="3">
                  <c:v>CS3591/COMPUTER NETWORK</c:v>
                </c:pt>
                <c:pt idx="4">
                  <c:v>CS3691/EMBEDED SYSTEM &amp; IOT</c:v>
                </c:pt>
                <c:pt idx="5">
                  <c:v>IT3501/FULL STACK WEB DEVELOPMENT</c:v>
                </c:pt>
                <c:pt idx="6">
                  <c:v>IT3511/FULL STACK LAB</c:v>
                </c:pt>
                <c:pt idx="7">
                  <c:v>MX3081/INTRODUCTION TO WOMEN &amp; GENERAL STUDIES</c:v>
                </c:pt>
                <c:pt idx="8">
                  <c:v>NM1032/NAAN MUDHALAVAN</c:v>
                </c:pt>
              </c:strCache>
            </c:strRef>
          </c:cat>
          <c:val>
            <c:numRef>
              <c:f>'SEM5 IT BEFORE'!$D$82:$D$90</c:f>
              <c:numCache>
                <c:formatCode>General</c:formatCode>
                <c:ptCount val="9"/>
              </c:numCache>
            </c:numRef>
          </c:val>
        </c:ser>
        <c:ser>
          <c:idx val="1"/>
          <c:order val="1"/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'SEM5 IT BEFORE'!$C$82:$C$90</c:f>
              <c:strCache>
                <c:ptCount val="9"/>
                <c:pt idx="0">
                  <c:v>CCS334/BIG DATA ANALYTICS</c:v>
                </c:pt>
                <c:pt idx="1">
                  <c:v>CCS346/EXPLORATORY DATA ANALYSIS</c:v>
                </c:pt>
                <c:pt idx="2">
                  <c:v>CS3351/DITRIBUTED COMPUTING</c:v>
                </c:pt>
                <c:pt idx="3">
                  <c:v>CS3591/COMPUTER NETWORK</c:v>
                </c:pt>
                <c:pt idx="4">
                  <c:v>CS3691/EMBEDED SYSTEM &amp; IOT</c:v>
                </c:pt>
                <c:pt idx="5">
                  <c:v>IT3501/FULL STACK WEB DEVELOPMENT</c:v>
                </c:pt>
                <c:pt idx="6">
                  <c:v>IT3511/FULL STACK LAB</c:v>
                </c:pt>
                <c:pt idx="7">
                  <c:v>MX3081/INTRODUCTION TO WOMEN &amp; GENERAL STUDIES</c:v>
                </c:pt>
                <c:pt idx="8">
                  <c:v>NM1032/NAAN MUDHALAVAN</c:v>
                </c:pt>
              </c:strCache>
            </c:strRef>
          </c:cat>
          <c:val>
            <c:numRef>
              <c:f>'SEM5 IT BEFORE'!$E$82:$E$90</c:f>
              <c:numCache>
                <c:formatCode>General</c:formatCode>
                <c:ptCount val="9"/>
              </c:numCache>
            </c:numRef>
          </c:val>
        </c:ser>
        <c:ser>
          <c:idx val="2"/>
          <c:order val="2"/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'SEM5 IT BEFORE'!$C$82:$C$90</c:f>
              <c:strCache>
                <c:ptCount val="9"/>
                <c:pt idx="0">
                  <c:v>CCS334/BIG DATA ANALYTICS</c:v>
                </c:pt>
                <c:pt idx="1">
                  <c:v>CCS346/EXPLORATORY DATA ANALYSIS</c:v>
                </c:pt>
                <c:pt idx="2">
                  <c:v>CS3351/DITRIBUTED COMPUTING</c:v>
                </c:pt>
                <c:pt idx="3">
                  <c:v>CS3591/COMPUTER NETWORK</c:v>
                </c:pt>
                <c:pt idx="4">
                  <c:v>CS3691/EMBEDED SYSTEM &amp; IOT</c:v>
                </c:pt>
                <c:pt idx="5">
                  <c:v>IT3501/FULL STACK WEB DEVELOPMENT</c:v>
                </c:pt>
                <c:pt idx="6">
                  <c:v>IT3511/FULL STACK LAB</c:v>
                </c:pt>
                <c:pt idx="7">
                  <c:v>MX3081/INTRODUCTION TO WOMEN &amp; GENERAL STUDIES</c:v>
                </c:pt>
                <c:pt idx="8">
                  <c:v>NM1032/NAAN MUDHALAVAN</c:v>
                </c:pt>
              </c:strCache>
            </c:strRef>
          </c:cat>
          <c:val>
            <c:numRef>
              <c:f>'SEM5 IT BEFORE'!$N$82:$N$90</c:f>
              <c:numCache>
                <c:formatCode>General</c:formatCode>
                <c:ptCount val="9"/>
              </c:numCache>
            </c:numRef>
          </c:val>
        </c:ser>
        <c:ser>
          <c:idx val="3"/>
          <c:order val="3"/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'SEM5 IT BEFORE'!$C$82:$C$90</c:f>
              <c:strCache>
                <c:ptCount val="9"/>
                <c:pt idx="0">
                  <c:v>CCS334/BIG DATA ANALYTICS</c:v>
                </c:pt>
                <c:pt idx="1">
                  <c:v>CCS346/EXPLORATORY DATA ANALYSIS</c:v>
                </c:pt>
                <c:pt idx="2">
                  <c:v>CS3351/DITRIBUTED COMPUTING</c:v>
                </c:pt>
                <c:pt idx="3">
                  <c:v>CS3591/COMPUTER NETWORK</c:v>
                </c:pt>
                <c:pt idx="4">
                  <c:v>CS3691/EMBEDED SYSTEM &amp; IOT</c:v>
                </c:pt>
                <c:pt idx="5">
                  <c:v>IT3501/FULL STACK WEB DEVELOPMENT</c:v>
                </c:pt>
                <c:pt idx="6">
                  <c:v>IT3511/FULL STACK LAB</c:v>
                </c:pt>
                <c:pt idx="7">
                  <c:v>MX3081/INTRODUCTION TO WOMEN &amp; GENERAL STUDIES</c:v>
                </c:pt>
                <c:pt idx="8">
                  <c:v>NM1032/NAAN MUDHALAVAN</c:v>
                </c:pt>
              </c:strCache>
            </c:strRef>
          </c:cat>
          <c:val>
            <c:numRef>
              <c:f>'SEM5 IT BEFORE'!$O$82:$O$90</c:f>
              <c:numCache>
                <c:formatCode>General</c:formatCode>
                <c:ptCount val="9"/>
              </c:numCache>
            </c:numRef>
          </c:val>
        </c:ser>
        <c:ser>
          <c:idx val="4"/>
          <c:order val="4"/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'SEM5 IT BEFORE'!$C$82:$C$90</c:f>
              <c:strCache>
                <c:ptCount val="9"/>
                <c:pt idx="0">
                  <c:v>CCS334/BIG DATA ANALYTICS</c:v>
                </c:pt>
                <c:pt idx="1">
                  <c:v>CCS346/EXPLORATORY DATA ANALYSIS</c:v>
                </c:pt>
                <c:pt idx="2">
                  <c:v>CS3351/DITRIBUTED COMPUTING</c:v>
                </c:pt>
                <c:pt idx="3">
                  <c:v>CS3591/COMPUTER NETWORK</c:v>
                </c:pt>
                <c:pt idx="4">
                  <c:v>CS3691/EMBEDED SYSTEM &amp; IOT</c:v>
                </c:pt>
                <c:pt idx="5">
                  <c:v>IT3501/FULL STACK WEB DEVELOPMENT</c:v>
                </c:pt>
                <c:pt idx="6">
                  <c:v>IT3511/FULL STACK LAB</c:v>
                </c:pt>
                <c:pt idx="7">
                  <c:v>MX3081/INTRODUCTION TO WOMEN &amp; GENERAL STUDIES</c:v>
                </c:pt>
                <c:pt idx="8">
                  <c:v>NM1032/NAAN MUDHALAVAN</c:v>
                </c:pt>
              </c:strCache>
            </c:strRef>
          </c:cat>
          <c:val>
            <c:numRef>
              <c:f>'SEM5 IT BEFORE'!$P$82:$P$90</c:f>
              <c:numCache>
                <c:formatCode>General</c:formatCode>
                <c:ptCount val="9"/>
              </c:numCache>
            </c:numRef>
          </c:val>
        </c:ser>
        <c:gapWidth val="150"/>
        <c:overlap val="0"/>
        <c:axId val="90022344"/>
        <c:axId val="19563954"/>
      </c:barChart>
      <c:catAx>
        <c:axId val="900223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563954"/>
        <c:crosses val="autoZero"/>
        <c:auto val="1"/>
        <c:lblAlgn val="ctr"/>
        <c:lblOffset val="100"/>
        <c:noMultiLvlLbl val="0"/>
      </c:catAx>
      <c:valAx>
        <c:axId val="19563954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02234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jpeg"/><Relationship Id="rId3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image1.jpeg"/><Relationship Id="rId3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628560</xdr:colOff>
      <xdr:row>100</xdr:row>
      <xdr:rowOff>171360</xdr:rowOff>
    </xdr:from>
    <xdr:to>
      <xdr:col>12</xdr:col>
      <xdr:colOff>658800</xdr:colOff>
      <xdr:row>117</xdr:row>
      <xdr:rowOff>113760</xdr:rowOff>
    </xdr:to>
    <xdr:graphicFrame>
      <xdr:nvGraphicFramePr>
        <xdr:cNvPr id="1" name="Chart 1"/>
        <xdr:cNvGraphicFramePr/>
      </xdr:nvGraphicFramePr>
      <xdr:xfrm>
        <a:off x="1126440" y="22602600"/>
        <a:ext cx="9315000" cy="3342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447840</xdr:colOff>
      <xdr:row>0</xdr:row>
      <xdr:rowOff>95400</xdr:rowOff>
    </xdr:from>
    <xdr:to>
      <xdr:col>14</xdr:col>
      <xdr:colOff>541080</xdr:colOff>
      <xdr:row>2</xdr:row>
      <xdr:rowOff>218880</xdr:rowOff>
    </xdr:to>
    <xdr:pic>
      <xdr:nvPicPr>
        <xdr:cNvPr id="2" name="image1.jpg"/>
        <xdr:cNvPicPr/>
      </xdr:nvPicPr>
      <xdr:blipFill>
        <a:blip r:embed="rId2"/>
        <a:stretch/>
      </xdr:blipFill>
      <xdr:spPr>
        <a:xfrm>
          <a:off x="11072160" y="95400"/>
          <a:ext cx="790200" cy="62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0</xdr:row>
      <xdr:rowOff>95400</xdr:rowOff>
    </xdr:from>
    <xdr:to>
      <xdr:col>1</xdr:col>
      <xdr:colOff>511560</xdr:colOff>
      <xdr:row>2</xdr:row>
      <xdr:rowOff>237960</xdr:rowOff>
    </xdr:to>
    <xdr:pic>
      <xdr:nvPicPr>
        <xdr:cNvPr id="3" name="image2.png"/>
        <xdr:cNvPicPr/>
      </xdr:nvPicPr>
      <xdr:blipFill>
        <a:blip r:embed="rId3"/>
        <a:stretch/>
      </xdr:blipFill>
      <xdr:spPr>
        <a:xfrm>
          <a:off x="343080" y="95400"/>
          <a:ext cx="666360" cy="647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142920</xdr:colOff>
      <xdr:row>93</xdr:row>
      <xdr:rowOff>152280</xdr:rowOff>
    </xdr:from>
    <xdr:to>
      <xdr:col>12</xdr:col>
      <xdr:colOff>476640</xdr:colOff>
      <xdr:row>109</xdr:row>
      <xdr:rowOff>56520</xdr:rowOff>
    </xdr:to>
    <xdr:graphicFrame>
      <xdr:nvGraphicFramePr>
        <xdr:cNvPr id="4" name="Chart 2"/>
        <xdr:cNvGraphicFramePr/>
      </xdr:nvGraphicFramePr>
      <xdr:xfrm>
        <a:off x="640800" y="20754720"/>
        <a:ext cx="10315080" cy="310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276120</xdr:colOff>
      <xdr:row>0</xdr:row>
      <xdr:rowOff>152280</xdr:rowOff>
    </xdr:from>
    <xdr:to>
      <xdr:col>15</xdr:col>
      <xdr:colOff>365400</xdr:colOff>
      <xdr:row>2</xdr:row>
      <xdr:rowOff>190080</xdr:rowOff>
    </xdr:to>
    <xdr:pic>
      <xdr:nvPicPr>
        <xdr:cNvPr id="5" name="image3.jpg"/>
        <xdr:cNvPicPr/>
      </xdr:nvPicPr>
      <xdr:blipFill>
        <a:blip r:embed="rId2"/>
        <a:stretch/>
      </xdr:blipFill>
      <xdr:spPr>
        <a:xfrm>
          <a:off x="12504240" y="152280"/>
          <a:ext cx="67608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343080</xdr:colOff>
      <xdr:row>0</xdr:row>
      <xdr:rowOff>95400</xdr:rowOff>
    </xdr:from>
    <xdr:to>
      <xdr:col>1</xdr:col>
      <xdr:colOff>397440</xdr:colOff>
      <xdr:row>2</xdr:row>
      <xdr:rowOff>123840</xdr:rowOff>
    </xdr:to>
    <xdr:pic>
      <xdr:nvPicPr>
        <xdr:cNvPr id="6" name="image4.png"/>
        <xdr:cNvPicPr/>
      </xdr:nvPicPr>
      <xdr:blipFill>
        <a:blip r:embed="rId3"/>
        <a:stretch/>
      </xdr:blipFill>
      <xdr:spPr>
        <a:xfrm>
          <a:off x="343080" y="95400"/>
          <a:ext cx="552240" cy="533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9" activeCellId="0" sqref="D99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6.43"/>
    <col collapsed="false" customWidth="true" hidden="false" outlineLevel="0" max="2" min="2" style="0" width="16.86"/>
    <col collapsed="false" customWidth="true" hidden="false" outlineLevel="0" max="3" min="3" style="0" width="20.43"/>
    <col collapsed="false" customWidth="true" hidden="false" outlineLevel="0" max="4" min="4" style="0" width="8.71"/>
    <col collapsed="false" customWidth="true" hidden="false" outlineLevel="0" max="5" min="5" style="0" width="12.86"/>
    <col collapsed="false" customWidth="true" hidden="false" outlineLevel="0" max="12" min="6" style="0" width="8.71"/>
    <col collapsed="false" customWidth="true" hidden="false" outlineLevel="0" max="13" min="13" style="0" width="10.86"/>
    <col collapsed="false" customWidth="true" hidden="false" outlineLevel="0" max="14" min="14" style="0" width="9"/>
    <col collapsed="false" customWidth="true" hidden="false" outlineLevel="0" max="15" min="15" style="0" width="7.57"/>
    <col collapsed="false" customWidth="true" hidden="false" outlineLevel="0" max="16" min="16" style="0" width="10.86"/>
    <col collapsed="false" customWidth="true" hidden="false" outlineLevel="0" max="17" min="17" style="0" width="9"/>
  </cols>
  <sheetData>
    <row r="1" customFormat="false" ht="21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21" hidden="false" customHeight="true" outlineLevel="0" collapsed="false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customFormat="false" ht="15" hidden="false" customHeight="true" outlineLevel="0" collapsed="false">
      <c r="A4" s="3" t="s">
        <v>3</v>
      </c>
      <c r="B4" s="4"/>
      <c r="D4" s="5" t="s">
        <v>4</v>
      </c>
      <c r="J4" s="3" t="s">
        <v>5</v>
      </c>
    </row>
    <row r="5" customFormat="false" ht="15" hidden="false" customHeight="true" outlineLevel="0" collapsed="false">
      <c r="A5" s="3"/>
      <c r="B5" s="4"/>
      <c r="F5" s="0" t="s">
        <v>6</v>
      </c>
      <c r="J5" s="3"/>
      <c r="K5" s="6" t="s">
        <v>7</v>
      </c>
      <c r="L5" s="6"/>
      <c r="M5" s="6"/>
      <c r="N5" s="7" t="s">
        <v>8</v>
      </c>
      <c r="O5" s="7"/>
      <c r="P5" s="7"/>
    </row>
    <row r="6" customFormat="false" ht="36.75" hidden="false" customHeight="true" outlineLevel="0" collapsed="false">
      <c r="A6" s="8" t="s">
        <v>9</v>
      </c>
      <c r="B6" s="8" t="s">
        <v>10</v>
      </c>
      <c r="C6" s="8" t="s">
        <v>11</v>
      </c>
      <c r="D6" s="8" t="s">
        <v>12</v>
      </c>
      <c r="E6" s="8" t="s">
        <v>13</v>
      </c>
      <c r="F6" s="8" t="s">
        <v>14</v>
      </c>
      <c r="G6" s="8" t="s">
        <v>15</v>
      </c>
      <c r="H6" s="8" t="s">
        <v>16</v>
      </c>
      <c r="I6" s="8" t="s">
        <v>17</v>
      </c>
      <c r="J6" s="8" t="s">
        <v>18</v>
      </c>
      <c r="K6" s="8" t="s">
        <v>19</v>
      </c>
      <c r="L6" s="8" t="s">
        <v>20</v>
      </c>
      <c r="M6" s="9" t="s">
        <v>21</v>
      </c>
      <c r="N6" s="9" t="s">
        <v>22</v>
      </c>
      <c r="O6" s="9" t="s">
        <v>23</v>
      </c>
      <c r="P6" s="9" t="s">
        <v>24</v>
      </c>
      <c r="Q6" s="5"/>
    </row>
    <row r="7" customFormat="false" ht="17.25" hidden="false" customHeight="true" outlineLevel="0" collapsed="false">
      <c r="A7" s="8"/>
      <c r="B7" s="8"/>
      <c r="C7" s="8" t="s">
        <v>25</v>
      </c>
      <c r="D7" s="8" t="s">
        <v>26</v>
      </c>
      <c r="E7" s="8" t="s">
        <v>26</v>
      </c>
      <c r="F7" s="8" t="s">
        <v>26</v>
      </c>
      <c r="G7" s="8" t="s">
        <v>26</v>
      </c>
      <c r="H7" s="8" t="s">
        <v>26</v>
      </c>
      <c r="I7" s="8" t="s">
        <v>26</v>
      </c>
      <c r="J7" s="8" t="s">
        <v>26</v>
      </c>
      <c r="K7" s="8" t="s">
        <v>26</v>
      </c>
      <c r="L7" s="8" t="s">
        <v>26</v>
      </c>
      <c r="M7" s="9"/>
      <c r="N7" s="9"/>
      <c r="O7" s="9"/>
      <c r="P7" s="9"/>
      <c r="Q7" s="5"/>
    </row>
    <row r="8" customFormat="false" ht="15" hidden="false" customHeight="false" outlineLevel="0" collapsed="false">
      <c r="A8" s="10" t="n">
        <v>1</v>
      </c>
      <c r="B8" s="11" t="n">
        <v>511523205001</v>
      </c>
      <c r="C8" s="12" t="s">
        <v>27</v>
      </c>
      <c r="D8" s="13" t="s">
        <v>28</v>
      </c>
      <c r="E8" s="13" t="s">
        <v>29</v>
      </c>
      <c r="F8" s="13" t="s">
        <v>30</v>
      </c>
      <c r="G8" s="13" t="s">
        <v>29</v>
      </c>
      <c r="H8" s="13" t="s">
        <v>28</v>
      </c>
      <c r="I8" s="13" t="s">
        <v>28</v>
      </c>
      <c r="J8" s="13" t="s">
        <v>29</v>
      </c>
      <c r="K8" s="13" t="s">
        <v>28</v>
      </c>
      <c r="L8" s="13" t="s">
        <v>29</v>
      </c>
      <c r="M8" s="14" t="str">
        <f aca="false">COUNTIF(D8:L8,"U")</f>
        <v>4</v>
      </c>
      <c r="N8" s="15" t="str">
        <f aca="false">COUNTIF(D8:M8,"UA")</f>
        <v>0</v>
      </c>
      <c r="O8" s="14" t="str">
        <f aca="false">M8+N8</f>
        <v>4</v>
      </c>
      <c r="P8" s="16" t="str">
        <f aca="false">IF(AND(M8=0,N8=0),"PASS","FAIL")</f>
        <v>FAIL</v>
      </c>
      <c r="Q8" s="0" t="str">
        <f aca="false">IF(OR(D8="U",E8="U",F8="U",G8="U",H8="U",I8="U",J8="U",K8="U",L8="U"),"FAIL",IF(OR(D8="UA",E8="UA",F8="UA",G8="UA",H8="UA",I8="UA",J8="UA",K8="UA",L8="UA"),"FAIL","PASS"))</f>
        <v>FAIL</v>
      </c>
    </row>
    <row r="9" customFormat="false" ht="15" hidden="false" customHeight="false" outlineLevel="0" collapsed="false">
      <c r="A9" s="10" t="n">
        <v>2</v>
      </c>
      <c r="B9" s="11" t="n">
        <v>511523205002</v>
      </c>
      <c r="C9" s="12" t="s">
        <v>31</v>
      </c>
      <c r="D9" s="13" t="s">
        <v>32</v>
      </c>
      <c r="E9" s="13" t="s">
        <v>33</v>
      </c>
      <c r="F9" s="13" t="s">
        <v>28</v>
      </c>
      <c r="G9" s="13" t="s">
        <v>33</v>
      </c>
      <c r="H9" s="13" t="s">
        <v>32</v>
      </c>
      <c r="I9" s="13" t="s">
        <v>32</v>
      </c>
      <c r="J9" s="13" t="s">
        <v>33</v>
      </c>
      <c r="K9" s="13" t="s">
        <v>32</v>
      </c>
      <c r="L9" s="13" t="s">
        <v>32</v>
      </c>
      <c r="M9" s="14" t="str">
        <f aca="false">COUNTIF(D9:L9,"U")</f>
        <v>0</v>
      </c>
      <c r="N9" s="15" t="str">
        <f aca="false">COUNTIF(D9:M9,"UA")</f>
        <v>0</v>
      </c>
      <c r="O9" s="14" t="str">
        <f aca="false">M9+N9</f>
        <v>0</v>
      </c>
      <c r="P9" s="16" t="str">
        <f aca="false">IF(AND(M9=0,N9=0),"PASS","FAIL")</f>
        <v>PASS</v>
      </c>
      <c r="Q9" s="0" t="str">
        <f aca="false">IF(OR(D9="U",E9="U",F9="U",G9="U",H9="U",I9="U",J9="U",K9="U",L9="U"),"FAIL",IF(OR(D9="UA",E9="UA",F9="UA",G9="UA",H9="UA",I9="UA",J9="UA",K9="UA",L9="UA"),"FAIL","PASS"))</f>
        <v>PASS</v>
      </c>
    </row>
    <row r="10" customFormat="false" ht="15" hidden="false" customHeight="false" outlineLevel="0" collapsed="false">
      <c r="A10" s="10" t="n">
        <v>3</v>
      </c>
      <c r="B10" s="11" t="n">
        <v>511523205003</v>
      </c>
      <c r="C10" s="12" t="s">
        <v>34</v>
      </c>
      <c r="D10" s="13" t="s">
        <v>32</v>
      </c>
      <c r="E10" s="13" t="s">
        <v>35</v>
      </c>
      <c r="F10" s="13" t="s">
        <v>35</v>
      </c>
      <c r="G10" s="13" t="s">
        <v>33</v>
      </c>
      <c r="H10" s="13" t="s">
        <v>32</v>
      </c>
      <c r="I10" s="13" t="s">
        <v>32</v>
      </c>
      <c r="J10" s="13" t="s">
        <v>35</v>
      </c>
      <c r="K10" s="13" t="s">
        <v>32</v>
      </c>
      <c r="L10" s="13" t="s">
        <v>35</v>
      </c>
      <c r="M10" s="14" t="str">
        <f aca="false">COUNTIF(D10:L10,"U")</f>
        <v>0</v>
      </c>
      <c r="N10" s="15" t="str">
        <f aca="false">COUNTIF(D10:M10,"UA")</f>
        <v>0</v>
      </c>
      <c r="O10" s="14" t="str">
        <f aca="false">M10+N10</f>
        <v>0</v>
      </c>
      <c r="P10" s="16" t="str">
        <f aca="false">IF(AND(M10=0,N10=0),"PASS","FAIL")</f>
        <v>PASS</v>
      </c>
      <c r="Q10" s="0" t="str">
        <f aca="false">IF(OR(D10="U",E10="U",F10="U",G10="U",H10="U",I10="U",J10="U",K10="U",L10="U"),"FAIL",IF(OR(D10="UA",E10="UA",F10="UA",G10="UA",H10="UA",I10="UA",J10="UA",K10="UA",L10="UA"),"FAIL","PASS"))</f>
        <v>PASS</v>
      </c>
    </row>
    <row r="11" customFormat="false" ht="15" hidden="false" customHeight="false" outlineLevel="0" collapsed="false">
      <c r="A11" s="10" t="n">
        <v>4</v>
      </c>
      <c r="B11" s="11" t="n">
        <v>511523205004</v>
      </c>
      <c r="C11" s="12" t="s">
        <v>36</v>
      </c>
      <c r="D11" s="13" t="s">
        <v>32</v>
      </c>
      <c r="E11" s="13" t="s">
        <v>35</v>
      </c>
      <c r="F11" s="13" t="s">
        <v>35</v>
      </c>
      <c r="G11" s="13" t="s">
        <v>28</v>
      </c>
      <c r="H11" s="13" t="s">
        <v>32</v>
      </c>
      <c r="I11" s="13" t="s">
        <v>32</v>
      </c>
      <c r="J11" s="13" t="s">
        <v>28</v>
      </c>
      <c r="K11" s="13" t="s">
        <v>32</v>
      </c>
      <c r="L11" s="13" t="s">
        <v>33</v>
      </c>
      <c r="M11" s="14" t="str">
        <f aca="false">COUNTIF(D11:L11,"U")</f>
        <v>0</v>
      </c>
      <c r="N11" s="15" t="str">
        <f aca="false">COUNTIF(D11:M11,"UA")</f>
        <v>0</v>
      </c>
      <c r="O11" s="14" t="str">
        <f aca="false">M11+N11</f>
        <v>0</v>
      </c>
      <c r="P11" s="16" t="str">
        <f aca="false">IF(AND(M11=0,N11=0),"PASS","FAIL")</f>
        <v>PASS</v>
      </c>
      <c r="Q11" s="0" t="str">
        <f aca="false">IF(OR(D11="U",E11="U",F11="U",G11="U",H11="U",I11="U",J11="U",K11="U",L11="U"),"FAIL",IF(OR(D11="UA",E11="UA",F11="UA",G11="UA",H11="UA",I11="UA",J11="UA",K11="UA",L11="UA"),"FAIL","PASS"))</f>
        <v>PASS</v>
      </c>
    </row>
    <row r="12" customFormat="false" ht="15" hidden="false" customHeight="false" outlineLevel="0" collapsed="false">
      <c r="A12" s="10" t="n">
        <v>5</v>
      </c>
      <c r="B12" s="11" t="n">
        <v>511523205005</v>
      </c>
      <c r="C12" s="12" t="s">
        <v>37</v>
      </c>
      <c r="D12" s="13" t="s">
        <v>32</v>
      </c>
      <c r="E12" s="13" t="s">
        <v>33</v>
      </c>
      <c r="F12" s="13" t="s">
        <v>33</v>
      </c>
      <c r="G12" s="13" t="s">
        <v>30</v>
      </c>
      <c r="H12" s="13" t="s">
        <v>28</v>
      </c>
      <c r="I12" s="13" t="s">
        <v>32</v>
      </c>
      <c r="J12" s="13" t="s">
        <v>29</v>
      </c>
      <c r="K12" s="13" t="s">
        <v>32</v>
      </c>
      <c r="L12" s="13" t="s">
        <v>29</v>
      </c>
      <c r="M12" s="14" t="str">
        <f aca="false">COUNTIF(D12:L12,"U")</f>
        <v>2</v>
      </c>
      <c r="N12" s="15" t="str">
        <f aca="false">COUNTIF(D12:M12,"UA")</f>
        <v>0</v>
      </c>
      <c r="O12" s="14" t="str">
        <f aca="false">M12+N12</f>
        <v>2</v>
      </c>
      <c r="P12" s="16" t="str">
        <f aca="false">IF(AND(M12=0,N12=0),"PASS","FAIL")</f>
        <v>FAIL</v>
      </c>
      <c r="Q12" s="0" t="str">
        <f aca="false">IF(OR(D12="U",E12="U",F12="U",G12="U",H12="U",I12="U",J12="U",K12="U",L12="U"),"FAIL",IF(OR(D12="UA",E12="UA",F12="UA",G12="UA",H12="UA",I12="UA",J12="UA",K12="UA",L12="UA"),"FAIL","PASS"))</f>
        <v>FAIL</v>
      </c>
    </row>
    <row r="13" customFormat="false" ht="15" hidden="false" customHeight="false" outlineLevel="0" collapsed="false">
      <c r="A13" s="10" t="n">
        <v>6</v>
      </c>
      <c r="B13" s="11" t="n">
        <v>511523205006</v>
      </c>
      <c r="C13" s="12" t="s">
        <v>38</v>
      </c>
      <c r="D13" s="13" t="s">
        <v>32</v>
      </c>
      <c r="E13" s="13" t="s">
        <v>33</v>
      </c>
      <c r="F13" s="13" t="s">
        <v>35</v>
      </c>
      <c r="G13" s="13" t="s">
        <v>33</v>
      </c>
      <c r="H13" s="13" t="s">
        <v>32</v>
      </c>
      <c r="I13" s="13" t="s">
        <v>32</v>
      </c>
      <c r="J13" s="13" t="s">
        <v>35</v>
      </c>
      <c r="K13" s="13" t="s">
        <v>32</v>
      </c>
      <c r="L13" s="13" t="s">
        <v>33</v>
      </c>
      <c r="M13" s="14" t="str">
        <f aca="false">COUNTIF(D13:L13,"U")</f>
        <v>0</v>
      </c>
      <c r="N13" s="15" t="str">
        <f aca="false">COUNTIF(D13:M13,"UA")</f>
        <v>0</v>
      </c>
      <c r="O13" s="14" t="str">
        <f aca="false">M13+N13</f>
        <v>0</v>
      </c>
      <c r="P13" s="16" t="str">
        <f aca="false">IF(AND(M13=0,N13=0),"PASS","FAIL")</f>
        <v>PASS</v>
      </c>
      <c r="Q13" s="0" t="str">
        <f aca="false">IF(OR(D13="U",E13="U",F13="U",G13="U",H13="U",I13="U",J13="U",K13="U",L13="U"),"FAIL",IF(OR(D13="UA",E13="UA",F13="UA",G13="UA",H13="UA",I13="UA",J13="UA",K13="UA",L13="UA"),"FAIL","PASS"))</f>
        <v>PASS</v>
      </c>
    </row>
    <row r="14" customFormat="false" ht="15" hidden="false" customHeight="false" outlineLevel="0" collapsed="false">
      <c r="A14" s="10" t="n">
        <v>7</v>
      </c>
      <c r="B14" s="11" t="n">
        <v>511523205007</v>
      </c>
      <c r="C14" s="12" t="s">
        <v>39</v>
      </c>
      <c r="D14" s="13" t="s">
        <v>28</v>
      </c>
      <c r="E14" s="13" t="s">
        <v>33</v>
      </c>
      <c r="F14" s="13" t="s">
        <v>33</v>
      </c>
      <c r="G14" s="13" t="s">
        <v>33</v>
      </c>
      <c r="H14" s="13" t="s">
        <v>32</v>
      </c>
      <c r="I14" s="13" t="s">
        <v>32</v>
      </c>
      <c r="J14" s="13" t="s">
        <v>33</v>
      </c>
      <c r="K14" s="13" t="s">
        <v>28</v>
      </c>
      <c r="L14" s="13" t="s">
        <v>30</v>
      </c>
      <c r="M14" s="14" t="str">
        <f aca="false">COUNTIF(D14:L14,"U")</f>
        <v>0</v>
      </c>
      <c r="N14" s="15" t="str">
        <f aca="false">COUNTIF(D14:M14,"UA")</f>
        <v>0</v>
      </c>
      <c r="O14" s="14" t="str">
        <f aca="false">M14+N14</f>
        <v>0</v>
      </c>
      <c r="P14" s="16" t="str">
        <f aca="false">IF(AND(M14=0,N14=0),"PASS","FAIL")</f>
        <v>PASS</v>
      </c>
      <c r="Q14" s="0" t="str">
        <f aca="false">IF(OR(D14="U",E14="U",F14="U",G14="U",H14="U",I14="U",J14="U",K14="U",L14="U"),"FAIL",IF(OR(D14="UA",E14="UA",F14="UA",G14="UA",H14="UA",I14="UA",J14="UA",K14="UA",L14="UA"),"FAIL","PASS"))</f>
        <v>PASS</v>
      </c>
    </row>
    <row r="15" customFormat="false" ht="15" hidden="false" customHeight="false" outlineLevel="0" collapsed="false">
      <c r="A15" s="10" t="n">
        <v>8</v>
      </c>
      <c r="B15" s="11" t="n">
        <v>511523205008</v>
      </c>
      <c r="C15" s="12" t="s">
        <v>40</v>
      </c>
      <c r="D15" s="13" t="s">
        <v>28</v>
      </c>
      <c r="E15" s="13" t="s">
        <v>29</v>
      </c>
      <c r="F15" s="13" t="s">
        <v>33</v>
      </c>
      <c r="G15" s="13" t="s">
        <v>29</v>
      </c>
      <c r="H15" s="13" t="s">
        <v>28</v>
      </c>
      <c r="I15" s="13" t="s">
        <v>32</v>
      </c>
      <c r="J15" s="13" t="s">
        <v>29</v>
      </c>
      <c r="K15" s="13" t="s">
        <v>28</v>
      </c>
      <c r="L15" s="13" t="s">
        <v>29</v>
      </c>
      <c r="M15" s="14" t="str">
        <f aca="false">COUNTIF(D15:L15,"U")</f>
        <v>4</v>
      </c>
      <c r="N15" s="15" t="str">
        <f aca="false">COUNTIF(D15:M15,"UA")</f>
        <v>0</v>
      </c>
      <c r="O15" s="14" t="str">
        <f aca="false">M15+N15</f>
        <v>4</v>
      </c>
      <c r="P15" s="16" t="str">
        <f aca="false">IF(AND(M15=0,N15=0),"PASS","FAIL")</f>
        <v>FAIL</v>
      </c>
      <c r="Q15" s="0" t="str">
        <f aca="false">IF(OR(D15="U",E15="U",F15="U",G15="U",H15="U",I15="U",J15="U",K15="U",L15="U"),"FAIL",IF(OR(D15="UA",E15="UA",F15="UA",G15="UA",H15="UA",I15="UA",J15="UA",K15="UA",L15="UA"),"FAIL","PASS"))</f>
        <v>FAIL</v>
      </c>
    </row>
    <row r="16" customFormat="false" ht="15" hidden="false" customHeight="false" outlineLevel="0" collapsed="false">
      <c r="A16" s="10" t="n">
        <v>9</v>
      </c>
      <c r="B16" s="11" t="n">
        <v>511523205009</v>
      </c>
      <c r="C16" s="12" t="s">
        <v>41</v>
      </c>
      <c r="D16" s="13" t="s">
        <v>28</v>
      </c>
      <c r="E16" s="13" t="s">
        <v>33</v>
      </c>
      <c r="F16" s="13" t="s">
        <v>33</v>
      </c>
      <c r="G16" s="13" t="s">
        <v>33</v>
      </c>
      <c r="H16" s="13" t="s">
        <v>32</v>
      </c>
      <c r="I16" s="13" t="s">
        <v>32</v>
      </c>
      <c r="J16" s="13" t="s">
        <v>33</v>
      </c>
      <c r="K16" s="13" t="s">
        <v>28</v>
      </c>
      <c r="L16" s="13" t="s">
        <v>33</v>
      </c>
      <c r="M16" s="14" t="str">
        <f aca="false">COUNTIF(D16:L16,"U")</f>
        <v>0</v>
      </c>
      <c r="N16" s="15" t="str">
        <f aca="false">COUNTIF(D16:M16,"UA")</f>
        <v>0</v>
      </c>
      <c r="O16" s="14" t="str">
        <f aca="false">M16+N16</f>
        <v>0</v>
      </c>
      <c r="P16" s="16" t="str">
        <f aca="false">IF(AND(M16=0,N16=0),"PASS","FAIL")</f>
        <v>PASS</v>
      </c>
      <c r="Q16" s="0" t="str">
        <f aca="false">IF(OR(D16="U",E16="U",F16="U",G16="U",H16="U",I16="U",J16="U",K16="U",L16="U"),"FAIL",IF(OR(D16="UA",E16="UA",F16="UA",G16="UA",H16="UA",I16="UA",J16="UA",K16="UA",L16="UA"),"FAIL","PASS"))</f>
        <v>PASS</v>
      </c>
    </row>
    <row r="17" customFormat="false" ht="15" hidden="false" customHeight="false" outlineLevel="0" collapsed="false">
      <c r="A17" s="10" t="n">
        <v>10</v>
      </c>
      <c r="B17" s="11" t="n">
        <v>511523205010</v>
      </c>
      <c r="C17" s="12" t="s">
        <v>42</v>
      </c>
      <c r="D17" s="13" t="s">
        <v>32</v>
      </c>
      <c r="E17" s="13" t="s">
        <v>33</v>
      </c>
      <c r="F17" s="13" t="s">
        <v>35</v>
      </c>
      <c r="G17" s="13" t="s">
        <v>35</v>
      </c>
      <c r="H17" s="13" t="s">
        <v>32</v>
      </c>
      <c r="I17" s="13" t="s">
        <v>32</v>
      </c>
      <c r="J17" s="13" t="s">
        <v>35</v>
      </c>
      <c r="K17" s="13" t="s">
        <v>32</v>
      </c>
      <c r="L17" s="13" t="s">
        <v>33</v>
      </c>
      <c r="M17" s="14" t="str">
        <f aca="false">COUNTIF(D17:L17,"U")</f>
        <v>0</v>
      </c>
      <c r="N17" s="15" t="str">
        <f aca="false">COUNTIF(D17:M17,"UA")</f>
        <v>0</v>
      </c>
      <c r="O17" s="14" t="str">
        <f aca="false">M17+N17</f>
        <v>0</v>
      </c>
      <c r="P17" s="16" t="str">
        <f aca="false">IF(AND(M17=0,N17=0),"PASS","FAIL")</f>
        <v>PASS</v>
      </c>
      <c r="Q17" s="0" t="str">
        <f aca="false">IF(OR(D17="U",E17="U",F17="U",G17="U",H17="U",I17="U",J17="U",K17="U",L17="U"),"FAIL",IF(OR(D17="UA",E17="UA",F17="UA",G17="UA",H17="UA",I17="UA",J17="UA",K17="UA",L17="UA"),"FAIL","PASS"))</f>
        <v>PASS</v>
      </c>
    </row>
    <row r="18" customFormat="false" ht="15" hidden="false" customHeight="false" outlineLevel="0" collapsed="false">
      <c r="A18" s="10" t="n">
        <v>11</v>
      </c>
      <c r="B18" s="11" t="n">
        <v>511523205011</v>
      </c>
      <c r="C18" s="12" t="s">
        <v>43</v>
      </c>
      <c r="D18" s="13" t="s">
        <v>32</v>
      </c>
      <c r="E18" s="13" t="s">
        <v>33</v>
      </c>
      <c r="F18" s="13" t="s">
        <v>35</v>
      </c>
      <c r="G18" s="13" t="s">
        <v>33</v>
      </c>
      <c r="H18" s="13" t="s">
        <v>32</v>
      </c>
      <c r="I18" s="13" t="s">
        <v>32</v>
      </c>
      <c r="J18" s="13" t="s">
        <v>35</v>
      </c>
      <c r="K18" s="13" t="s">
        <v>32</v>
      </c>
      <c r="L18" s="13" t="s">
        <v>33</v>
      </c>
      <c r="M18" s="14" t="str">
        <f aca="false">COUNTIF(D18:L18,"U")</f>
        <v>0</v>
      </c>
      <c r="N18" s="15" t="str">
        <f aca="false">COUNTIF(D18:M18,"UA")</f>
        <v>0</v>
      </c>
      <c r="O18" s="14" t="str">
        <f aca="false">M18+N18</f>
        <v>0</v>
      </c>
      <c r="P18" s="16" t="str">
        <f aca="false">IF(AND(M18=0,N18=0),"PASS","FAIL")</f>
        <v>PASS</v>
      </c>
      <c r="Q18" s="0" t="str">
        <f aca="false">IF(OR(D18="U",E18="U",F18="U",G18="U",H18="U",I18="U",J18="U",K18="U",L18="U"),"FAIL",IF(OR(D18="UA",E18="UA",F18="UA",G18="UA",H18="UA",I18="UA",J18="UA",K18="UA",L18="UA"),"FAIL","PASS"))</f>
        <v>PASS</v>
      </c>
    </row>
    <row r="19" customFormat="false" ht="15" hidden="false" customHeight="false" outlineLevel="0" collapsed="false">
      <c r="A19" s="10" t="n">
        <v>12</v>
      </c>
      <c r="B19" s="11" t="n">
        <v>511523205012</v>
      </c>
      <c r="C19" s="12" t="s">
        <v>44</v>
      </c>
      <c r="D19" s="13" t="s">
        <v>32</v>
      </c>
      <c r="E19" s="13" t="s">
        <v>35</v>
      </c>
      <c r="F19" s="13" t="s">
        <v>35</v>
      </c>
      <c r="G19" s="13" t="s">
        <v>33</v>
      </c>
      <c r="H19" s="13" t="s">
        <v>32</v>
      </c>
      <c r="I19" s="13" t="s">
        <v>32</v>
      </c>
      <c r="J19" s="13" t="s">
        <v>28</v>
      </c>
      <c r="K19" s="13" t="s">
        <v>32</v>
      </c>
      <c r="L19" s="13" t="s">
        <v>35</v>
      </c>
      <c r="M19" s="14" t="str">
        <f aca="false">COUNTIF(D19:L19,"U")</f>
        <v>0</v>
      </c>
      <c r="N19" s="15" t="str">
        <f aca="false">COUNTIF(D19:M19,"UA")</f>
        <v>0</v>
      </c>
      <c r="O19" s="14" t="str">
        <f aca="false">M19+N19</f>
        <v>0</v>
      </c>
      <c r="P19" s="16" t="str">
        <f aca="false">IF(AND(M19=0,N19=0),"PASS","FAIL")</f>
        <v>PASS</v>
      </c>
      <c r="Q19" s="0" t="str">
        <f aca="false">IF(OR(D19="U",E19="U",F19="U",G19="U",H19="U",I19="U",J19="U",K19="U",L19="U"),"FAIL",IF(OR(D19="UA",E19="UA",F19="UA",G19="UA",H19="UA",I19="UA",J19="UA",K19="UA",L19="UA"),"FAIL","PASS"))</f>
        <v>PASS</v>
      </c>
    </row>
    <row r="20" customFormat="false" ht="15" hidden="false" customHeight="false" outlineLevel="0" collapsed="false">
      <c r="A20" s="10" t="n">
        <v>13</v>
      </c>
      <c r="B20" s="11" t="n">
        <v>511523205013</v>
      </c>
      <c r="C20" s="12" t="s">
        <v>45</v>
      </c>
      <c r="D20" s="13" t="s">
        <v>32</v>
      </c>
      <c r="E20" s="13" t="s">
        <v>33</v>
      </c>
      <c r="F20" s="13" t="s">
        <v>35</v>
      </c>
      <c r="G20" s="13" t="s">
        <v>33</v>
      </c>
      <c r="H20" s="13" t="s">
        <v>32</v>
      </c>
      <c r="I20" s="13" t="s">
        <v>32</v>
      </c>
      <c r="J20" s="13" t="s">
        <v>35</v>
      </c>
      <c r="K20" s="13" t="s">
        <v>32</v>
      </c>
      <c r="L20" s="13" t="s">
        <v>33</v>
      </c>
      <c r="M20" s="14" t="str">
        <f aca="false">COUNTIF(D20:L20,"U")</f>
        <v>0</v>
      </c>
      <c r="N20" s="15" t="str">
        <f aca="false">COUNTIF(D20:M20,"UA")</f>
        <v>0</v>
      </c>
      <c r="O20" s="14" t="str">
        <f aca="false">M20+N20</f>
        <v>0</v>
      </c>
      <c r="P20" s="16" t="str">
        <f aca="false">IF(AND(M20=0,N20=0),"PASS","FAIL")</f>
        <v>PASS</v>
      </c>
      <c r="Q20" s="0" t="str">
        <f aca="false">IF(OR(D20="U",E20="U",F20="U",G20="U",H20="U",I20="U",J20="U",K20="U",L20="U"),"FAIL",IF(OR(D20="UA",E20="UA",F20="UA",G20="UA",H20="UA",I20="UA",J20="UA",K20="UA",L20="UA"),"FAIL","PASS"))</f>
        <v>PASS</v>
      </c>
    </row>
    <row r="21" customFormat="false" ht="15.75" hidden="false" customHeight="true" outlineLevel="0" collapsed="false">
      <c r="A21" s="10" t="n">
        <v>14</v>
      </c>
      <c r="B21" s="11" t="n">
        <v>511523205014</v>
      </c>
      <c r="C21" s="12" t="s">
        <v>46</v>
      </c>
      <c r="D21" s="13" t="s">
        <v>32</v>
      </c>
      <c r="E21" s="13" t="s">
        <v>35</v>
      </c>
      <c r="F21" s="13" t="s">
        <v>35</v>
      </c>
      <c r="G21" s="13" t="s">
        <v>33</v>
      </c>
      <c r="H21" s="13" t="s">
        <v>32</v>
      </c>
      <c r="I21" s="13" t="s">
        <v>32</v>
      </c>
      <c r="J21" s="13" t="s">
        <v>35</v>
      </c>
      <c r="K21" s="13" t="s">
        <v>32</v>
      </c>
      <c r="L21" s="13" t="s">
        <v>35</v>
      </c>
      <c r="M21" s="14" t="str">
        <f aca="false">COUNTIF(D21:L21,"U")</f>
        <v>0</v>
      </c>
      <c r="N21" s="15" t="str">
        <f aca="false">COUNTIF(D21:M21,"UA")</f>
        <v>0</v>
      </c>
      <c r="O21" s="14" t="str">
        <f aca="false">M21+N21</f>
        <v>0</v>
      </c>
      <c r="P21" s="16" t="str">
        <f aca="false">IF(AND(M21=0,N21=0),"PASS","FAIL")</f>
        <v>PASS</v>
      </c>
      <c r="Q21" s="0" t="str">
        <f aca="false">IF(OR(D21="U",E21="U",F21="U",G21="U",H21="U",I21="U",J21="U",K21="U",L21="U"),"FAIL",IF(OR(D21="UA",E21="UA",F21="UA",G21="UA",H21="UA",I21="UA",J21="UA",K21="UA",L21="UA"),"FAIL","PASS"))</f>
        <v>PASS</v>
      </c>
    </row>
    <row r="22" customFormat="false" ht="15.75" hidden="false" customHeight="true" outlineLevel="0" collapsed="false">
      <c r="A22" s="10" t="n">
        <v>15</v>
      </c>
      <c r="B22" s="11" t="n">
        <v>511523205015</v>
      </c>
      <c r="C22" s="12" t="s">
        <v>47</v>
      </c>
      <c r="D22" s="13" t="s">
        <v>32</v>
      </c>
      <c r="E22" s="13" t="s">
        <v>35</v>
      </c>
      <c r="F22" s="13" t="s">
        <v>35</v>
      </c>
      <c r="G22" s="13" t="s">
        <v>28</v>
      </c>
      <c r="H22" s="13" t="s">
        <v>32</v>
      </c>
      <c r="I22" s="13" t="s">
        <v>32</v>
      </c>
      <c r="J22" s="13" t="s">
        <v>28</v>
      </c>
      <c r="K22" s="13" t="s">
        <v>32</v>
      </c>
      <c r="L22" s="13" t="s">
        <v>33</v>
      </c>
      <c r="M22" s="14" t="str">
        <f aca="false">COUNTIF(D22:L22,"U")</f>
        <v>0</v>
      </c>
      <c r="N22" s="15" t="str">
        <f aca="false">COUNTIF(D22:M22,"UA")</f>
        <v>0</v>
      </c>
      <c r="O22" s="14" t="str">
        <f aca="false">M22+N22</f>
        <v>0</v>
      </c>
      <c r="P22" s="16" t="str">
        <f aca="false">IF(AND(M22=0,N22=0),"PASS","FAIL")</f>
        <v>PASS</v>
      </c>
      <c r="Q22" s="0" t="str">
        <f aca="false">IF(OR(D22="U",E22="U",F22="U",G22="U",H22="U",I22="U",J22="U",K22="U",L22="U"),"FAIL",IF(OR(D22="UA",E22="UA",F22="UA",G22="UA",H22="UA",I22="UA",J22="UA",K22="UA",L22="UA"),"FAIL","PASS"))</f>
        <v>PASS</v>
      </c>
    </row>
    <row r="23" customFormat="false" ht="15.75" hidden="false" customHeight="true" outlineLevel="0" collapsed="false">
      <c r="A23" s="10" t="n">
        <v>16</v>
      </c>
      <c r="B23" s="11" t="n">
        <v>511523205016</v>
      </c>
      <c r="C23" s="12" t="s">
        <v>48</v>
      </c>
      <c r="D23" s="13" t="s">
        <v>32</v>
      </c>
      <c r="E23" s="13" t="s">
        <v>33</v>
      </c>
      <c r="F23" s="13" t="s">
        <v>33</v>
      </c>
      <c r="G23" s="13" t="s">
        <v>29</v>
      </c>
      <c r="H23" s="13" t="s">
        <v>32</v>
      </c>
      <c r="I23" s="13" t="s">
        <v>32</v>
      </c>
      <c r="J23" s="13" t="s">
        <v>33</v>
      </c>
      <c r="K23" s="13" t="s">
        <v>32</v>
      </c>
      <c r="L23" s="13" t="s">
        <v>33</v>
      </c>
      <c r="M23" s="14" t="str">
        <f aca="false">COUNTIF(D23:L23,"U")</f>
        <v>1</v>
      </c>
      <c r="N23" s="15" t="str">
        <f aca="false">COUNTIF(D23:M23,"UA")</f>
        <v>0</v>
      </c>
      <c r="O23" s="14" t="str">
        <f aca="false">M23+N23</f>
        <v>1</v>
      </c>
      <c r="P23" s="16" t="str">
        <f aca="false">IF(AND(M23=0,N23=0),"PASS","FAIL")</f>
        <v>FAIL</v>
      </c>
      <c r="Q23" s="0" t="str">
        <f aca="false">IF(OR(D23="U",E23="U",F23="U",G23="U",H23="U",I23="U",J23="U",K23="U",L23="U"),"FAIL",IF(OR(D23="UA",E23="UA",F23="UA",G23="UA",H23="UA",I23="UA",J23="UA",K23="UA",L23="UA"),"FAIL","PASS"))</f>
        <v>FAIL</v>
      </c>
    </row>
    <row r="24" customFormat="false" ht="15.75" hidden="false" customHeight="true" outlineLevel="0" collapsed="false">
      <c r="A24" s="10" t="n">
        <v>17</v>
      </c>
      <c r="B24" s="11" t="n">
        <v>511523205017</v>
      </c>
      <c r="C24" s="12" t="s">
        <v>49</v>
      </c>
      <c r="D24" s="13" t="s">
        <v>32</v>
      </c>
      <c r="E24" s="13" t="s">
        <v>33</v>
      </c>
      <c r="F24" s="13" t="s">
        <v>35</v>
      </c>
      <c r="G24" s="13" t="s">
        <v>33</v>
      </c>
      <c r="H24" s="13" t="s">
        <v>32</v>
      </c>
      <c r="I24" s="13" t="s">
        <v>32</v>
      </c>
      <c r="J24" s="13" t="s">
        <v>35</v>
      </c>
      <c r="K24" s="13" t="s">
        <v>32</v>
      </c>
      <c r="L24" s="13" t="s">
        <v>35</v>
      </c>
      <c r="M24" s="14" t="str">
        <f aca="false">COUNTIF(D24:L24,"U")</f>
        <v>0</v>
      </c>
      <c r="N24" s="15" t="str">
        <f aca="false">COUNTIF(D24:M24,"UA")</f>
        <v>0</v>
      </c>
      <c r="O24" s="14" t="str">
        <f aca="false">M24+N24</f>
        <v>0</v>
      </c>
      <c r="P24" s="16" t="str">
        <f aca="false">IF(AND(M24=0,N24=0),"PASS","FAIL")</f>
        <v>PASS</v>
      </c>
      <c r="Q24" s="0" t="str">
        <f aca="false">IF(OR(D24="U",E24="U",F24="U",G24="U",H24="U",I24="U",J24="U",K24="U",L24="U"),"FAIL",IF(OR(D24="UA",E24="UA",F24="UA",G24="UA",H24="UA",I24="UA",J24="UA",K24="UA",L24="UA"),"FAIL","PASS"))</f>
        <v>PASS</v>
      </c>
    </row>
    <row r="25" customFormat="false" ht="15.75" hidden="false" customHeight="true" outlineLevel="0" collapsed="false">
      <c r="A25" s="10" t="n">
        <v>18</v>
      </c>
      <c r="B25" s="11" t="n">
        <v>511523205018</v>
      </c>
      <c r="C25" s="12" t="s">
        <v>50</v>
      </c>
      <c r="D25" s="13" t="s">
        <v>32</v>
      </c>
      <c r="E25" s="13" t="s">
        <v>33</v>
      </c>
      <c r="F25" s="13" t="s">
        <v>35</v>
      </c>
      <c r="G25" s="13" t="s">
        <v>33</v>
      </c>
      <c r="H25" s="13" t="s">
        <v>32</v>
      </c>
      <c r="I25" s="13" t="s">
        <v>32</v>
      </c>
      <c r="J25" s="13" t="s">
        <v>33</v>
      </c>
      <c r="K25" s="13" t="s">
        <v>32</v>
      </c>
      <c r="L25" s="13" t="s">
        <v>33</v>
      </c>
      <c r="M25" s="14" t="str">
        <f aca="false">COUNTIF(D25:L25,"U")</f>
        <v>0</v>
      </c>
      <c r="N25" s="15" t="str">
        <f aca="false">COUNTIF(D25:M25,"UA")</f>
        <v>0</v>
      </c>
      <c r="O25" s="14" t="str">
        <f aca="false">M25+N25</f>
        <v>0</v>
      </c>
      <c r="P25" s="16" t="str">
        <f aca="false">IF(AND(M25=0,N25=0),"PASS","FAIL")</f>
        <v>PASS</v>
      </c>
      <c r="Q25" s="0" t="str">
        <f aca="false">IF(OR(D25="U",E25="U",F25="U",G25="U",H25="U",I25="U",J25="U",K25="U",L25="U"),"FAIL",IF(OR(D25="UA",E25="UA",F25="UA",G25="UA",H25="UA",I25="UA",J25="UA",K25="UA",L25="UA"),"FAIL","PASS"))</f>
        <v>PASS</v>
      </c>
    </row>
    <row r="26" customFormat="false" ht="15.75" hidden="false" customHeight="true" outlineLevel="0" collapsed="false">
      <c r="A26" s="10" t="n">
        <v>19</v>
      </c>
      <c r="B26" s="11" t="n">
        <v>511523205019</v>
      </c>
      <c r="C26" s="12" t="s">
        <v>51</v>
      </c>
      <c r="D26" s="13" t="s">
        <v>32</v>
      </c>
      <c r="E26" s="13" t="s">
        <v>33</v>
      </c>
      <c r="F26" s="13" t="s">
        <v>35</v>
      </c>
      <c r="G26" s="13" t="s">
        <v>33</v>
      </c>
      <c r="H26" s="13" t="s">
        <v>32</v>
      </c>
      <c r="I26" s="13" t="s">
        <v>32</v>
      </c>
      <c r="J26" s="13" t="s">
        <v>33</v>
      </c>
      <c r="K26" s="13" t="s">
        <v>32</v>
      </c>
      <c r="L26" s="13" t="s">
        <v>33</v>
      </c>
      <c r="M26" s="14" t="str">
        <f aca="false">COUNTIF(D26:L26,"U")</f>
        <v>0</v>
      </c>
      <c r="N26" s="15" t="str">
        <f aca="false">COUNTIF(D26:M26,"UA")</f>
        <v>0</v>
      </c>
      <c r="O26" s="14" t="str">
        <f aca="false">M26+N26</f>
        <v>0</v>
      </c>
      <c r="P26" s="16" t="str">
        <f aca="false">IF(AND(M26=0,N26=0),"PASS","FAIL")</f>
        <v>PASS</v>
      </c>
      <c r="Q26" s="0" t="str">
        <f aca="false">IF(OR(D26="U",E26="U",F26="U",G26="U",H26="U",I26="U",J26="U",K26="U",L26="U"),"FAIL",IF(OR(D26="UA",E26="UA",F26="UA",G26="UA",H26="UA",I26="UA",J26="UA",K26="UA",L26="UA"),"FAIL","PASS"))</f>
        <v>PASS</v>
      </c>
    </row>
    <row r="27" customFormat="false" ht="15.75" hidden="false" customHeight="true" outlineLevel="0" collapsed="false">
      <c r="A27" s="10" t="n">
        <v>20</v>
      </c>
      <c r="B27" s="11" t="n">
        <v>511523205020</v>
      </c>
      <c r="C27" s="12" t="s">
        <v>52</v>
      </c>
      <c r="D27" s="13" t="s">
        <v>28</v>
      </c>
      <c r="E27" s="13" t="s">
        <v>30</v>
      </c>
      <c r="F27" s="13" t="s">
        <v>35</v>
      </c>
      <c r="G27" s="13" t="s">
        <v>33</v>
      </c>
      <c r="H27" s="13" t="s">
        <v>28</v>
      </c>
      <c r="I27" s="13" t="s">
        <v>32</v>
      </c>
      <c r="J27" s="13" t="s">
        <v>33</v>
      </c>
      <c r="K27" s="13" t="s">
        <v>28</v>
      </c>
      <c r="L27" s="13" t="s">
        <v>29</v>
      </c>
      <c r="M27" s="14" t="str">
        <f aca="false">COUNTIF(D27:L27,"U")</f>
        <v>1</v>
      </c>
      <c r="N27" s="15" t="str">
        <f aca="false">COUNTIF(D27:M27,"UA")</f>
        <v>0</v>
      </c>
      <c r="O27" s="14" t="str">
        <f aca="false">M27+N27</f>
        <v>1</v>
      </c>
      <c r="P27" s="16" t="str">
        <f aca="false">IF(AND(M27=0,N27=0),"PASS","FAIL")</f>
        <v>FAIL</v>
      </c>
      <c r="Q27" s="0" t="str">
        <f aca="false">IF(OR(D27="U",E27="U",F27="U",G27="U",H27="U",I27="U",J27="U",K27="U",L27="U"),"FAIL",IF(OR(D27="UA",E27="UA",F27="UA",G27="UA",H27="UA",I27="UA",J27="UA",K27="UA",L27="UA"),"FAIL","PASS"))</f>
        <v>FAIL</v>
      </c>
    </row>
    <row r="28" customFormat="false" ht="15.75" hidden="false" customHeight="true" outlineLevel="0" collapsed="false">
      <c r="A28" s="10" t="n">
        <v>21</v>
      </c>
      <c r="B28" s="11" t="n">
        <v>511523205021</v>
      </c>
      <c r="C28" s="12" t="s">
        <v>53</v>
      </c>
      <c r="D28" s="13" t="s">
        <v>32</v>
      </c>
      <c r="E28" s="13" t="s">
        <v>35</v>
      </c>
      <c r="F28" s="13" t="s">
        <v>35</v>
      </c>
      <c r="G28" s="13" t="s">
        <v>35</v>
      </c>
      <c r="H28" s="13" t="s">
        <v>32</v>
      </c>
      <c r="I28" s="13" t="s">
        <v>32</v>
      </c>
      <c r="J28" s="13" t="s">
        <v>35</v>
      </c>
      <c r="K28" s="13" t="s">
        <v>32</v>
      </c>
      <c r="L28" s="13" t="s">
        <v>33</v>
      </c>
      <c r="M28" s="14" t="str">
        <f aca="false">COUNTIF(D28:L28,"U")</f>
        <v>0</v>
      </c>
      <c r="N28" s="15" t="str">
        <f aca="false">COUNTIF(D28:M28,"UA")</f>
        <v>0</v>
      </c>
      <c r="O28" s="14" t="str">
        <f aca="false">M28+N28</f>
        <v>0</v>
      </c>
      <c r="P28" s="16" t="str">
        <f aca="false">IF(AND(M28=0,N28=0),"PASS","FAIL")</f>
        <v>PASS</v>
      </c>
      <c r="Q28" s="0" t="str">
        <f aca="false">IF(OR(D28="U",E28="U",F28="U",G28="U",H28="U",I28="U",J28="U",K28="U",L28="U"),"FAIL",IF(OR(D28="UA",E28="UA",F28="UA",G28="UA",H28="UA",I28="UA",J28="UA",K28="UA",L28="UA"),"FAIL","PASS"))</f>
        <v>PASS</v>
      </c>
    </row>
    <row r="29" customFormat="false" ht="15.75" hidden="false" customHeight="true" outlineLevel="0" collapsed="false">
      <c r="A29" s="10" t="n">
        <v>22</v>
      </c>
      <c r="B29" s="11" t="n">
        <v>511523205023</v>
      </c>
      <c r="C29" s="12" t="s">
        <v>54</v>
      </c>
      <c r="D29" s="13" t="s">
        <v>32</v>
      </c>
      <c r="E29" s="13" t="s">
        <v>35</v>
      </c>
      <c r="F29" s="13" t="s">
        <v>35</v>
      </c>
      <c r="G29" s="13" t="s">
        <v>33</v>
      </c>
      <c r="H29" s="13" t="s">
        <v>32</v>
      </c>
      <c r="I29" s="13" t="s">
        <v>32</v>
      </c>
      <c r="J29" s="13" t="s">
        <v>28</v>
      </c>
      <c r="K29" s="13" t="s">
        <v>32</v>
      </c>
      <c r="L29" s="13" t="s">
        <v>33</v>
      </c>
      <c r="M29" s="14" t="str">
        <f aca="false">COUNTIF(D29:L29,"U")</f>
        <v>0</v>
      </c>
      <c r="N29" s="15" t="str">
        <f aca="false">COUNTIF(D29:M29,"UA")</f>
        <v>0</v>
      </c>
      <c r="O29" s="14" t="str">
        <f aca="false">M29+N29</f>
        <v>0</v>
      </c>
      <c r="P29" s="16" t="str">
        <f aca="false">IF(AND(M29=0,N29=0),"PASS","FAIL")</f>
        <v>PASS</v>
      </c>
      <c r="Q29" s="0" t="str">
        <f aca="false">IF(OR(D29="U",E29="U",F29="U",G29="U",H29="U",I29="U",J29="U",K29="U",L29="U"),"FAIL",IF(OR(D29="UA",E29="UA",F29="UA",G29="UA",H29="UA",I29="UA",J29="UA",K29="UA",L29="UA"),"FAIL","PASS"))</f>
        <v>PASS</v>
      </c>
    </row>
    <row r="30" customFormat="false" ht="15.75" hidden="false" customHeight="true" outlineLevel="0" collapsed="false">
      <c r="A30" s="10" t="n">
        <v>23</v>
      </c>
      <c r="B30" s="11" t="n">
        <v>511523205025</v>
      </c>
      <c r="C30" s="12" t="s">
        <v>55</v>
      </c>
      <c r="D30" s="13" t="s">
        <v>32</v>
      </c>
      <c r="E30" s="13" t="s">
        <v>29</v>
      </c>
      <c r="F30" s="13" t="s">
        <v>33</v>
      </c>
      <c r="G30" s="13" t="s">
        <v>33</v>
      </c>
      <c r="H30" s="13" t="s">
        <v>32</v>
      </c>
      <c r="I30" s="13" t="s">
        <v>32</v>
      </c>
      <c r="J30" s="13" t="s">
        <v>35</v>
      </c>
      <c r="K30" s="13" t="s">
        <v>32</v>
      </c>
      <c r="L30" s="13" t="s">
        <v>29</v>
      </c>
      <c r="M30" s="14" t="str">
        <f aca="false">COUNTIF(D30:L30,"U")</f>
        <v>2</v>
      </c>
      <c r="N30" s="15" t="str">
        <f aca="false">COUNTIF(D30:M30,"UA")</f>
        <v>0</v>
      </c>
      <c r="O30" s="14" t="str">
        <f aca="false">M30+N30</f>
        <v>2</v>
      </c>
      <c r="P30" s="16" t="str">
        <f aca="false">IF(AND(M30=0,N30=0),"PASS","FAIL")</f>
        <v>FAIL</v>
      </c>
      <c r="Q30" s="0" t="str">
        <f aca="false">IF(OR(D30="U",E30="U",F30="U",G30="U",H30="U",I30="U",J30="U",K30="U",L30="U"),"FAIL",IF(OR(D30="UA",E30="UA",F30="UA",G30="UA",H30="UA",I30="UA",J30="UA",K30="UA",L30="UA"),"FAIL","PASS"))</f>
        <v>FAIL</v>
      </c>
    </row>
    <row r="31" customFormat="false" ht="15.75" hidden="false" customHeight="true" outlineLevel="0" collapsed="false">
      <c r="A31" s="10" t="n">
        <v>24</v>
      </c>
      <c r="B31" s="11" t="n">
        <v>511523205026</v>
      </c>
      <c r="C31" s="12" t="s">
        <v>56</v>
      </c>
      <c r="D31" s="13" t="s">
        <v>32</v>
      </c>
      <c r="E31" s="13" t="s">
        <v>29</v>
      </c>
      <c r="F31" s="13" t="s">
        <v>33</v>
      </c>
      <c r="G31" s="13" t="s">
        <v>30</v>
      </c>
      <c r="H31" s="13" t="s">
        <v>32</v>
      </c>
      <c r="I31" s="13" t="s">
        <v>32</v>
      </c>
      <c r="J31" s="13" t="s">
        <v>33</v>
      </c>
      <c r="K31" s="13" t="s">
        <v>32</v>
      </c>
      <c r="L31" s="13" t="s">
        <v>29</v>
      </c>
      <c r="M31" s="14" t="str">
        <f aca="false">COUNTIF(D31:L31,"U")</f>
        <v>2</v>
      </c>
      <c r="N31" s="15" t="str">
        <f aca="false">COUNTIF(D31:M31,"UA")</f>
        <v>0</v>
      </c>
      <c r="O31" s="14" t="str">
        <f aca="false">M31+N31</f>
        <v>2</v>
      </c>
      <c r="P31" s="16" t="str">
        <f aca="false">IF(AND(M31=0,N31=0),"PASS","FAIL")</f>
        <v>FAIL</v>
      </c>
      <c r="Q31" s="0" t="str">
        <f aca="false">IF(OR(D31="U",E31="U",F31="U",G31="U",H31="U",I31="U",J31="U",K31="U",L31="U"),"FAIL",IF(OR(D31="UA",E31="UA",F31="UA",G31="UA",H31="UA",I31="UA",J31="UA",K31="UA",L31="UA"),"FAIL","PASS"))</f>
        <v>FAIL</v>
      </c>
    </row>
    <row r="32" customFormat="false" ht="15.75" hidden="false" customHeight="true" outlineLevel="0" collapsed="false">
      <c r="A32" s="10" t="n">
        <v>25</v>
      </c>
      <c r="B32" s="11" t="n">
        <v>511523205027</v>
      </c>
      <c r="C32" s="12" t="s">
        <v>57</v>
      </c>
      <c r="D32" s="13" t="s">
        <v>28</v>
      </c>
      <c r="E32" s="13" t="s">
        <v>29</v>
      </c>
      <c r="F32" s="13" t="s">
        <v>35</v>
      </c>
      <c r="G32" s="13" t="s">
        <v>30</v>
      </c>
      <c r="H32" s="13" t="s">
        <v>32</v>
      </c>
      <c r="I32" s="13" t="s">
        <v>32</v>
      </c>
      <c r="J32" s="13" t="s">
        <v>33</v>
      </c>
      <c r="K32" s="13" t="s">
        <v>28</v>
      </c>
      <c r="L32" s="13" t="s">
        <v>33</v>
      </c>
      <c r="M32" s="14" t="str">
        <f aca="false">COUNTIF(D32:L32,"U")</f>
        <v>1</v>
      </c>
      <c r="N32" s="15" t="str">
        <f aca="false">COUNTIF(D32:M32,"UA")</f>
        <v>0</v>
      </c>
      <c r="O32" s="14" t="str">
        <f aca="false">M32+N32</f>
        <v>1</v>
      </c>
      <c r="P32" s="16" t="str">
        <f aca="false">IF(AND(M32=0,N32=0),"PASS","FAIL")</f>
        <v>FAIL</v>
      </c>
      <c r="Q32" s="0" t="str">
        <f aca="false">IF(OR(D32="U",E32="U",F32="U",G32="U",H32="U",I32="U",J32="U",K32="U",L32="U"),"FAIL",IF(OR(D32="UA",E32="UA",F32="UA",G32="UA",H32="UA",I32="UA",J32="UA",K32="UA",L32="UA"),"FAIL","PASS"))</f>
        <v>FAIL</v>
      </c>
    </row>
    <row r="33" customFormat="false" ht="15.75" hidden="false" customHeight="true" outlineLevel="0" collapsed="false">
      <c r="A33" s="10" t="n">
        <v>26</v>
      </c>
      <c r="B33" s="11" t="n">
        <v>511523205028</v>
      </c>
      <c r="C33" s="12" t="s">
        <v>58</v>
      </c>
      <c r="D33" s="13" t="s">
        <v>32</v>
      </c>
      <c r="E33" s="13" t="s">
        <v>29</v>
      </c>
      <c r="F33" s="13" t="s">
        <v>35</v>
      </c>
      <c r="G33" s="13" t="s">
        <v>35</v>
      </c>
      <c r="H33" s="13" t="s">
        <v>32</v>
      </c>
      <c r="I33" s="13" t="s">
        <v>32</v>
      </c>
      <c r="J33" s="13" t="s">
        <v>35</v>
      </c>
      <c r="K33" s="13" t="s">
        <v>32</v>
      </c>
      <c r="L33" s="13" t="s">
        <v>35</v>
      </c>
      <c r="M33" s="14" t="str">
        <f aca="false">COUNTIF(D33:L33,"U")</f>
        <v>1</v>
      </c>
      <c r="N33" s="15" t="str">
        <f aca="false">COUNTIF(D33:M33,"UA")</f>
        <v>0</v>
      </c>
      <c r="O33" s="14" t="str">
        <f aca="false">M33+N33</f>
        <v>1</v>
      </c>
      <c r="P33" s="16" t="str">
        <f aca="false">IF(AND(M33=0,N33=0),"PASS","FAIL")</f>
        <v>FAIL</v>
      </c>
      <c r="Q33" s="0" t="str">
        <f aca="false">IF(OR(D33="U",E33="U",F33="U",G33="U",H33="U",I33="U",J33="U",K33="U",L33="U"),"FAIL",IF(OR(D33="UA",E33="UA",F33="UA",G33="UA",H33="UA",I33="UA",J33="UA",K33="UA",L33="UA"),"FAIL","PASS"))</f>
        <v>FAIL</v>
      </c>
    </row>
    <row r="34" customFormat="false" ht="15.75" hidden="false" customHeight="true" outlineLevel="0" collapsed="false">
      <c r="A34" s="10" t="n">
        <v>27</v>
      </c>
      <c r="B34" s="11" t="n">
        <v>511523205029</v>
      </c>
      <c r="C34" s="12" t="s">
        <v>59</v>
      </c>
      <c r="D34" s="13" t="s">
        <v>32</v>
      </c>
      <c r="E34" s="13" t="s">
        <v>29</v>
      </c>
      <c r="F34" s="13" t="s">
        <v>35</v>
      </c>
      <c r="G34" s="13" t="s">
        <v>33</v>
      </c>
      <c r="H34" s="13" t="s">
        <v>32</v>
      </c>
      <c r="I34" s="13" t="s">
        <v>32</v>
      </c>
      <c r="J34" s="13" t="s">
        <v>35</v>
      </c>
      <c r="K34" s="13" t="s">
        <v>32</v>
      </c>
      <c r="L34" s="13" t="s">
        <v>33</v>
      </c>
      <c r="M34" s="14" t="str">
        <f aca="false">COUNTIF(D34:L34,"U")</f>
        <v>1</v>
      </c>
      <c r="N34" s="15" t="str">
        <f aca="false">COUNTIF(D34:M34,"UA")</f>
        <v>0</v>
      </c>
      <c r="O34" s="14" t="str">
        <f aca="false">M34+N34</f>
        <v>1</v>
      </c>
      <c r="P34" s="16" t="str">
        <f aca="false">IF(AND(M34=0,N34=0),"PASS","FAIL")</f>
        <v>FAIL</v>
      </c>
      <c r="Q34" s="0" t="str">
        <f aca="false">IF(OR(D34="U",E34="U",F34="U",G34="U",H34="U",I34="U",J34="U",K34="U",L34="U"),"FAIL",IF(OR(D34="UA",E34="UA",F34="UA",G34="UA",H34="UA",I34="UA",J34="UA",K34="UA",L34="UA"),"FAIL","PASS"))</f>
        <v>FAIL</v>
      </c>
    </row>
    <row r="35" customFormat="false" ht="15.75" hidden="false" customHeight="true" outlineLevel="0" collapsed="false">
      <c r="A35" s="10" t="n">
        <v>28</v>
      </c>
      <c r="B35" s="11" t="n">
        <v>511523205030</v>
      </c>
      <c r="C35" s="12" t="s">
        <v>60</v>
      </c>
      <c r="D35" s="13" t="s">
        <v>32</v>
      </c>
      <c r="E35" s="13" t="s">
        <v>33</v>
      </c>
      <c r="F35" s="13" t="s">
        <v>33</v>
      </c>
      <c r="G35" s="13" t="s">
        <v>35</v>
      </c>
      <c r="H35" s="13" t="s">
        <v>32</v>
      </c>
      <c r="I35" s="13" t="s">
        <v>32</v>
      </c>
      <c r="J35" s="13" t="s">
        <v>35</v>
      </c>
      <c r="K35" s="13" t="s">
        <v>32</v>
      </c>
      <c r="L35" s="13" t="s">
        <v>33</v>
      </c>
      <c r="M35" s="14" t="str">
        <f aca="false">COUNTIF(D35:L35,"U")</f>
        <v>0</v>
      </c>
      <c r="N35" s="15" t="str">
        <f aca="false">COUNTIF(D35:M35,"UA")</f>
        <v>0</v>
      </c>
      <c r="O35" s="14" t="str">
        <f aca="false">M35+N35</f>
        <v>0</v>
      </c>
      <c r="P35" s="16" t="str">
        <f aca="false">IF(AND(M35=0,N35=0),"PASS","FAIL")</f>
        <v>PASS</v>
      </c>
      <c r="Q35" s="0" t="str">
        <f aca="false">IF(OR(D35="U",E35="U",F35="U",G35="U",H35="U",I35="U",J35="U",K35="U",L35="U"),"FAIL",IF(OR(D35="UA",E35="UA",F35="UA",G35="UA",H35="UA",I35="UA",J35="UA",K35="UA",L35="UA"),"FAIL","PASS"))</f>
        <v>PASS</v>
      </c>
    </row>
    <row r="36" customFormat="false" ht="15.75" hidden="false" customHeight="true" outlineLevel="0" collapsed="false">
      <c r="A36" s="10" t="n">
        <v>29</v>
      </c>
      <c r="B36" s="11" t="n">
        <v>511523205031</v>
      </c>
      <c r="C36" s="12" t="s">
        <v>61</v>
      </c>
      <c r="D36" s="13" t="s">
        <v>28</v>
      </c>
      <c r="E36" s="13" t="s">
        <v>29</v>
      </c>
      <c r="F36" s="13" t="s">
        <v>35</v>
      </c>
      <c r="G36" s="13" t="s">
        <v>29</v>
      </c>
      <c r="H36" s="13" t="s">
        <v>32</v>
      </c>
      <c r="I36" s="13" t="s">
        <v>32</v>
      </c>
      <c r="J36" s="13" t="s">
        <v>29</v>
      </c>
      <c r="K36" s="13" t="s">
        <v>28</v>
      </c>
      <c r="L36" s="13" t="s">
        <v>29</v>
      </c>
      <c r="M36" s="14" t="str">
        <f aca="false">COUNTIF(D36:L36,"U")</f>
        <v>4</v>
      </c>
      <c r="N36" s="15" t="str">
        <f aca="false">COUNTIF(D36:M36,"UA")</f>
        <v>0</v>
      </c>
      <c r="O36" s="14" t="str">
        <f aca="false">M36+N36</f>
        <v>4</v>
      </c>
      <c r="P36" s="16" t="str">
        <f aca="false">IF(AND(M36=0,N36=0),"PASS","FAIL")</f>
        <v>FAIL</v>
      </c>
      <c r="Q36" s="0" t="str">
        <f aca="false">IF(OR(D36="U",E36="U",F36="U",G36="U",H36="U",I36="U",J36="U",K36="U",L36="U"),"FAIL",IF(OR(D36="UA",E36="UA",F36="UA",G36="UA",H36="UA",I36="UA",J36="UA",K36="UA",L36="UA"),"FAIL","PASS"))</f>
        <v>FAIL</v>
      </c>
    </row>
    <row r="37" customFormat="false" ht="15.75" hidden="false" customHeight="true" outlineLevel="0" collapsed="false">
      <c r="A37" s="10" t="n">
        <v>30</v>
      </c>
      <c r="B37" s="11" t="n">
        <v>511523205032</v>
      </c>
      <c r="C37" s="12" t="s">
        <v>62</v>
      </c>
      <c r="D37" s="13" t="s">
        <v>32</v>
      </c>
      <c r="E37" s="13" t="s">
        <v>35</v>
      </c>
      <c r="F37" s="13" t="s">
        <v>35</v>
      </c>
      <c r="G37" s="13" t="s">
        <v>35</v>
      </c>
      <c r="H37" s="13" t="s">
        <v>32</v>
      </c>
      <c r="I37" s="13" t="s">
        <v>32</v>
      </c>
      <c r="J37" s="13" t="s">
        <v>35</v>
      </c>
      <c r="K37" s="13" t="s">
        <v>32</v>
      </c>
      <c r="L37" s="13" t="s">
        <v>33</v>
      </c>
      <c r="M37" s="14" t="str">
        <f aca="false">COUNTIF(D37:L37,"U")</f>
        <v>0</v>
      </c>
      <c r="N37" s="15" t="str">
        <f aca="false">COUNTIF(D37:M37,"UA")</f>
        <v>0</v>
      </c>
      <c r="O37" s="14" t="str">
        <f aca="false">M37+N37</f>
        <v>0</v>
      </c>
      <c r="P37" s="16" t="str">
        <f aca="false">IF(AND(M37=0,N37=0),"PASS","FAIL")</f>
        <v>PASS</v>
      </c>
      <c r="Q37" s="0" t="str">
        <f aca="false">IF(OR(D37="U",E37="U",F37="U",G37="U",H37="U",I37="U",J37="U",K37="U",L37="U"),"FAIL",IF(OR(D37="UA",E37="UA",F37="UA",G37="UA",H37="UA",I37="UA",J37="UA",K37="UA",L37="UA"),"FAIL","PASS"))</f>
        <v>PASS</v>
      </c>
    </row>
    <row r="38" customFormat="false" ht="15.75" hidden="false" customHeight="true" outlineLevel="0" collapsed="false">
      <c r="A38" s="10" t="n">
        <v>31</v>
      </c>
      <c r="B38" s="11" t="n">
        <v>511523205033</v>
      </c>
      <c r="C38" s="12" t="s">
        <v>63</v>
      </c>
      <c r="D38" s="13" t="s">
        <v>32</v>
      </c>
      <c r="E38" s="13" t="s">
        <v>35</v>
      </c>
      <c r="F38" s="13" t="s">
        <v>35</v>
      </c>
      <c r="G38" s="13" t="s">
        <v>33</v>
      </c>
      <c r="H38" s="13" t="s">
        <v>32</v>
      </c>
      <c r="I38" s="13" t="s">
        <v>32</v>
      </c>
      <c r="J38" s="13" t="s">
        <v>33</v>
      </c>
      <c r="K38" s="13" t="s">
        <v>32</v>
      </c>
      <c r="L38" s="13" t="s">
        <v>35</v>
      </c>
      <c r="M38" s="14" t="str">
        <f aca="false">COUNTIF(D38:L38,"U")</f>
        <v>0</v>
      </c>
      <c r="N38" s="15" t="str">
        <f aca="false">COUNTIF(D38:M38,"UA")</f>
        <v>0</v>
      </c>
      <c r="O38" s="14" t="str">
        <f aca="false">M38+N38</f>
        <v>0</v>
      </c>
      <c r="P38" s="16" t="str">
        <f aca="false">IF(AND(M38=0,N38=0),"PASS","FAIL")</f>
        <v>PASS</v>
      </c>
      <c r="Q38" s="0" t="str">
        <f aca="false">IF(OR(D38="U",E38="U",F38="U",G38="U",H38="U",I38="U",J38="U",K38="U",L38="U"),"FAIL",IF(OR(D38="UA",E38="UA",F38="UA",G38="UA",H38="UA",I38="UA",J38="UA",K38="UA",L38="UA"),"FAIL","PASS"))</f>
        <v>PASS</v>
      </c>
    </row>
    <row r="39" customFormat="false" ht="15.75" hidden="false" customHeight="true" outlineLevel="0" collapsed="false">
      <c r="A39" s="10" t="n">
        <v>32</v>
      </c>
      <c r="B39" s="11" t="n">
        <v>511523205034</v>
      </c>
      <c r="C39" s="12" t="s">
        <v>64</v>
      </c>
      <c r="D39" s="13" t="s">
        <v>28</v>
      </c>
      <c r="E39" s="13" t="s">
        <v>33</v>
      </c>
      <c r="F39" s="13" t="s">
        <v>35</v>
      </c>
      <c r="G39" s="13" t="s">
        <v>35</v>
      </c>
      <c r="H39" s="13" t="s">
        <v>32</v>
      </c>
      <c r="I39" s="13" t="s">
        <v>32</v>
      </c>
      <c r="J39" s="13" t="s">
        <v>28</v>
      </c>
      <c r="K39" s="13" t="s">
        <v>32</v>
      </c>
      <c r="L39" s="13" t="s">
        <v>33</v>
      </c>
      <c r="M39" s="14" t="str">
        <f aca="false">COUNTIF(D39:L39,"U")</f>
        <v>0</v>
      </c>
      <c r="N39" s="15" t="str">
        <f aca="false">COUNTIF(D39:M39,"UA")</f>
        <v>0</v>
      </c>
      <c r="O39" s="14" t="str">
        <f aca="false">M39+N39</f>
        <v>0</v>
      </c>
      <c r="P39" s="16" t="str">
        <f aca="false">IF(AND(M39=0,N39=0),"PASS","FAIL")</f>
        <v>PASS</v>
      </c>
      <c r="Q39" s="0" t="str">
        <f aca="false">IF(OR(D39="U",E39="U",F39="U",G39="U",H39="U",I39="U",J39="U",K39="U",L39="U"),"FAIL",IF(OR(D39="UA",E39="UA",F39="UA",G39="UA",H39="UA",I39="UA",J39="UA",K39="UA",L39="UA"),"FAIL","PASS"))</f>
        <v>PASS</v>
      </c>
    </row>
    <row r="40" customFormat="false" ht="15.75" hidden="false" customHeight="true" outlineLevel="0" collapsed="false">
      <c r="A40" s="10" t="n">
        <v>33</v>
      </c>
      <c r="B40" s="11" t="n">
        <v>511523205035</v>
      </c>
      <c r="C40" s="12" t="s">
        <v>65</v>
      </c>
      <c r="D40" s="13" t="s">
        <v>32</v>
      </c>
      <c r="E40" s="13" t="s">
        <v>29</v>
      </c>
      <c r="F40" s="13" t="s">
        <v>33</v>
      </c>
      <c r="G40" s="13" t="s">
        <v>33</v>
      </c>
      <c r="H40" s="13" t="s">
        <v>32</v>
      </c>
      <c r="I40" s="13" t="s">
        <v>32</v>
      </c>
      <c r="J40" s="13" t="s">
        <v>33</v>
      </c>
      <c r="K40" s="13" t="s">
        <v>32</v>
      </c>
      <c r="L40" s="13" t="s">
        <v>30</v>
      </c>
      <c r="M40" s="14" t="str">
        <f aca="false">COUNTIF(D40:L40,"U")</f>
        <v>1</v>
      </c>
      <c r="N40" s="15" t="str">
        <f aca="false">COUNTIF(D40:M40,"UA")</f>
        <v>0</v>
      </c>
      <c r="O40" s="14" t="str">
        <f aca="false">M40+N40</f>
        <v>1</v>
      </c>
      <c r="P40" s="16" t="str">
        <f aca="false">IF(AND(M40=0,N40=0),"PASS","FAIL")</f>
        <v>FAIL</v>
      </c>
      <c r="Q40" s="0" t="str">
        <f aca="false">IF(OR(D40="U",E40="U",F40="U",G40="U",H40="U",I40="U",J40="U",K40="U",L40="U"),"FAIL",IF(OR(D40="UA",E40="UA",F40="UA",G40="UA",H40="UA",I40="UA",J40="UA",K40="UA",L40="UA"),"FAIL","PASS"))</f>
        <v>FAIL</v>
      </c>
    </row>
    <row r="41" customFormat="false" ht="15.75" hidden="false" customHeight="true" outlineLevel="0" collapsed="false">
      <c r="A41" s="10" t="n">
        <v>34</v>
      </c>
      <c r="B41" s="11" t="n">
        <v>511523205036</v>
      </c>
      <c r="C41" s="12" t="s">
        <v>66</v>
      </c>
      <c r="D41" s="13" t="s">
        <v>32</v>
      </c>
      <c r="E41" s="13" t="s">
        <v>29</v>
      </c>
      <c r="F41" s="13" t="s">
        <v>33</v>
      </c>
      <c r="G41" s="13" t="s">
        <v>33</v>
      </c>
      <c r="H41" s="13" t="s">
        <v>32</v>
      </c>
      <c r="I41" s="13" t="s">
        <v>32</v>
      </c>
      <c r="J41" s="13" t="s">
        <v>33</v>
      </c>
      <c r="K41" s="13" t="s">
        <v>32</v>
      </c>
      <c r="L41" s="13" t="s">
        <v>33</v>
      </c>
      <c r="M41" s="14" t="str">
        <f aca="false">COUNTIF(D41:L41,"U")</f>
        <v>1</v>
      </c>
      <c r="N41" s="15" t="str">
        <f aca="false">COUNTIF(D41:M41,"UA")</f>
        <v>0</v>
      </c>
      <c r="O41" s="14" t="str">
        <f aca="false">M41+N41</f>
        <v>1</v>
      </c>
      <c r="P41" s="16" t="str">
        <f aca="false">IF(AND(M41=0,N41=0),"PASS","FAIL")</f>
        <v>FAIL</v>
      </c>
      <c r="Q41" s="0" t="str">
        <f aca="false">IF(OR(D41="U",E41="U",F41="U",G41="U",H41="U",I41="U",J41="U",K41="U",L41="U"),"FAIL",IF(OR(D41="UA",E41="UA",F41="UA",G41="UA",H41="UA",I41="UA",J41="UA",K41="UA",L41="UA"),"FAIL","PASS"))</f>
        <v>FAIL</v>
      </c>
    </row>
    <row r="42" customFormat="false" ht="15.75" hidden="false" customHeight="true" outlineLevel="0" collapsed="false">
      <c r="A42" s="10" t="n">
        <v>35</v>
      </c>
      <c r="B42" s="11" t="n">
        <v>511523205037</v>
      </c>
      <c r="C42" s="12" t="s">
        <v>67</v>
      </c>
      <c r="D42" s="13" t="s">
        <v>32</v>
      </c>
      <c r="E42" s="13" t="s">
        <v>33</v>
      </c>
      <c r="F42" s="13" t="s">
        <v>35</v>
      </c>
      <c r="G42" s="13" t="s">
        <v>33</v>
      </c>
      <c r="H42" s="13" t="s">
        <v>32</v>
      </c>
      <c r="I42" s="13" t="s">
        <v>32</v>
      </c>
      <c r="J42" s="13" t="s">
        <v>29</v>
      </c>
      <c r="K42" s="13" t="s">
        <v>32</v>
      </c>
      <c r="L42" s="13" t="s">
        <v>33</v>
      </c>
      <c r="M42" s="14" t="str">
        <f aca="false">COUNTIF(D42:L42,"U")</f>
        <v>1</v>
      </c>
      <c r="N42" s="15" t="str">
        <f aca="false">COUNTIF(D42:M42,"UA")</f>
        <v>0</v>
      </c>
      <c r="O42" s="14" t="str">
        <f aca="false">M42+N42</f>
        <v>1</v>
      </c>
      <c r="P42" s="16" t="str">
        <f aca="false">IF(AND(M42=0,N42=0),"PASS","FAIL")</f>
        <v>FAIL</v>
      </c>
      <c r="Q42" s="0" t="str">
        <f aca="false">IF(OR(D42="U",E42="U",F42="U",G42="U",H42="U",I42="U",J42="U",K42="U",L42="U"),"FAIL",IF(OR(D42="UA",E42="UA",F42="UA",G42="UA",H42="UA",I42="UA",J42="UA",K42="UA",L42="UA"),"FAIL","PASS"))</f>
        <v>FAIL</v>
      </c>
    </row>
    <row r="43" customFormat="false" ht="15.75" hidden="false" customHeight="true" outlineLevel="0" collapsed="false">
      <c r="A43" s="10" t="n">
        <v>36</v>
      </c>
      <c r="B43" s="11" t="n">
        <v>511523205038</v>
      </c>
      <c r="C43" s="12" t="s">
        <v>68</v>
      </c>
      <c r="D43" s="13" t="s">
        <v>32</v>
      </c>
      <c r="E43" s="13" t="s">
        <v>35</v>
      </c>
      <c r="F43" s="13" t="s">
        <v>35</v>
      </c>
      <c r="G43" s="13" t="s">
        <v>35</v>
      </c>
      <c r="H43" s="13" t="s">
        <v>32</v>
      </c>
      <c r="I43" s="13" t="s">
        <v>32</v>
      </c>
      <c r="J43" s="13" t="s">
        <v>33</v>
      </c>
      <c r="K43" s="13" t="s">
        <v>32</v>
      </c>
      <c r="L43" s="13" t="s">
        <v>33</v>
      </c>
      <c r="M43" s="14" t="str">
        <f aca="false">COUNTIF(D43:L43,"U")</f>
        <v>0</v>
      </c>
      <c r="N43" s="15" t="str">
        <f aca="false">COUNTIF(D43:M43,"UA")</f>
        <v>0</v>
      </c>
      <c r="O43" s="14" t="str">
        <f aca="false">M43+N43</f>
        <v>0</v>
      </c>
      <c r="P43" s="16" t="str">
        <f aca="false">IF(AND(M43=0,N43=0),"PASS","FAIL")</f>
        <v>PASS</v>
      </c>
      <c r="Q43" s="0" t="str">
        <f aca="false">IF(OR(D43="U",E43="U",F43="U",G43="U",H43="U",I43="U",J43="U",K43="U",L43="U"),"FAIL",IF(OR(D43="UA",E43="UA",F43="UA",G43="UA",H43="UA",I43="UA",J43="UA",K43="UA",L43="UA"),"FAIL","PASS"))</f>
        <v>PASS</v>
      </c>
    </row>
    <row r="44" customFormat="false" ht="15.75" hidden="false" customHeight="true" outlineLevel="0" collapsed="false">
      <c r="A44" s="10" t="n">
        <v>37</v>
      </c>
      <c r="B44" s="11" t="n">
        <v>511523205039</v>
      </c>
      <c r="C44" s="12" t="s">
        <v>69</v>
      </c>
      <c r="D44" s="13" t="s">
        <v>32</v>
      </c>
      <c r="E44" s="13" t="s">
        <v>33</v>
      </c>
      <c r="F44" s="13" t="s">
        <v>35</v>
      </c>
      <c r="G44" s="13" t="s">
        <v>35</v>
      </c>
      <c r="H44" s="13" t="s">
        <v>32</v>
      </c>
      <c r="I44" s="13" t="s">
        <v>32</v>
      </c>
      <c r="J44" s="13" t="s">
        <v>33</v>
      </c>
      <c r="K44" s="13" t="s">
        <v>32</v>
      </c>
      <c r="L44" s="13" t="s">
        <v>33</v>
      </c>
      <c r="M44" s="14" t="str">
        <f aca="false">COUNTIF(D44:L44,"U")</f>
        <v>0</v>
      </c>
      <c r="N44" s="15" t="str">
        <f aca="false">COUNTIF(D44:M44,"UA")</f>
        <v>0</v>
      </c>
      <c r="O44" s="14" t="str">
        <f aca="false">M44+N44</f>
        <v>0</v>
      </c>
      <c r="P44" s="16" t="str">
        <f aca="false">IF(AND(M44=0,N44=0),"PASS","FAIL")</f>
        <v>PASS</v>
      </c>
      <c r="Q44" s="0" t="str">
        <f aca="false">IF(OR(D44="U",E44="U",F44="U",G44="U",H44="U",I44="U",J44="U",K44="U",L44="U"),"FAIL",IF(OR(D44="UA",E44="UA",F44="UA",G44="UA",H44="UA",I44="UA",J44="UA",K44="UA",L44="UA"),"FAIL","PASS"))</f>
        <v>PASS</v>
      </c>
    </row>
    <row r="45" customFormat="false" ht="15.75" hidden="false" customHeight="true" outlineLevel="0" collapsed="false">
      <c r="A45" s="10" t="n">
        <v>38</v>
      </c>
      <c r="B45" s="11" t="n">
        <v>511523205040</v>
      </c>
      <c r="C45" s="12" t="s">
        <v>70</v>
      </c>
      <c r="D45" s="13" t="s">
        <v>28</v>
      </c>
      <c r="E45" s="13" t="s">
        <v>33</v>
      </c>
      <c r="F45" s="13" t="s">
        <v>35</v>
      </c>
      <c r="G45" s="13" t="s">
        <v>33</v>
      </c>
      <c r="H45" s="13" t="s">
        <v>32</v>
      </c>
      <c r="I45" s="13" t="s">
        <v>32</v>
      </c>
      <c r="J45" s="13" t="s">
        <v>33</v>
      </c>
      <c r="K45" s="13" t="s">
        <v>28</v>
      </c>
      <c r="L45" s="13" t="s">
        <v>33</v>
      </c>
      <c r="M45" s="14" t="str">
        <f aca="false">COUNTIF(D45:L45,"U")</f>
        <v>0</v>
      </c>
      <c r="N45" s="15" t="str">
        <f aca="false">COUNTIF(D45:M45,"UA")</f>
        <v>0</v>
      </c>
      <c r="O45" s="14" t="str">
        <f aca="false">M45+N45</f>
        <v>0</v>
      </c>
      <c r="P45" s="16" t="str">
        <f aca="false">IF(AND(M45=0,N45=0),"PASS","FAIL")</f>
        <v>PASS</v>
      </c>
      <c r="Q45" s="0" t="str">
        <f aca="false">IF(OR(D45="U",E45="U",F45="U",G45="U",H45="U",I45="U",J45="U",K45="U",L45="U"),"FAIL",IF(OR(D45="UA",E45="UA",F45="UA",G45="UA",H45="UA",I45="UA",J45="UA",K45="UA",L45="UA"),"FAIL","PASS"))</f>
        <v>PASS</v>
      </c>
    </row>
    <row r="46" customFormat="false" ht="15.75" hidden="false" customHeight="true" outlineLevel="0" collapsed="false">
      <c r="A46" s="10" t="n">
        <v>39</v>
      </c>
      <c r="B46" s="11" t="n">
        <v>511523205041</v>
      </c>
      <c r="C46" s="12" t="s">
        <v>71</v>
      </c>
      <c r="D46" s="13" t="s">
        <v>32</v>
      </c>
      <c r="E46" s="13" t="s">
        <v>33</v>
      </c>
      <c r="F46" s="13" t="s">
        <v>35</v>
      </c>
      <c r="G46" s="13" t="s">
        <v>33</v>
      </c>
      <c r="H46" s="13" t="s">
        <v>32</v>
      </c>
      <c r="I46" s="13" t="s">
        <v>32</v>
      </c>
      <c r="J46" s="13" t="s">
        <v>33</v>
      </c>
      <c r="K46" s="13" t="s">
        <v>32</v>
      </c>
      <c r="L46" s="13" t="s">
        <v>33</v>
      </c>
      <c r="M46" s="14" t="str">
        <f aca="false">COUNTIF(D46:L46,"U")</f>
        <v>0</v>
      </c>
      <c r="N46" s="15" t="str">
        <f aca="false">COUNTIF(D46:M46,"UA")</f>
        <v>0</v>
      </c>
      <c r="O46" s="14" t="str">
        <f aca="false">M46+N46</f>
        <v>0</v>
      </c>
      <c r="P46" s="16" t="str">
        <f aca="false">IF(AND(M46=0,N46=0),"PASS","FAIL")</f>
        <v>PASS</v>
      </c>
      <c r="Q46" s="0" t="str">
        <f aca="false">IF(OR(D46="U",E46="U",F46="U",G46="U",H46="U",I46="U",J46="U",K46="U",L46="U"),"FAIL",IF(OR(D46="UA",E46="UA",F46="UA",G46="UA",H46="UA",I46="UA",J46="UA",K46="UA",L46="UA"),"FAIL","PASS"))</f>
        <v>PASS</v>
      </c>
    </row>
    <row r="47" customFormat="false" ht="15.75" hidden="false" customHeight="true" outlineLevel="0" collapsed="false">
      <c r="A47" s="10" t="n">
        <v>40</v>
      </c>
      <c r="B47" s="11" t="n">
        <v>511523205042</v>
      </c>
      <c r="C47" s="12" t="s">
        <v>72</v>
      </c>
      <c r="D47" s="13" t="s">
        <v>32</v>
      </c>
      <c r="E47" s="13" t="s">
        <v>33</v>
      </c>
      <c r="F47" s="13" t="s">
        <v>35</v>
      </c>
      <c r="G47" s="13" t="s">
        <v>33</v>
      </c>
      <c r="H47" s="13" t="s">
        <v>32</v>
      </c>
      <c r="I47" s="13" t="s">
        <v>32</v>
      </c>
      <c r="J47" s="13" t="s">
        <v>35</v>
      </c>
      <c r="K47" s="13" t="s">
        <v>32</v>
      </c>
      <c r="L47" s="13" t="s">
        <v>28</v>
      </c>
      <c r="M47" s="14" t="str">
        <f aca="false">COUNTIF(D47:L47,"U")</f>
        <v>0</v>
      </c>
      <c r="N47" s="15" t="str">
        <f aca="false">COUNTIF(D47:M47,"UA")</f>
        <v>0</v>
      </c>
      <c r="O47" s="14" t="str">
        <f aca="false">M47+N47</f>
        <v>0</v>
      </c>
      <c r="P47" s="16" t="str">
        <f aca="false">IF(AND(M47=0,N47=0),"PASS","FAIL")</f>
        <v>PASS</v>
      </c>
      <c r="Q47" s="0" t="str">
        <f aca="false">IF(OR(D47="U",E47="U",F47="U",G47="U",H47="U",I47="U",J47="U",K47="U",L47="U"),"FAIL",IF(OR(D47="UA",E47="UA",F47="UA",G47="UA",H47="UA",I47="UA",J47="UA",K47="UA",L47="UA"),"FAIL","PASS"))</f>
        <v>PASS</v>
      </c>
    </row>
    <row r="48" customFormat="false" ht="15.75" hidden="false" customHeight="true" outlineLevel="0" collapsed="false">
      <c r="A48" s="10" t="n">
        <v>41</v>
      </c>
      <c r="B48" s="11" t="n">
        <v>511523205043</v>
      </c>
      <c r="C48" s="12" t="s">
        <v>73</v>
      </c>
      <c r="D48" s="13" t="s">
        <v>32</v>
      </c>
      <c r="E48" s="13" t="s">
        <v>35</v>
      </c>
      <c r="F48" s="13" t="s">
        <v>35</v>
      </c>
      <c r="G48" s="13" t="s">
        <v>33</v>
      </c>
      <c r="H48" s="13" t="s">
        <v>32</v>
      </c>
      <c r="I48" s="13" t="s">
        <v>32</v>
      </c>
      <c r="J48" s="13" t="s">
        <v>33</v>
      </c>
      <c r="K48" s="13" t="s">
        <v>32</v>
      </c>
      <c r="L48" s="13" t="s">
        <v>33</v>
      </c>
      <c r="M48" s="14" t="str">
        <f aca="false">COUNTIF(D48:L48,"U")</f>
        <v>0</v>
      </c>
      <c r="N48" s="15" t="str">
        <f aca="false">COUNTIF(D48:M48,"UA")</f>
        <v>0</v>
      </c>
      <c r="O48" s="14" t="str">
        <f aca="false">M48+N48</f>
        <v>0</v>
      </c>
      <c r="P48" s="16" t="str">
        <f aca="false">IF(AND(M48=0,N48=0),"PASS","FAIL")</f>
        <v>PASS</v>
      </c>
      <c r="Q48" s="0" t="str">
        <f aca="false">IF(OR(D48="U",E48="U",F48="U",G48="U",H48="U",I48="U",J48="U",K48="U",L48="U"),"FAIL",IF(OR(D48="UA",E48="UA",F48="UA",G48="UA",H48="UA",I48="UA",J48="UA",K48="UA",L48="UA"),"FAIL","PASS"))</f>
        <v>PASS</v>
      </c>
    </row>
    <row r="49" customFormat="false" ht="15.75" hidden="false" customHeight="true" outlineLevel="0" collapsed="false">
      <c r="A49" s="10" t="n">
        <v>42</v>
      </c>
      <c r="B49" s="11" t="n">
        <v>511523205044</v>
      </c>
      <c r="C49" s="12" t="s">
        <v>74</v>
      </c>
      <c r="D49" s="13" t="s">
        <v>35</v>
      </c>
      <c r="E49" s="13" t="s">
        <v>30</v>
      </c>
      <c r="F49" s="13" t="s">
        <v>29</v>
      </c>
      <c r="G49" s="13" t="s">
        <v>29</v>
      </c>
      <c r="H49" s="13" t="s">
        <v>28</v>
      </c>
      <c r="I49" s="13" t="s">
        <v>32</v>
      </c>
      <c r="J49" s="13" t="s">
        <v>29</v>
      </c>
      <c r="K49" s="13" t="s">
        <v>28</v>
      </c>
      <c r="L49" s="13" t="s">
        <v>29</v>
      </c>
      <c r="M49" s="14" t="str">
        <f aca="false">COUNTIF(D49:L49,"U")</f>
        <v>4</v>
      </c>
      <c r="N49" s="15" t="str">
        <f aca="false">COUNTIF(D49:M49,"UA")</f>
        <v>0</v>
      </c>
      <c r="O49" s="14" t="str">
        <f aca="false">M49+N49</f>
        <v>4</v>
      </c>
      <c r="P49" s="16" t="str">
        <f aca="false">IF(AND(M49=0,N49=0),"PASS","FAIL")</f>
        <v>FAIL</v>
      </c>
      <c r="Q49" s="0" t="str">
        <f aca="false">IF(OR(D49="U",E49="U",F49="U",G49="U",H49="U",I49="U",J49="U",K49="U",L49="U"),"FAIL",IF(OR(D49="UA",E49="UA",F49="UA",G49="UA",H49="UA",I49="UA",J49="UA",K49="UA",L49="UA"),"FAIL","PASS"))</f>
        <v>FAIL</v>
      </c>
    </row>
    <row r="50" customFormat="false" ht="15.75" hidden="false" customHeight="true" outlineLevel="0" collapsed="false">
      <c r="A50" s="10" t="n">
        <v>43</v>
      </c>
      <c r="B50" s="11" t="n">
        <v>511523205045</v>
      </c>
      <c r="C50" s="12" t="s">
        <v>75</v>
      </c>
      <c r="D50" s="13" t="s">
        <v>32</v>
      </c>
      <c r="E50" s="13" t="s">
        <v>35</v>
      </c>
      <c r="F50" s="13" t="s">
        <v>35</v>
      </c>
      <c r="G50" s="13" t="s">
        <v>33</v>
      </c>
      <c r="H50" s="13" t="s">
        <v>32</v>
      </c>
      <c r="I50" s="13" t="s">
        <v>32</v>
      </c>
      <c r="J50" s="13" t="s">
        <v>33</v>
      </c>
      <c r="K50" s="13" t="s">
        <v>32</v>
      </c>
      <c r="L50" s="13" t="s">
        <v>33</v>
      </c>
      <c r="M50" s="14" t="str">
        <f aca="false">COUNTIF(D50:L50,"U")</f>
        <v>0</v>
      </c>
      <c r="N50" s="15" t="str">
        <f aca="false">COUNTIF(D50:M50,"UA")</f>
        <v>0</v>
      </c>
      <c r="O50" s="14" t="str">
        <f aca="false">M50+N50</f>
        <v>0</v>
      </c>
      <c r="P50" s="16" t="str">
        <f aca="false">IF(AND(M50=0,N50=0),"PASS","FAIL")</f>
        <v>PASS</v>
      </c>
      <c r="Q50" s="0" t="str">
        <f aca="false">IF(OR(D50="U",E50="U",F50="U",G50="U",H50="U",I50="U",J50="U",K50="U",L50="U"),"FAIL",IF(OR(D50="UA",E50="UA",F50="UA",G50="UA",H50="UA",I50="UA",J50="UA",K50="UA",L50="UA"),"FAIL","PASS"))</f>
        <v>PASS</v>
      </c>
    </row>
    <row r="51" customFormat="false" ht="15.75" hidden="false" customHeight="true" outlineLevel="0" collapsed="false">
      <c r="A51" s="10" t="n">
        <v>44</v>
      </c>
      <c r="B51" s="11" t="n">
        <v>511523205046</v>
      </c>
      <c r="C51" s="12" t="s">
        <v>76</v>
      </c>
      <c r="D51" s="13" t="s">
        <v>32</v>
      </c>
      <c r="E51" s="13" t="s">
        <v>29</v>
      </c>
      <c r="F51" s="13" t="s">
        <v>33</v>
      </c>
      <c r="G51" s="13" t="s">
        <v>33</v>
      </c>
      <c r="H51" s="13" t="s">
        <v>32</v>
      </c>
      <c r="I51" s="13" t="s">
        <v>32</v>
      </c>
      <c r="J51" s="13" t="s">
        <v>29</v>
      </c>
      <c r="K51" s="13" t="s">
        <v>32</v>
      </c>
      <c r="L51" s="13" t="s">
        <v>33</v>
      </c>
      <c r="M51" s="14" t="str">
        <f aca="false">COUNTIF(D51:L51,"U")</f>
        <v>2</v>
      </c>
      <c r="N51" s="15" t="str">
        <f aca="false">COUNTIF(D51:M51,"UA")</f>
        <v>0</v>
      </c>
      <c r="O51" s="14" t="str">
        <f aca="false">M51+N51</f>
        <v>2</v>
      </c>
      <c r="P51" s="16" t="str">
        <f aca="false">IF(AND(M51=0,N51=0),"PASS","FAIL")</f>
        <v>FAIL</v>
      </c>
      <c r="Q51" s="0" t="str">
        <f aca="false">IF(OR(D51="U",E51="U",F51="U",G51="U",H51="U",I51="U",J51="U",K51="U",L51="U"),"FAIL",IF(OR(D51="UA",E51="UA",F51="UA",G51="UA",H51="UA",I51="UA",J51="UA",K51="UA",L51="UA"),"FAIL","PASS"))</f>
        <v>FAIL</v>
      </c>
    </row>
    <row r="52" customFormat="false" ht="15.75" hidden="false" customHeight="true" outlineLevel="0" collapsed="false">
      <c r="A52" s="10" t="n">
        <v>45</v>
      </c>
      <c r="B52" s="11" t="n">
        <v>511523205047</v>
      </c>
      <c r="C52" s="12" t="s">
        <v>77</v>
      </c>
      <c r="D52" s="13" t="s">
        <v>28</v>
      </c>
      <c r="E52" s="13" t="s">
        <v>29</v>
      </c>
      <c r="F52" s="13" t="s">
        <v>33</v>
      </c>
      <c r="G52" s="13" t="s">
        <v>29</v>
      </c>
      <c r="H52" s="13" t="s">
        <v>28</v>
      </c>
      <c r="I52" s="13" t="s">
        <v>28</v>
      </c>
      <c r="J52" s="13" t="s">
        <v>29</v>
      </c>
      <c r="K52" s="13" t="s">
        <v>28</v>
      </c>
      <c r="L52" s="13" t="s">
        <v>29</v>
      </c>
      <c r="M52" s="14" t="str">
        <f aca="false">COUNTIF(D52:L52,"U")</f>
        <v>4</v>
      </c>
      <c r="N52" s="15" t="str">
        <f aca="false">COUNTIF(D52:M52,"UA")</f>
        <v>0</v>
      </c>
      <c r="O52" s="14" t="str">
        <f aca="false">M52+N52</f>
        <v>4</v>
      </c>
      <c r="P52" s="16" t="str">
        <f aca="false">IF(AND(M52=0,N52=0),"PASS","FAIL")</f>
        <v>FAIL</v>
      </c>
      <c r="Q52" s="0" t="str">
        <f aca="false">IF(OR(D52="U",E52="U",F52="U",G52="U",H52="U",I52="U",J52="U",K52="U",L52="U"),"FAIL",IF(OR(D52="UA",E52="UA",F52="UA",G52="UA",H52="UA",I52="UA",J52="UA",K52="UA",L52="UA"),"FAIL","PASS"))</f>
        <v>FAIL</v>
      </c>
    </row>
    <row r="53" customFormat="false" ht="14.25" hidden="false" customHeight="true" outlineLevel="0" collapsed="false">
      <c r="A53" s="10" t="n">
        <v>46</v>
      </c>
      <c r="B53" s="11" t="n">
        <v>511523205048</v>
      </c>
      <c r="C53" s="12" t="s">
        <v>78</v>
      </c>
      <c r="D53" s="13" t="s">
        <v>28</v>
      </c>
      <c r="E53" s="13" t="s">
        <v>30</v>
      </c>
      <c r="F53" s="13" t="s">
        <v>33</v>
      </c>
      <c r="G53" s="13" t="s">
        <v>29</v>
      </c>
      <c r="H53" s="13" t="s">
        <v>28</v>
      </c>
      <c r="I53" s="13" t="s">
        <v>32</v>
      </c>
      <c r="J53" s="13" t="s">
        <v>29</v>
      </c>
      <c r="K53" s="13" t="s">
        <v>28</v>
      </c>
      <c r="L53" s="13" t="s">
        <v>33</v>
      </c>
      <c r="M53" s="14" t="str">
        <f aca="false">COUNTIF(D53:L53,"U")</f>
        <v>2</v>
      </c>
      <c r="N53" s="15" t="str">
        <f aca="false">COUNTIF(D53:M53,"UA")</f>
        <v>0</v>
      </c>
      <c r="O53" s="14" t="str">
        <f aca="false">M53+N53</f>
        <v>2</v>
      </c>
      <c r="P53" s="16" t="str">
        <f aca="false">IF(AND(M53=0,N53=0),"PASS","FAIL")</f>
        <v>FAIL</v>
      </c>
      <c r="Q53" s="0" t="str">
        <f aca="false">IF(OR(D53="U",E53="U",F53="U",G53="U",H53="U",I53="U",J53="U",K53="U",L53="U"),"FAIL",IF(OR(D53="UA",E53="UA",F53="UA",G53="UA",H53="UA",I53="UA",J53="UA",K53="UA",L53="UA"),"FAIL","PASS"))</f>
        <v>FAIL</v>
      </c>
    </row>
    <row r="54" customFormat="false" ht="15.75" hidden="false" customHeight="true" outlineLevel="0" collapsed="false">
      <c r="A54" s="10" t="n">
        <v>47</v>
      </c>
      <c r="B54" s="11" t="n">
        <v>511523205049</v>
      </c>
      <c r="C54" s="12" t="s">
        <v>79</v>
      </c>
      <c r="D54" s="13" t="s">
        <v>32</v>
      </c>
      <c r="E54" s="13" t="s">
        <v>33</v>
      </c>
      <c r="F54" s="13" t="s">
        <v>33</v>
      </c>
      <c r="G54" s="13" t="s">
        <v>33</v>
      </c>
      <c r="H54" s="13" t="s">
        <v>32</v>
      </c>
      <c r="I54" s="13" t="s">
        <v>32</v>
      </c>
      <c r="J54" s="13" t="s">
        <v>33</v>
      </c>
      <c r="K54" s="13" t="s">
        <v>32</v>
      </c>
      <c r="L54" s="13" t="s">
        <v>29</v>
      </c>
      <c r="M54" s="14" t="str">
        <f aca="false">COUNTIF(D54:L54,"U")</f>
        <v>1</v>
      </c>
      <c r="N54" s="15" t="str">
        <f aca="false">COUNTIF(D54:M54,"UA")</f>
        <v>0</v>
      </c>
      <c r="O54" s="14" t="str">
        <f aca="false">M54+N54</f>
        <v>1</v>
      </c>
      <c r="P54" s="16" t="str">
        <f aca="false">IF(AND(M54=0,N54=0),"PASS","FAIL")</f>
        <v>FAIL</v>
      </c>
      <c r="Q54" s="0" t="str">
        <f aca="false">IF(OR(D54="U",E54="U",F54="U",G54="U",H54="U",I54="U",J54="U",K54="U",L54="U"),"FAIL",IF(OR(D54="UA",E54="UA",F54="UA",G54="UA",H54="UA",I54="UA",J54="UA",K54="UA",L54="UA"),"FAIL","PASS"))</f>
        <v>FAIL</v>
      </c>
    </row>
    <row r="55" customFormat="false" ht="15.75" hidden="false" customHeight="true" outlineLevel="0" collapsed="false">
      <c r="A55" s="10" t="n">
        <v>48</v>
      </c>
      <c r="B55" s="11" t="n">
        <v>511523205050</v>
      </c>
      <c r="C55" s="12" t="s">
        <v>80</v>
      </c>
      <c r="D55" s="13" t="s">
        <v>32</v>
      </c>
      <c r="E55" s="13" t="s">
        <v>33</v>
      </c>
      <c r="F55" s="13" t="s">
        <v>35</v>
      </c>
      <c r="G55" s="13" t="s">
        <v>33</v>
      </c>
      <c r="H55" s="13" t="s">
        <v>32</v>
      </c>
      <c r="I55" s="13" t="s">
        <v>32</v>
      </c>
      <c r="J55" s="13" t="s">
        <v>33</v>
      </c>
      <c r="K55" s="13" t="s">
        <v>32</v>
      </c>
      <c r="L55" s="13" t="s">
        <v>33</v>
      </c>
      <c r="M55" s="14" t="str">
        <f aca="false">COUNTIF(D55:L55,"U")</f>
        <v>0</v>
      </c>
      <c r="N55" s="15" t="str">
        <f aca="false">COUNTIF(D55:M55,"UA")</f>
        <v>0</v>
      </c>
      <c r="O55" s="14" t="str">
        <f aca="false">M55+N55</f>
        <v>0</v>
      </c>
      <c r="P55" s="16" t="str">
        <f aca="false">IF(AND(M55=0,N55=0),"PASS","FAIL")</f>
        <v>PASS</v>
      </c>
      <c r="Q55" s="0" t="str">
        <f aca="false">IF(OR(D55="U",E55="U",F55="U",G55="U",H55="U",I55="U",J55="U",K55="U",L55="U"),"FAIL",IF(OR(D55="UA",E55="UA",F55="UA",G55="UA",H55="UA",I55="UA",J55="UA",K55="UA",L55="UA"),"FAIL","PASS"))</f>
        <v>PASS</v>
      </c>
    </row>
    <row r="56" customFormat="false" ht="15.75" hidden="false" customHeight="true" outlineLevel="0" collapsed="false">
      <c r="A56" s="10" t="n">
        <v>49</v>
      </c>
      <c r="B56" s="11" t="n">
        <v>511523205051</v>
      </c>
      <c r="C56" s="12" t="s">
        <v>81</v>
      </c>
      <c r="D56" s="13" t="s">
        <v>35</v>
      </c>
      <c r="E56" s="13" t="s">
        <v>82</v>
      </c>
      <c r="F56" s="13" t="s">
        <v>33</v>
      </c>
      <c r="G56" s="13" t="s">
        <v>82</v>
      </c>
      <c r="H56" s="13" t="s">
        <v>28</v>
      </c>
      <c r="I56" s="13" t="s">
        <v>28</v>
      </c>
      <c r="J56" s="13" t="s">
        <v>82</v>
      </c>
      <c r="K56" s="13" t="s">
        <v>28</v>
      </c>
      <c r="L56" s="13" t="s">
        <v>82</v>
      </c>
      <c r="M56" s="14" t="str">
        <f aca="false">COUNTIF(D56:L56,"U")</f>
        <v>0</v>
      </c>
      <c r="N56" s="15" t="str">
        <f aca="false">COUNTIF(D56:M56,"UA")</f>
        <v>4</v>
      </c>
      <c r="O56" s="14" t="str">
        <f aca="false">M56+N56</f>
        <v>4</v>
      </c>
      <c r="P56" s="16" t="str">
        <f aca="false">IF(AND(M56=0,N56=0),"PASS","FAIL")</f>
        <v>FAIL</v>
      </c>
      <c r="Q56" s="0" t="str">
        <f aca="false">IF(OR(D56="U",E56="U",F56="U",G56="U",H56="U",I56="U",J56="U",K56="U",L56="U"),"FAIL",IF(OR(D56="UA",E56="UA",F56="UA",G56="UA",H56="UA",I56="UA",J56="UA",K56="UA",L56="UA"),"FAIL","PASS"))</f>
        <v>FAIL</v>
      </c>
    </row>
    <row r="57" customFormat="false" ht="15.75" hidden="false" customHeight="true" outlineLevel="0" collapsed="false">
      <c r="A57" s="10" t="n">
        <v>50</v>
      </c>
      <c r="B57" s="11" t="n">
        <v>511523205052</v>
      </c>
      <c r="C57" s="12" t="s">
        <v>83</v>
      </c>
      <c r="D57" s="13" t="s">
        <v>28</v>
      </c>
      <c r="E57" s="13" t="s">
        <v>29</v>
      </c>
      <c r="F57" s="13" t="s">
        <v>33</v>
      </c>
      <c r="G57" s="13" t="s">
        <v>29</v>
      </c>
      <c r="H57" s="13" t="s">
        <v>28</v>
      </c>
      <c r="I57" s="13" t="s">
        <v>32</v>
      </c>
      <c r="J57" s="13" t="s">
        <v>29</v>
      </c>
      <c r="K57" s="13" t="s">
        <v>28</v>
      </c>
      <c r="L57" s="13" t="s">
        <v>29</v>
      </c>
      <c r="M57" s="14" t="str">
        <f aca="false">COUNTIF(D57:L57,"U")</f>
        <v>4</v>
      </c>
      <c r="N57" s="15" t="str">
        <f aca="false">COUNTIF(D57:M57,"UA")</f>
        <v>0</v>
      </c>
      <c r="O57" s="14" t="str">
        <f aca="false">M57+N57</f>
        <v>4</v>
      </c>
      <c r="P57" s="16" t="str">
        <f aca="false">IF(AND(M57=0,N57=0),"PASS","FAIL")</f>
        <v>FAIL</v>
      </c>
      <c r="Q57" s="0" t="str">
        <f aca="false">IF(OR(D57="U",E57="U",F57="U",G57="U",H57="U",I57="U",J57="U",K57="U",L57="U"),"FAIL",IF(OR(D57="UA",E57="UA",F57="UA",G57="UA",H57="UA",I57="UA",J57="UA",K57="UA",L57="UA"),"FAIL","PASS"))</f>
        <v>FAIL</v>
      </c>
    </row>
    <row r="58" customFormat="false" ht="15.75" hidden="false" customHeight="true" outlineLevel="0" collapsed="false">
      <c r="A58" s="10" t="n">
        <v>51</v>
      </c>
      <c r="B58" s="11" t="n">
        <v>511523205053</v>
      </c>
      <c r="C58" s="12" t="s">
        <v>84</v>
      </c>
      <c r="D58" s="13" t="s">
        <v>32</v>
      </c>
      <c r="E58" s="13" t="s">
        <v>29</v>
      </c>
      <c r="F58" s="13" t="s">
        <v>33</v>
      </c>
      <c r="G58" s="13" t="s">
        <v>29</v>
      </c>
      <c r="H58" s="13" t="s">
        <v>32</v>
      </c>
      <c r="I58" s="13" t="s">
        <v>28</v>
      </c>
      <c r="J58" s="13" t="s">
        <v>29</v>
      </c>
      <c r="K58" s="13" t="s">
        <v>28</v>
      </c>
      <c r="L58" s="13" t="s">
        <v>29</v>
      </c>
      <c r="M58" s="14" t="str">
        <f aca="false">COUNTIF(D58:L58,"U")</f>
        <v>4</v>
      </c>
      <c r="N58" s="15" t="str">
        <f aca="false">COUNTIF(D58:M58,"UA")</f>
        <v>0</v>
      </c>
      <c r="O58" s="14" t="str">
        <f aca="false">M58+N58</f>
        <v>4</v>
      </c>
      <c r="P58" s="16" t="str">
        <f aca="false">IF(AND(M58=0,N58=0),"PASS","FAIL")</f>
        <v>FAIL</v>
      </c>
      <c r="Q58" s="0" t="str">
        <f aca="false">IF(OR(D58="U",E58="U",F58="U",G58="U",H58="U",I58="U",J58="U",K58="U",L58="U"),"FAIL",IF(OR(D58="UA",E58="UA",F58="UA",G58="UA",H58="UA",I58="UA",J58="UA",K58="UA",L58="UA"),"FAIL","PASS"))</f>
        <v>FAIL</v>
      </c>
    </row>
    <row r="59" customFormat="false" ht="15.75" hidden="false" customHeight="true" outlineLevel="0" collapsed="false">
      <c r="A59" s="10" t="n">
        <v>52</v>
      </c>
      <c r="B59" s="11" t="n">
        <v>511523205054</v>
      </c>
      <c r="C59" s="12" t="s">
        <v>85</v>
      </c>
      <c r="D59" s="13" t="s">
        <v>32</v>
      </c>
      <c r="E59" s="13" t="s">
        <v>29</v>
      </c>
      <c r="F59" s="13" t="s">
        <v>35</v>
      </c>
      <c r="G59" s="13" t="s">
        <v>29</v>
      </c>
      <c r="H59" s="13" t="s">
        <v>32</v>
      </c>
      <c r="I59" s="13" t="s">
        <v>32</v>
      </c>
      <c r="J59" s="13" t="s">
        <v>33</v>
      </c>
      <c r="K59" s="13" t="s">
        <v>32</v>
      </c>
      <c r="L59" s="13" t="s">
        <v>33</v>
      </c>
      <c r="M59" s="14" t="str">
        <f aca="false">COUNTIF(D59:L59,"U")</f>
        <v>2</v>
      </c>
      <c r="N59" s="15" t="str">
        <f aca="false">COUNTIF(D59:M59,"UA")</f>
        <v>0</v>
      </c>
      <c r="O59" s="14" t="str">
        <f aca="false">M59+N59</f>
        <v>2</v>
      </c>
      <c r="P59" s="16" t="str">
        <f aca="false">IF(AND(M59=0,N59=0),"PASS","FAIL")</f>
        <v>FAIL</v>
      </c>
      <c r="Q59" s="0" t="str">
        <f aca="false">IF(OR(D59="U",E59="U",F59="U",G59="U",H59="U",I59="U",J59="U",K59="U",L59="U"),"FAIL",IF(OR(D59="UA",E59="UA",F59="UA",G59="UA",H59="UA",I59="UA",J59="UA",K59="UA",L59="UA"),"FAIL","PASS"))</f>
        <v>FAIL</v>
      </c>
    </row>
    <row r="60" customFormat="false" ht="15.75" hidden="false" customHeight="true" outlineLevel="0" collapsed="false">
      <c r="A60" s="10" t="n">
        <v>53</v>
      </c>
      <c r="B60" s="11" t="n">
        <v>511523205055</v>
      </c>
      <c r="C60" s="12" t="s">
        <v>86</v>
      </c>
      <c r="D60" s="13" t="s">
        <v>32</v>
      </c>
      <c r="E60" s="13" t="s">
        <v>29</v>
      </c>
      <c r="F60" s="13" t="s">
        <v>28</v>
      </c>
      <c r="G60" s="13" t="s">
        <v>35</v>
      </c>
      <c r="H60" s="13" t="s">
        <v>32</v>
      </c>
      <c r="I60" s="13" t="s">
        <v>32</v>
      </c>
      <c r="J60" s="13" t="s">
        <v>33</v>
      </c>
      <c r="K60" s="13" t="s">
        <v>32</v>
      </c>
      <c r="L60" s="13" t="s">
        <v>28</v>
      </c>
      <c r="M60" s="14" t="str">
        <f aca="false">COUNTIF(D60:L60,"U")</f>
        <v>1</v>
      </c>
      <c r="N60" s="15" t="str">
        <f aca="false">COUNTIF(D60:M60,"UA")</f>
        <v>0</v>
      </c>
      <c r="O60" s="14" t="str">
        <f aca="false">M60+N60</f>
        <v>1</v>
      </c>
      <c r="P60" s="16" t="str">
        <f aca="false">IF(AND(M60=0,N60=0),"PASS","FAIL")</f>
        <v>FAIL</v>
      </c>
      <c r="Q60" s="0" t="str">
        <f aca="false">IF(OR(D60="U",E60="U",F60="U",G60="U",H60="U",I60="U",J60="U",K60="U",L60="U"),"FAIL",IF(OR(D60="UA",E60="UA",F60="UA",G60="UA",H60="UA",I60="UA",J60="UA",K60="UA",L60="UA"),"FAIL","PASS"))</f>
        <v>FAIL</v>
      </c>
    </row>
    <row r="61" customFormat="false" ht="15.75" hidden="false" customHeight="true" outlineLevel="0" collapsed="false">
      <c r="A61" s="10" t="n">
        <v>54</v>
      </c>
      <c r="B61" s="11" t="n">
        <v>511523205056</v>
      </c>
      <c r="C61" s="12" t="s">
        <v>87</v>
      </c>
      <c r="D61" s="13" t="s">
        <v>32</v>
      </c>
      <c r="E61" s="13" t="s">
        <v>29</v>
      </c>
      <c r="F61" s="13" t="s">
        <v>35</v>
      </c>
      <c r="G61" s="13" t="s">
        <v>33</v>
      </c>
      <c r="H61" s="13" t="s">
        <v>32</v>
      </c>
      <c r="I61" s="13" t="s">
        <v>32</v>
      </c>
      <c r="J61" s="13" t="s">
        <v>33</v>
      </c>
      <c r="K61" s="13" t="s">
        <v>32</v>
      </c>
      <c r="L61" s="13" t="s">
        <v>33</v>
      </c>
      <c r="M61" s="14" t="str">
        <f aca="false">COUNTIF(D61:L61,"U")</f>
        <v>1</v>
      </c>
      <c r="N61" s="15" t="str">
        <f aca="false">COUNTIF(D61:M61,"UA")</f>
        <v>0</v>
      </c>
      <c r="O61" s="14" t="str">
        <f aca="false">M61+N61</f>
        <v>1</v>
      </c>
      <c r="P61" s="16" t="str">
        <f aca="false">IF(AND(M61=0,N61=0),"PASS","FAIL")</f>
        <v>FAIL</v>
      </c>
      <c r="Q61" s="0" t="str">
        <f aca="false">IF(OR(D61="U",E61="U",F61="U",G61="U",H61="U",I61="U",J61="U",K61="U",L61="U"),"FAIL",IF(OR(D61="UA",E61="UA",F61="UA",G61="UA",H61="UA",I61="UA",J61="UA",K61="UA",L61="UA"),"FAIL","PASS"))</f>
        <v>FAIL</v>
      </c>
    </row>
    <row r="62" customFormat="false" ht="15.75" hidden="false" customHeight="true" outlineLevel="0" collapsed="false">
      <c r="A62" s="10" t="n">
        <v>55</v>
      </c>
      <c r="B62" s="11" t="n">
        <v>511523205057</v>
      </c>
      <c r="C62" s="12" t="s">
        <v>88</v>
      </c>
      <c r="D62" s="13" t="s">
        <v>32</v>
      </c>
      <c r="E62" s="13" t="s">
        <v>29</v>
      </c>
      <c r="F62" s="13" t="s">
        <v>35</v>
      </c>
      <c r="G62" s="13" t="s">
        <v>33</v>
      </c>
      <c r="H62" s="13" t="s">
        <v>32</v>
      </c>
      <c r="I62" s="13" t="s">
        <v>32</v>
      </c>
      <c r="J62" s="13" t="s">
        <v>33</v>
      </c>
      <c r="K62" s="13" t="s">
        <v>32</v>
      </c>
      <c r="L62" s="13" t="s">
        <v>33</v>
      </c>
      <c r="M62" s="14" t="str">
        <f aca="false">COUNTIF(D62:L62,"U")</f>
        <v>1</v>
      </c>
      <c r="N62" s="15" t="str">
        <f aca="false">COUNTIF(D62:M62,"UA")</f>
        <v>0</v>
      </c>
      <c r="O62" s="14" t="str">
        <f aca="false">M62+N62</f>
        <v>1</v>
      </c>
      <c r="P62" s="16" t="str">
        <f aca="false">IF(AND(M62=0,N62=0),"PASS","FAIL")</f>
        <v>FAIL</v>
      </c>
      <c r="Q62" s="0" t="str">
        <f aca="false">IF(OR(D62="U",E62="U",F62="U",G62="U",H62="U",I62="U",J62="U",K62="U",L62="U"),"FAIL",IF(OR(D62="UA",E62="UA",F62="UA",G62="UA",H62="UA",I62="UA",J62="UA",K62="UA",L62="UA"),"FAIL","PASS"))</f>
        <v>FAIL</v>
      </c>
    </row>
    <row r="63" customFormat="false" ht="15.75" hidden="false" customHeight="true" outlineLevel="0" collapsed="false">
      <c r="A63" s="10" t="n">
        <v>56</v>
      </c>
      <c r="B63" s="11" t="n">
        <v>511523205058</v>
      </c>
      <c r="C63" s="12" t="s">
        <v>89</v>
      </c>
      <c r="D63" s="17" t="s">
        <v>32</v>
      </c>
      <c r="E63" s="17" t="s">
        <v>33</v>
      </c>
      <c r="F63" s="17" t="s">
        <v>33</v>
      </c>
      <c r="G63" s="17" t="s">
        <v>33</v>
      </c>
      <c r="H63" s="17" t="s">
        <v>32</v>
      </c>
      <c r="I63" s="17" t="s">
        <v>32</v>
      </c>
      <c r="J63" s="17" t="s">
        <v>33</v>
      </c>
      <c r="K63" s="17" t="s">
        <v>32</v>
      </c>
      <c r="L63" s="17" t="s">
        <v>33</v>
      </c>
      <c r="M63" s="14" t="str">
        <f aca="false">COUNTIF(D63:L63,"U")</f>
        <v>0</v>
      </c>
      <c r="N63" s="15" t="str">
        <f aca="false">COUNTIF(D63:M63,"UA")</f>
        <v>0</v>
      </c>
      <c r="O63" s="14" t="str">
        <f aca="false">M63+N63</f>
        <v>0</v>
      </c>
      <c r="P63" s="16" t="str">
        <f aca="false">IF(AND(M63=0,N63=0),"PASS","FAIL")</f>
        <v>PASS</v>
      </c>
      <c r="Q63" s="0" t="str">
        <f aca="false">IF(OR(D63="U",E63="U",F63="U",G63="U",H63="U",I63="U",J63="U",K63="U",L63="U"),"FAIL",IF(OR(D63="UA",E63="UA",F63="UA",G63="UA",H63="UA",I63="UA",J63="UA",K63="UA",L63="UA"),"FAIL","PASS"))</f>
        <v>PASS</v>
      </c>
    </row>
    <row r="64" customFormat="false" ht="15.75" hidden="false" customHeight="true" outlineLevel="0" collapsed="false">
      <c r="A64" s="10" t="n">
        <v>57</v>
      </c>
      <c r="B64" s="11" t="n">
        <v>511523205059</v>
      </c>
      <c r="C64" s="12" t="s">
        <v>90</v>
      </c>
      <c r="D64" s="13" t="s">
        <v>32</v>
      </c>
      <c r="E64" s="13" t="s">
        <v>35</v>
      </c>
      <c r="F64" s="13" t="s">
        <v>35</v>
      </c>
      <c r="G64" s="13" t="s">
        <v>33</v>
      </c>
      <c r="H64" s="13" t="s">
        <v>32</v>
      </c>
      <c r="I64" s="13" t="s">
        <v>32</v>
      </c>
      <c r="J64" s="13" t="s">
        <v>33</v>
      </c>
      <c r="K64" s="13" t="s">
        <v>32</v>
      </c>
      <c r="L64" s="13" t="s">
        <v>29</v>
      </c>
      <c r="M64" s="14" t="str">
        <f aca="false">COUNTIF(D64:L64,"U")</f>
        <v>1</v>
      </c>
      <c r="N64" s="15" t="str">
        <f aca="false">COUNTIF(D64:M64,"UA")</f>
        <v>0</v>
      </c>
      <c r="O64" s="14" t="str">
        <f aca="false">M64+N64</f>
        <v>1</v>
      </c>
      <c r="P64" s="16" t="str">
        <f aca="false">IF(AND(M64=0,N64=0),"PASS","FAIL")</f>
        <v>FAIL</v>
      </c>
      <c r="Q64" s="0" t="str">
        <f aca="false">IF(OR(D64="U",E64="U",F64="U",G64="U",H64="U",I64="U",J64="U",K64="U",L64="U"),"FAIL",IF(OR(D64="UA",E64="UA",F64="UA",G64="UA",H64="UA",I64="UA",J64="UA",K64="UA",L64="UA"),"FAIL","PASS"))</f>
        <v>FAIL</v>
      </c>
    </row>
    <row r="65" customFormat="false" ht="15.75" hidden="false" customHeight="true" outlineLevel="0" collapsed="false">
      <c r="A65" s="10" t="n">
        <v>58</v>
      </c>
      <c r="B65" s="11" t="n">
        <v>511523205060</v>
      </c>
      <c r="C65" s="12" t="s">
        <v>91</v>
      </c>
      <c r="D65" s="13" t="s">
        <v>28</v>
      </c>
      <c r="E65" s="13" t="s">
        <v>30</v>
      </c>
      <c r="F65" s="13" t="s">
        <v>33</v>
      </c>
      <c r="G65" s="13" t="s">
        <v>30</v>
      </c>
      <c r="H65" s="13" t="s">
        <v>32</v>
      </c>
      <c r="I65" s="13" t="s">
        <v>32</v>
      </c>
      <c r="J65" s="13" t="s">
        <v>33</v>
      </c>
      <c r="K65" s="13" t="s">
        <v>32</v>
      </c>
      <c r="L65" s="13" t="s">
        <v>30</v>
      </c>
      <c r="M65" s="14" t="str">
        <f aca="false">COUNTIF(D65:L65,"U")</f>
        <v>0</v>
      </c>
      <c r="N65" s="15" t="str">
        <f aca="false">COUNTIF(D65:M65,"UA")</f>
        <v>0</v>
      </c>
      <c r="O65" s="14" t="str">
        <f aca="false">M65+N65</f>
        <v>0</v>
      </c>
      <c r="P65" s="16" t="str">
        <f aca="false">IF(AND(M65=0,N65=0),"PASS","FAIL")</f>
        <v>PASS</v>
      </c>
      <c r="Q65" s="0" t="str">
        <f aca="false">IF(OR(D65="U",E65="U",F65="U",G65="U",H65="U",I65="U",J65="U",K65="U",L65="U"),"FAIL",IF(OR(D65="UA",E65="UA",F65="UA",G65="UA",H65="UA",I65="UA",J65="UA",K65="UA",L65="UA"),"FAIL","PASS"))</f>
        <v>PASS</v>
      </c>
    </row>
    <row r="66" customFormat="false" ht="15.75" hidden="false" customHeight="true" outlineLevel="0" collapsed="false">
      <c r="A66" s="10" t="n">
        <v>59</v>
      </c>
      <c r="B66" s="11" t="n">
        <v>511523205061</v>
      </c>
      <c r="C66" s="12" t="s">
        <v>92</v>
      </c>
      <c r="D66" s="13" t="s">
        <v>32</v>
      </c>
      <c r="E66" s="13" t="s">
        <v>35</v>
      </c>
      <c r="F66" s="13" t="s">
        <v>35</v>
      </c>
      <c r="G66" s="13" t="s">
        <v>33</v>
      </c>
      <c r="H66" s="13" t="s">
        <v>32</v>
      </c>
      <c r="I66" s="13" t="s">
        <v>32</v>
      </c>
      <c r="J66" s="13" t="s">
        <v>33</v>
      </c>
      <c r="K66" s="13" t="s">
        <v>32</v>
      </c>
      <c r="L66" s="13" t="s">
        <v>33</v>
      </c>
      <c r="M66" s="14" t="str">
        <f aca="false">COUNTIF(D66:L66,"U")</f>
        <v>0</v>
      </c>
      <c r="N66" s="15" t="str">
        <f aca="false">COUNTIF(D66:M66,"UA")</f>
        <v>0</v>
      </c>
      <c r="O66" s="14" t="str">
        <f aca="false">M66+N66</f>
        <v>0</v>
      </c>
      <c r="P66" s="16" t="str">
        <f aca="false">IF(AND(M66=0,N66=0),"PASS","FAIL")</f>
        <v>PASS</v>
      </c>
      <c r="Q66" s="0" t="str">
        <f aca="false">IF(OR(D66="U",E66="U",F66="U",G66="U",H66="U",I66="U",J66="U",K66="U",L66="U"),"FAIL",IF(OR(D66="UA",E66="UA",F66="UA",G66="UA",H66="UA",I66="UA",J66="UA",K66="UA",L66="UA"),"FAIL","PASS"))</f>
        <v>PASS</v>
      </c>
    </row>
    <row r="67" customFormat="false" ht="15.75" hidden="false" customHeight="true" outlineLevel="0" collapsed="false">
      <c r="A67" s="10" t="n">
        <v>60</v>
      </c>
      <c r="B67" s="11" t="n">
        <v>511523205062</v>
      </c>
      <c r="C67" s="12" t="s">
        <v>93</v>
      </c>
      <c r="D67" s="13" t="s">
        <v>28</v>
      </c>
      <c r="E67" s="13" t="s">
        <v>29</v>
      </c>
      <c r="F67" s="13" t="s">
        <v>33</v>
      </c>
      <c r="G67" s="13" t="s">
        <v>29</v>
      </c>
      <c r="H67" s="13" t="s">
        <v>28</v>
      </c>
      <c r="I67" s="13" t="s">
        <v>28</v>
      </c>
      <c r="J67" s="13" t="s">
        <v>29</v>
      </c>
      <c r="K67" s="13" t="s">
        <v>28</v>
      </c>
      <c r="L67" s="13" t="s">
        <v>29</v>
      </c>
      <c r="M67" s="14" t="str">
        <f aca="false">COUNTIF(D67:L67,"U")</f>
        <v>4</v>
      </c>
      <c r="N67" s="15" t="str">
        <f aca="false">COUNTIF(D67:M67,"UA")</f>
        <v>0</v>
      </c>
      <c r="O67" s="14" t="str">
        <f aca="false">M67+N67</f>
        <v>4</v>
      </c>
      <c r="P67" s="16" t="str">
        <f aca="false">IF(AND(M67=0,N67=0),"PASS","FAIL")</f>
        <v>FAIL</v>
      </c>
      <c r="Q67" s="0" t="str">
        <f aca="false">IF(OR(D67="U",E67="U",F67="U",G67="U",H67="U",I67="U",J67="U",K67="U",L67="U"),"FAIL",IF(OR(D67="UA",E67="UA",F67="UA",G67="UA",H67="UA",I67="UA",J67="UA",K67="UA",L67="UA"),"FAIL","PASS"))</f>
        <v>FAIL</v>
      </c>
    </row>
    <row r="68" customFormat="false" ht="15.75" hidden="false" customHeight="true" outlineLevel="0" collapsed="false">
      <c r="A68" s="10" t="n">
        <v>61</v>
      </c>
      <c r="B68" s="11" t="n">
        <v>511523205063</v>
      </c>
      <c r="C68" s="12" t="s">
        <v>94</v>
      </c>
      <c r="D68" s="13" t="s">
        <v>35</v>
      </c>
      <c r="E68" s="13" t="s">
        <v>29</v>
      </c>
      <c r="F68" s="13" t="s">
        <v>33</v>
      </c>
      <c r="G68" s="13" t="s">
        <v>29</v>
      </c>
      <c r="H68" s="13" t="s">
        <v>28</v>
      </c>
      <c r="I68" s="13" t="s">
        <v>28</v>
      </c>
      <c r="J68" s="13" t="s">
        <v>82</v>
      </c>
      <c r="K68" s="13" t="s">
        <v>28</v>
      </c>
      <c r="L68" s="13" t="s">
        <v>30</v>
      </c>
      <c r="M68" s="14" t="str">
        <f aca="false">COUNTIF(D68:L68,"U")</f>
        <v>2</v>
      </c>
      <c r="N68" s="15" t="str">
        <f aca="false">COUNTIF(D68:M68,"UA")</f>
        <v>1</v>
      </c>
      <c r="O68" s="14" t="str">
        <f aca="false">M68+N68</f>
        <v>3</v>
      </c>
      <c r="P68" s="16" t="str">
        <f aca="false">IF(AND(M68=0,N68=0),"PASS","FAIL")</f>
        <v>FAIL</v>
      </c>
      <c r="Q68" s="0" t="str">
        <f aca="false">IF(OR(D68="U",E68="U",F68="U",G68="U",H68="U",I68="U",J68="U",K68="U",L68="U"),"FAIL",IF(OR(D68="UA",E68="UA",F68="UA",G68="UA",H68="UA",I68="UA",J68="UA",K68="UA",L68="UA"),"FAIL","PASS"))</f>
        <v>FAIL</v>
      </c>
    </row>
    <row r="69" customFormat="false" ht="15.75" hidden="false" customHeight="true" outlineLevel="0" collapsed="false">
      <c r="A69" s="10" t="n">
        <v>62</v>
      </c>
      <c r="B69" s="11" t="n">
        <v>511523205064</v>
      </c>
      <c r="C69" s="12" t="s">
        <v>95</v>
      </c>
      <c r="D69" s="13" t="s">
        <v>28</v>
      </c>
      <c r="E69" s="13" t="s">
        <v>29</v>
      </c>
      <c r="F69" s="13" t="s">
        <v>33</v>
      </c>
      <c r="G69" s="13" t="s">
        <v>29</v>
      </c>
      <c r="H69" s="13" t="s">
        <v>28</v>
      </c>
      <c r="I69" s="13" t="s">
        <v>28</v>
      </c>
      <c r="J69" s="13" t="s">
        <v>33</v>
      </c>
      <c r="K69" s="13" t="s">
        <v>32</v>
      </c>
      <c r="L69" s="13" t="s">
        <v>29</v>
      </c>
      <c r="M69" s="14" t="str">
        <f aca="false">COUNTIF(D69:L69,"U")</f>
        <v>3</v>
      </c>
      <c r="N69" s="15" t="str">
        <f aca="false">COUNTIF(D69:M69,"UA")</f>
        <v>0</v>
      </c>
      <c r="O69" s="14" t="str">
        <f aca="false">M69+N69</f>
        <v>3</v>
      </c>
      <c r="P69" s="16" t="str">
        <f aca="false">IF(AND(M69=0,N69=0),"PASS","FAIL")</f>
        <v>FAIL</v>
      </c>
      <c r="Q69" s="0" t="str">
        <f aca="false">IF(OR(D69="U",E69="U",F69="U",G69="U",H69="U",I69="U",J69="U",K69="U",L69="U"),"FAIL",IF(OR(D69="UA",E69="UA",F69="UA",G69="UA",H69="UA",I69="UA",J69="UA",K69="UA",L69="UA"),"FAIL","PASS"))</f>
        <v>FAIL</v>
      </c>
    </row>
    <row r="70" customFormat="false" ht="15.75" hidden="false" customHeight="true" outlineLevel="0" collapsed="false">
      <c r="A70" s="10" t="n">
        <v>63</v>
      </c>
      <c r="B70" s="11" t="n">
        <v>511523205301</v>
      </c>
      <c r="C70" s="18" t="s">
        <v>96</v>
      </c>
      <c r="D70" s="13" t="s">
        <v>32</v>
      </c>
      <c r="E70" s="13" t="s">
        <v>29</v>
      </c>
      <c r="F70" s="13" t="s">
        <v>33</v>
      </c>
      <c r="G70" s="13" t="s">
        <v>30</v>
      </c>
      <c r="H70" s="13" t="s">
        <v>32</v>
      </c>
      <c r="I70" s="13" t="s">
        <v>32</v>
      </c>
      <c r="J70" s="17" t="s">
        <v>33</v>
      </c>
      <c r="K70" s="17" t="s">
        <v>32</v>
      </c>
      <c r="L70" s="17" t="s">
        <v>29</v>
      </c>
      <c r="M70" s="14" t="str">
        <f aca="false">COUNTIF(D70:L70,"U")</f>
        <v>2</v>
      </c>
      <c r="N70" s="15" t="str">
        <f aca="false">COUNTIF(D70:M70,"UA")</f>
        <v>0</v>
      </c>
      <c r="O70" s="14" t="str">
        <f aca="false">M70+N70</f>
        <v>2</v>
      </c>
      <c r="P70" s="16" t="str">
        <f aca="false">IF(AND(M70=0,N70=0),"PASS","FAIL")</f>
        <v>FAIL</v>
      </c>
      <c r="Q70" s="0" t="str">
        <f aca="false">IF(OR(D70="U",E70="U",F70="U",G70="U",H70="U",I70="U",J70="U",K70="U",L70="U"),"FAIL",IF(OR(D70="UA",E70="UA",F70="UA",G70="UA",H70="UA",I70="UA",J70="UA",K70="UA",L70="UA"),"FAIL","PASS"))</f>
        <v>FAIL</v>
      </c>
    </row>
    <row r="71" customFormat="false" ht="15.75" hidden="false" customHeight="true" outlineLevel="0" collapsed="false">
      <c r="A71" s="10" t="n">
        <v>64</v>
      </c>
      <c r="B71" s="11" t="n">
        <v>511523205701</v>
      </c>
      <c r="C71" s="18" t="s">
        <v>97</v>
      </c>
      <c r="D71" s="13" t="s">
        <v>28</v>
      </c>
      <c r="E71" s="13" t="s">
        <v>29</v>
      </c>
      <c r="F71" s="13" t="s">
        <v>33</v>
      </c>
      <c r="G71" s="13" t="s">
        <v>30</v>
      </c>
      <c r="H71" s="13" t="s">
        <v>35</v>
      </c>
      <c r="I71" s="13" t="s">
        <v>32</v>
      </c>
      <c r="J71" s="13" t="s">
        <v>29</v>
      </c>
      <c r="K71" s="13" t="s">
        <v>28</v>
      </c>
      <c r="L71" s="13" t="s">
        <v>30</v>
      </c>
      <c r="M71" s="14" t="str">
        <f aca="false">COUNTIF(D71:L71,"U")</f>
        <v>2</v>
      </c>
      <c r="N71" s="15" t="str">
        <f aca="false">COUNTIF(D71:M71,"UA")</f>
        <v>0</v>
      </c>
      <c r="O71" s="14" t="str">
        <f aca="false">M71+N71</f>
        <v>2</v>
      </c>
      <c r="P71" s="16" t="str">
        <f aca="false">IF(AND(M71=0,N71=0),"PASS","FAIL")</f>
        <v>FAIL</v>
      </c>
      <c r="Q71" s="0" t="str">
        <f aca="false">IF(OR(D71="U",E71="U",F71="U",G71="U",H71="U",I71="U",J71="U",K71="U",L71="U"),"FAIL",IF(OR(D71="UA",E71="UA",F71="UA",G71="UA",H71="UA",I71="UA",J71="UA",K71="UA",L71="UA"),"FAIL","PASS"))</f>
        <v>FAIL</v>
      </c>
    </row>
    <row r="72" customFormat="false" ht="15.75" hidden="false" customHeight="true" outlineLevel="0" collapsed="false">
      <c r="A72" s="19" t="s">
        <v>98</v>
      </c>
      <c r="B72" s="19"/>
      <c r="C72" s="19"/>
      <c r="D72" s="20" t="str">
        <f aca="false">COUNT($A$8:$A$71)</f>
        <v>64</v>
      </c>
      <c r="E72" s="20" t="str">
        <f aca="false">COUNT($A$8:$A$71)</f>
        <v>64</v>
      </c>
      <c r="F72" s="20" t="str">
        <f aca="false">COUNT($A$8:$A$71)</f>
        <v>64</v>
      </c>
      <c r="G72" s="20" t="str">
        <f aca="false">COUNT($A$8:$A$71)</f>
        <v>64</v>
      </c>
      <c r="H72" s="20" t="str">
        <f aca="false">COUNT($A$8:$A$71)</f>
        <v>64</v>
      </c>
      <c r="I72" s="20" t="str">
        <f aca="false">COUNT($A$8:$A$71)</f>
        <v>64</v>
      </c>
      <c r="J72" s="20" t="str">
        <f aca="false">COUNT($A$8:$A$71)</f>
        <v>64</v>
      </c>
      <c r="K72" s="20" t="str">
        <f aca="false">COUNT($A$8:$A$71)</f>
        <v>64</v>
      </c>
      <c r="L72" s="20" t="str">
        <f aca="false">COUNT($A$8:$A$71)</f>
        <v>64</v>
      </c>
      <c r="N72" s="21"/>
      <c r="O72" s="21"/>
      <c r="P72" s="22"/>
    </row>
    <row r="73" customFormat="false" ht="15.75" hidden="false" customHeight="true" outlineLevel="0" collapsed="false">
      <c r="A73" s="19" t="s">
        <v>99</v>
      </c>
      <c r="B73" s="19"/>
      <c r="C73" s="19"/>
      <c r="D73" s="23" t="str">
        <f aca="false">COUNTIF(D8:D71,"UA")</f>
        <v>0</v>
      </c>
      <c r="E73" s="23" t="str">
        <f aca="false">COUNTIF(E8:E71,"UA")</f>
        <v>1</v>
      </c>
      <c r="F73" s="23" t="str">
        <f aca="false">COUNTIF(F8:F71,"UA")</f>
        <v>0</v>
      </c>
      <c r="G73" s="23" t="str">
        <f aca="false">COUNTIF(G8:G71,"UA")</f>
        <v>1</v>
      </c>
      <c r="H73" s="23" t="str">
        <f aca="false">COUNTIF(H8:H71,"UA")</f>
        <v>0</v>
      </c>
      <c r="I73" s="23" t="str">
        <f aca="false">COUNTIF(I8:I71,"UA")</f>
        <v>0</v>
      </c>
      <c r="J73" s="23" t="str">
        <f aca="false">COUNTIF(J8:J71,"UA")</f>
        <v>2</v>
      </c>
      <c r="K73" s="23" t="str">
        <f aca="false">COUNTIF(K8:K71,"UA")</f>
        <v>0</v>
      </c>
      <c r="L73" s="23" t="str">
        <f aca="false">COUNTIF(L8:L71,"UA")</f>
        <v>1</v>
      </c>
      <c r="M73" s="24" t="s">
        <v>100</v>
      </c>
      <c r="N73" s="24"/>
      <c r="O73" s="24"/>
      <c r="P73" s="24"/>
      <c r="Q73" s="25"/>
    </row>
    <row r="74" customFormat="false" ht="15.75" hidden="false" customHeight="true" outlineLevel="0" collapsed="false">
      <c r="A74" s="19" t="s">
        <v>101</v>
      </c>
      <c r="B74" s="19"/>
      <c r="C74" s="19"/>
      <c r="D74" s="23" t="str">
        <f aca="false">D72-D73</f>
        <v>64</v>
      </c>
      <c r="E74" s="23" t="str">
        <f aca="false">E72-E73</f>
        <v>63</v>
      </c>
      <c r="F74" s="23" t="str">
        <f aca="false">F72-F73</f>
        <v>64</v>
      </c>
      <c r="G74" s="23" t="str">
        <f aca="false">G72-G73</f>
        <v>63</v>
      </c>
      <c r="H74" s="23" t="str">
        <f aca="false">H72-H73</f>
        <v>64</v>
      </c>
      <c r="I74" s="23" t="str">
        <f aca="false">I72-I73</f>
        <v>64</v>
      </c>
      <c r="J74" s="23" t="str">
        <f aca="false">J72-J73</f>
        <v>62</v>
      </c>
      <c r="K74" s="23" t="str">
        <f aca="false">K72-K73</f>
        <v>64</v>
      </c>
      <c r="L74" s="23" t="str">
        <f aca="false">L72-L73</f>
        <v>63</v>
      </c>
      <c r="M74" s="26"/>
      <c r="N74" s="27" t="str">
        <f aca="false">D86/64*100</f>
        <v>50</v>
      </c>
      <c r="O74" s="21"/>
      <c r="P74" s="22"/>
      <c r="Q74" s="25"/>
    </row>
    <row r="75" customFormat="false" ht="15.75" hidden="false" customHeight="true" outlineLevel="0" collapsed="false">
      <c r="A75" s="19" t="s">
        <v>102</v>
      </c>
      <c r="B75" s="19"/>
      <c r="C75" s="19"/>
      <c r="D75" s="23" t="str">
        <f aca="false">COUNTIF(D8:D71,"U")</f>
        <v>0</v>
      </c>
      <c r="E75" s="23" t="str">
        <f aca="false">COUNTIF(E8:E71,"U")</f>
        <v>23</v>
      </c>
      <c r="F75" s="23" t="str">
        <f aca="false">COUNTIF(F8:F71,"U")</f>
        <v>1</v>
      </c>
      <c r="G75" s="23" t="str">
        <f aca="false">COUNTIF(G8:G71,"U")</f>
        <v>13</v>
      </c>
      <c r="H75" s="23" t="str">
        <f aca="false">COUNTIF(H8:H71,"U")</f>
        <v>0</v>
      </c>
      <c r="I75" s="23" t="str">
        <f aca="false">COUNTIF(I8:I71,"U")</f>
        <v>0</v>
      </c>
      <c r="J75" s="23" t="str">
        <f aca="false">COUNTIF(J8:J71,"U")</f>
        <v>13</v>
      </c>
      <c r="K75" s="23" t="str">
        <f aca="false">COUNTIF(K8:K71,"U")</f>
        <v>0</v>
      </c>
      <c r="L75" s="23" t="str">
        <f aca="false">COUNTIF(L8:L71,"U")</f>
        <v>16</v>
      </c>
      <c r="M75" s="26"/>
      <c r="O75" s="21"/>
      <c r="P75" s="22"/>
      <c r="Q75" s="25"/>
    </row>
    <row r="76" customFormat="false" ht="15.75" hidden="false" customHeight="true" outlineLevel="0" collapsed="false">
      <c r="A76" s="19" t="s">
        <v>103</v>
      </c>
      <c r="B76" s="19"/>
      <c r="C76" s="19"/>
      <c r="D76" s="23" t="str">
        <f aca="false">D78-D75</f>
        <v>64</v>
      </c>
      <c r="E76" s="23" t="str">
        <f aca="false">E78-E75</f>
        <v>40</v>
      </c>
      <c r="F76" s="23" t="str">
        <f aca="false">F78-F75</f>
        <v>63</v>
      </c>
      <c r="G76" s="23" t="str">
        <f aca="false">G78-G75</f>
        <v>50</v>
      </c>
      <c r="H76" s="23" t="str">
        <f aca="false">H78-H75</f>
        <v>64</v>
      </c>
      <c r="I76" s="23" t="str">
        <f aca="false">I78-I75</f>
        <v>64</v>
      </c>
      <c r="J76" s="23" t="str">
        <f aca="false">J78-J75</f>
        <v>49</v>
      </c>
      <c r="K76" s="23" t="str">
        <f aca="false">K78-K75</f>
        <v>64</v>
      </c>
      <c r="L76" s="23" t="str">
        <f aca="false">L78-L75</f>
        <v>47</v>
      </c>
      <c r="M76" s="28" t="s">
        <v>104</v>
      </c>
      <c r="N76" s="29"/>
      <c r="O76" s="29" t="s">
        <v>105</v>
      </c>
      <c r="P76" s="30" t="str">
        <f aca="false">COUNTIF($O$8:$O$71,"1")</f>
        <v>13</v>
      </c>
    </row>
    <row r="77" customFormat="false" ht="15.75" hidden="false" customHeight="true" outlineLevel="0" collapsed="false">
      <c r="A77" s="31" t="s">
        <v>106</v>
      </c>
      <c r="B77" s="31"/>
      <c r="C77" s="31"/>
      <c r="D77" s="23" t="str">
        <f aca="false">COUNTIF(D8:D63,"")</f>
        <v>0</v>
      </c>
      <c r="E77" s="23" t="str">
        <f aca="false">COUNTIF(E8:E63,"")</f>
        <v>0</v>
      </c>
      <c r="F77" s="23" t="str">
        <f aca="false">COUNTIF(F8:F63,"")</f>
        <v>0</v>
      </c>
      <c r="G77" s="23" t="str">
        <f aca="false">COUNTIF(G8:G63,"")</f>
        <v>0</v>
      </c>
      <c r="H77" s="23" t="str">
        <f aca="false">COUNTIF(H8:H63,"")</f>
        <v>0</v>
      </c>
      <c r="I77" s="23" t="str">
        <f aca="false">COUNTIF(I8:I63,"")</f>
        <v>0</v>
      </c>
      <c r="J77" s="23" t="str">
        <f aca="false">COUNTIF(J8:J63,"")</f>
        <v>0</v>
      </c>
      <c r="K77" s="23" t="str">
        <f aca="false">COUNTIF(K8:K63,"")</f>
        <v>0</v>
      </c>
      <c r="L77" s="23" t="str">
        <f aca="false">COUNTIF(L8:L63,"")</f>
        <v>0</v>
      </c>
      <c r="M77" s="28" t="s">
        <v>107</v>
      </c>
      <c r="N77" s="32"/>
      <c r="O77" s="29" t="s">
        <v>105</v>
      </c>
      <c r="P77" s="30" t="str">
        <f aca="false">COUNTIF($O$8:$O$71,"2")</f>
        <v>8</v>
      </c>
    </row>
    <row r="78" customFormat="false" ht="15.75" hidden="false" customHeight="true" outlineLevel="0" collapsed="false">
      <c r="A78" s="31" t="s">
        <v>108</v>
      </c>
      <c r="B78" s="31"/>
      <c r="C78" s="31"/>
      <c r="D78" s="23" t="str">
        <f aca="false">D74-D77</f>
        <v>64</v>
      </c>
      <c r="E78" s="23" t="str">
        <f aca="false">E74-E77</f>
        <v>63</v>
      </c>
      <c r="F78" s="23" t="str">
        <f aca="false">F74-F77</f>
        <v>64</v>
      </c>
      <c r="G78" s="23" t="str">
        <f aca="false">G74-G77</f>
        <v>63</v>
      </c>
      <c r="H78" s="23" t="str">
        <f aca="false">H74-H77</f>
        <v>64</v>
      </c>
      <c r="I78" s="23" t="str">
        <f aca="false">I74-I77</f>
        <v>64</v>
      </c>
      <c r="J78" s="23" t="str">
        <f aca="false">J74-J77</f>
        <v>62</v>
      </c>
      <c r="K78" s="23" t="str">
        <f aca="false">K74-K77</f>
        <v>64</v>
      </c>
      <c r="L78" s="23" t="str">
        <f aca="false">L74-L77</f>
        <v>63</v>
      </c>
      <c r="M78" s="28" t="s">
        <v>109</v>
      </c>
      <c r="N78" s="29"/>
      <c r="O78" s="29" t="s">
        <v>105</v>
      </c>
      <c r="P78" s="30" t="str">
        <f aca="false">COUNTIF($O$8:$O$71,"3")</f>
        <v>2</v>
      </c>
    </row>
    <row r="79" customFormat="false" ht="15.75" hidden="false" customHeight="true" outlineLevel="0" collapsed="false">
      <c r="A79" s="19" t="s">
        <v>110</v>
      </c>
      <c r="B79" s="19"/>
      <c r="C79" s="19"/>
      <c r="D79" s="33" t="str">
        <f aca="false">(D76/D78)*100</f>
        <v>100</v>
      </c>
      <c r="E79" s="33" t="str">
        <f aca="false">(E76/E78)*100</f>
        <v>63</v>
      </c>
      <c r="F79" s="33" t="str">
        <f aca="false">(F76/F78)*100</f>
        <v>98</v>
      </c>
      <c r="G79" s="33" t="str">
        <f aca="false">(G76/G78)*100</f>
        <v>79</v>
      </c>
      <c r="H79" s="33" t="str">
        <f aca="false">(H76/H78)*100</f>
        <v>100</v>
      </c>
      <c r="I79" s="33" t="str">
        <f aca="false">(I76/I78)*100</f>
        <v>100</v>
      </c>
      <c r="J79" s="33" t="str">
        <f aca="false">(J76/J78)*100</f>
        <v>79</v>
      </c>
      <c r="K79" s="33" t="str">
        <f aca="false">(K76/K78)*100</f>
        <v>100</v>
      </c>
      <c r="L79" s="33" t="str">
        <f aca="false">(L76/L78)*100</f>
        <v>75</v>
      </c>
      <c r="M79" s="28" t="s">
        <v>111</v>
      </c>
      <c r="N79" s="29"/>
      <c r="O79" s="29" t="s">
        <v>105</v>
      </c>
      <c r="P79" s="30" t="str">
        <f aca="false">COUNTIF($O$8:$O$71,"4")</f>
        <v>9</v>
      </c>
      <c r="Q79" s="34"/>
    </row>
    <row r="80" customFormat="false" ht="15.75" hidden="false" customHeight="true" outlineLevel="0" collapsed="false">
      <c r="A80" s="19" t="s">
        <v>112</v>
      </c>
      <c r="B80" s="19"/>
      <c r="C80" s="19"/>
      <c r="D80" s="23" t="str">
        <f aca="false">COUNTIF(D8:D71,"O")</f>
        <v>45</v>
      </c>
      <c r="E80" s="23" t="str">
        <f aca="false">COUNTIF(E8:E71,"O")</f>
        <v>0</v>
      </c>
      <c r="F80" s="23" t="str">
        <f aca="false">COUNTIF(F8:F71,"O")</f>
        <v>0</v>
      </c>
      <c r="G80" s="23" t="str">
        <f aca="false">COUNTIF(G8:G71,"O")</f>
        <v>0</v>
      </c>
      <c r="H80" s="23" t="str">
        <f aca="false">COUNTIF(H8:H71,"O")</f>
        <v>51</v>
      </c>
      <c r="I80" s="23" t="str">
        <f aca="false">COUNTIF(I8:I71,"O")</f>
        <v>57</v>
      </c>
      <c r="J80" s="23" t="str">
        <f aca="false">COUNTIF(J8:J71,"O")</f>
        <v>0</v>
      </c>
      <c r="K80" s="23" t="str">
        <f aca="false">COUNTIF(K8:K71,"O")</f>
        <v>47</v>
      </c>
      <c r="L80" s="23" t="str">
        <f aca="false">COUNTIF(L8:L71,"O")</f>
        <v>1</v>
      </c>
      <c r="M80" s="28"/>
      <c r="N80" s="29"/>
      <c r="O80" s="29"/>
      <c r="P80" s="30"/>
    </row>
    <row r="81" customFormat="false" ht="15.75" hidden="false" customHeight="true" outlineLevel="0" collapsed="false">
      <c r="A81" s="19" t="s">
        <v>113</v>
      </c>
      <c r="B81" s="19"/>
      <c r="C81" s="19"/>
      <c r="D81" s="23" t="str">
        <f aca="false">COUNTIF(D8:D71,"A+")</f>
        <v>16</v>
      </c>
      <c r="E81" s="23" t="str">
        <f aca="false">COUNTIF(E8:E71,"A+")</f>
        <v>0</v>
      </c>
      <c r="F81" s="23" t="str">
        <f aca="false">COUNTIF(F8:F71,"A+")</f>
        <v>2</v>
      </c>
      <c r="G81" s="23" t="str">
        <f aca="false">COUNTIF(G8:G71,"A+")</f>
        <v>2</v>
      </c>
      <c r="H81" s="23" t="str">
        <f aca="false">COUNTIF(H8:H71,"A+")</f>
        <v>12</v>
      </c>
      <c r="I81" s="23" t="str">
        <f aca="false">COUNTIF(I8:I71,"A+")</f>
        <v>7</v>
      </c>
      <c r="J81" s="23" t="str">
        <f aca="false">COUNTIF(J8:J71,"A+")</f>
        <v>5</v>
      </c>
      <c r="K81" s="23" t="str">
        <f aca="false">COUNTIF(K8:K71,"A+")</f>
        <v>17</v>
      </c>
      <c r="L81" s="23" t="str">
        <f aca="false">COUNTIF(L8:L71,"A+")</f>
        <v>2</v>
      </c>
      <c r="M81" s="35"/>
      <c r="N81" s="36"/>
      <c r="O81" s="36"/>
      <c r="P81" s="37"/>
    </row>
    <row r="82" customFormat="false" ht="15" hidden="false" customHeight="true" outlineLevel="0" collapsed="false">
      <c r="A82" s="19" t="s">
        <v>114</v>
      </c>
      <c r="B82" s="19"/>
      <c r="C82" s="19"/>
      <c r="D82" s="23" t="str">
        <f aca="false">COUNTIF(D8:D71,"A")</f>
        <v>3</v>
      </c>
      <c r="E82" s="23" t="str">
        <f aca="false">COUNTIF(E8:E71,"A")</f>
        <v>14</v>
      </c>
      <c r="F82" s="23" t="str">
        <f aca="false">COUNTIF(F8:F71,"A")</f>
        <v>36</v>
      </c>
      <c r="G82" s="23" t="str">
        <f aca="false">COUNTIF(G8:G71,"A")</f>
        <v>9</v>
      </c>
      <c r="H82" s="23" t="str">
        <f aca="false">COUNTIF(H8:H71,"A")</f>
        <v>1</v>
      </c>
      <c r="I82" s="23" t="str">
        <f aca="false">COUNTIF(I8:I71,"A")</f>
        <v>0</v>
      </c>
      <c r="J82" s="23" t="str">
        <f aca="false">COUNTIF(J8:J71,"A")</f>
        <v>14</v>
      </c>
      <c r="K82" s="23" t="str">
        <f aca="false">COUNTIF(K8:K71,"A")</f>
        <v>0</v>
      </c>
      <c r="L82" s="23" t="str">
        <f aca="false">COUNTIF(L8:L71,"A")</f>
        <v>6</v>
      </c>
      <c r="M82" s="35"/>
      <c r="N82" s="36"/>
      <c r="O82" s="36"/>
      <c r="P82" s="37"/>
    </row>
    <row r="83" customFormat="false" ht="15" hidden="false" customHeight="true" outlineLevel="0" collapsed="false">
      <c r="A83" s="19" t="s">
        <v>115</v>
      </c>
      <c r="B83" s="19"/>
      <c r="C83" s="19"/>
      <c r="D83" s="23" t="str">
        <f aca="false">COUNTIF(D8:D71,"B+")</f>
        <v>0</v>
      </c>
      <c r="E83" s="23" t="str">
        <f aca="false">COUNTIF(E8:E71,"B+")</f>
        <v>22</v>
      </c>
      <c r="F83" s="23" t="str">
        <f aca="false">COUNTIF(F8:F71,"B+")</f>
        <v>24</v>
      </c>
      <c r="G83" s="23" t="str">
        <f aca="false">COUNTIF(G8:G71,"B+")</f>
        <v>33</v>
      </c>
      <c r="H83" s="23" t="str">
        <f aca="false">COUNTIF(H8:H71,"B+")</f>
        <v>0</v>
      </c>
      <c r="I83" s="23" t="str">
        <f aca="false">COUNTIF(I8:I71,"B+")</f>
        <v>0</v>
      </c>
      <c r="J83" s="23" t="str">
        <f aca="false">COUNTIF(J8:J71,"B+")</f>
        <v>30</v>
      </c>
      <c r="K83" s="23" t="str">
        <f aca="false">COUNTIF(K8:K71,"B+")</f>
        <v>0</v>
      </c>
      <c r="L83" s="23" t="str">
        <f aca="false">COUNTIF(L8:L71,"B+")</f>
        <v>33</v>
      </c>
      <c r="M83" s="26"/>
      <c r="N83" s="21"/>
      <c r="O83" s="21"/>
      <c r="P83" s="22"/>
    </row>
    <row r="84" customFormat="false" ht="15" hidden="false" customHeight="true" outlineLevel="0" collapsed="false">
      <c r="A84" s="19" t="s">
        <v>116</v>
      </c>
      <c r="B84" s="19"/>
      <c r="C84" s="19"/>
      <c r="D84" s="23" t="str">
        <f aca="false">COUNTIF(D7:D71,"B")</f>
        <v>0</v>
      </c>
      <c r="E84" s="23" t="str">
        <f aca="false">COUNTIF(E7:E71,"B")</f>
        <v>4</v>
      </c>
      <c r="F84" s="23" t="str">
        <f aca="false">COUNTIF(F7:F71,"B")</f>
        <v>1</v>
      </c>
      <c r="G84" s="23" t="str">
        <f aca="false">COUNTIF(G7:G71,"B")</f>
        <v>6</v>
      </c>
      <c r="H84" s="23" t="str">
        <f aca="false">COUNTIF(H7:H71,"B")</f>
        <v>0</v>
      </c>
      <c r="I84" s="23" t="str">
        <f aca="false">COUNTIF(I7:I71,"B")</f>
        <v>0</v>
      </c>
      <c r="J84" s="23" t="str">
        <f aca="false">COUNTIF(J7:J71,"B")</f>
        <v>0</v>
      </c>
      <c r="K84" s="23" t="str">
        <f aca="false">COUNTIF(K7:K71,"B")</f>
        <v>0</v>
      </c>
      <c r="L84" s="23" t="str">
        <f aca="false">COUNTIF(L7:L71,"B")</f>
        <v>5</v>
      </c>
      <c r="M84" s="38"/>
      <c r="N84" s="39"/>
      <c r="O84" s="39"/>
      <c r="P84" s="40"/>
    </row>
    <row r="85" customFormat="false" ht="15.75" hidden="false" customHeight="true" outlineLevel="0" collapsed="false">
      <c r="A85" s="41"/>
      <c r="B85" s="42"/>
      <c r="C85" s="43" t="s">
        <v>117</v>
      </c>
      <c r="D85" s="23" t="str">
        <f aca="false">COUNTIF(D7:D71,"C")</f>
        <v>0</v>
      </c>
      <c r="E85" s="23" t="str">
        <f aca="false">COUNTIF(E7:E71,"C")</f>
        <v>0</v>
      </c>
      <c r="F85" s="23" t="str">
        <f aca="false">COUNTIF(F7:F71,"C")</f>
        <v>0</v>
      </c>
      <c r="G85" s="23" t="str">
        <f aca="false">COUNTIF(G7:G71,"C")</f>
        <v>0</v>
      </c>
      <c r="H85" s="23" t="str">
        <f aca="false">COUNTIF(H7:H71,"C")</f>
        <v>0</v>
      </c>
      <c r="I85" s="23" t="str">
        <f aca="false">COUNTIF(I7:I71,"C")</f>
        <v>0</v>
      </c>
      <c r="J85" s="23" t="str">
        <f aca="false">COUNTIF(J7:J71,"C")</f>
        <v>0</v>
      </c>
      <c r="K85" s="23" t="str">
        <f aca="false">COUNTIF(K7:K71,"C")</f>
        <v>0</v>
      </c>
      <c r="L85" s="23" t="str">
        <f aca="false">COUNTIF(L7:L71,"C")</f>
        <v>0</v>
      </c>
      <c r="M85" s="44"/>
      <c r="N85" s="45"/>
      <c r="O85" s="45"/>
      <c r="P85" s="46"/>
    </row>
    <row r="86" customFormat="false" ht="15.75" hidden="false" customHeight="true" outlineLevel="0" collapsed="false">
      <c r="A86" s="47" t="s">
        <v>118</v>
      </c>
      <c r="B86" s="47"/>
      <c r="C86" s="47"/>
      <c r="D86" s="48" t="str">
        <f aca="false">COUNTIF(P8:P71,"PASS")</f>
        <v>32</v>
      </c>
      <c r="E86" s="48"/>
      <c r="F86" s="48"/>
      <c r="G86" s="48"/>
      <c r="H86" s="48"/>
      <c r="I86" s="48"/>
      <c r="J86" s="48"/>
      <c r="K86" s="48"/>
      <c r="L86" s="48"/>
      <c r="M86" s="49"/>
      <c r="N86" s="49"/>
      <c r="O86" s="49"/>
      <c r="P86" s="49"/>
    </row>
    <row r="87" customFormat="false" ht="29.25" hidden="false" customHeight="true" outlineLevel="0" collapsed="false">
      <c r="A87" s="47" t="s">
        <v>119</v>
      </c>
      <c r="B87" s="47"/>
      <c r="C87" s="47"/>
      <c r="D87" s="50" t="str">
        <f aca="false">D86/64*100</f>
        <v>50</v>
      </c>
      <c r="E87" s="50"/>
      <c r="F87" s="50"/>
      <c r="G87" s="50"/>
      <c r="H87" s="50"/>
      <c r="I87" s="50"/>
      <c r="J87" s="50"/>
      <c r="K87" s="50"/>
      <c r="L87" s="50"/>
      <c r="M87" s="49"/>
      <c r="N87" s="49"/>
      <c r="O87" s="49"/>
      <c r="P87" s="49"/>
    </row>
    <row r="88" customFormat="false" ht="15.75" hidden="false" customHeight="true" outlineLevel="0" collapsed="false">
      <c r="A88" s="51" t="s">
        <v>120</v>
      </c>
      <c r="B88" s="4"/>
    </row>
    <row r="89" customFormat="false" ht="51.75" hidden="false" customHeight="true" outlineLevel="0" collapsed="false">
      <c r="A89" s="52" t="s">
        <v>121</v>
      </c>
      <c r="B89" s="53" t="s">
        <v>122</v>
      </c>
      <c r="C89" s="52" t="s">
        <v>123</v>
      </c>
      <c r="D89" s="52"/>
      <c r="E89" s="52"/>
      <c r="F89" s="52" t="s">
        <v>124</v>
      </c>
      <c r="G89" s="52"/>
      <c r="H89" s="52" t="s">
        <v>125</v>
      </c>
      <c r="I89" s="52"/>
      <c r="J89" s="54" t="s">
        <v>126</v>
      </c>
      <c r="K89" s="54"/>
      <c r="L89" s="54"/>
      <c r="M89" s="55" t="s">
        <v>127</v>
      </c>
      <c r="N89" s="52" t="s">
        <v>128</v>
      </c>
      <c r="O89" s="52"/>
      <c r="P89" s="52"/>
    </row>
    <row r="90" customFormat="false" ht="26.25" hidden="false" customHeight="true" outlineLevel="0" collapsed="false">
      <c r="A90" s="56" t="n">
        <v>1</v>
      </c>
      <c r="B90" s="57" t="s">
        <v>129</v>
      </c>
      <c r="C90" s="58" t="s">
        <v>130</v>
      </c>
      <c r="D90" s="59"/>
      <c r="E90" s="60"/>
      <c r="F90" s="61" t="n">
        <v>64</v>
      </c>
      <c r="G90" s="61"/>
      <c r="H90" s="62" t="n">
        <v>64</v>
      </c>
      <c r="I90" s="62"/>
      <c r="J90" s="63" t="n">
        <v>63</v>
      </c>
      <c r="K90" s="63"/>
      <c r="L90" s="63"/>
      <c r="M90" s="64" t="n">
        <v>1</v>
      </c>
      <c r="N90" s="65" t="str">
        <f aca="false">(J90/H90)*100</f>
        <v>98.44</v>
      </c>
      <c r="O90" s="65"/>
      <c r="P90" s="65"/>
    </row>
    <row r="91" customFormat="false" ht="24" hidden="false" customHeight="true" outlineLevel="0" collapsed="false">
      <c r="A91" s="56" t="n">
        <v>2</v>
      </c>
      <c r="B91" s="66" t="s">
        <v>131</v>
      </c>
      <c r="C91" s="58" t="s">
        <v>132</v>
      </c>
      <c r="D91" s="59"/>
      <c r="E91" s="60"/>
      <c r="F91" s="61" t="n">
        <v>63</v>
      </c>
      <c r="G91" s="61"/>
      <c r="H91" s="62" t="n">
        <v>63</v>
      </c>
      <c r="I91" s="62"/>
      <c r="J91" s="63" t="n">
        <v>50</v>
      </c>
      <c r="K91" s="63"/>
      <c r="L91" s="63"/>
      <c r="M91" s="64" t="n">
        <v>13</v>
      </c>
      <c r="N91" s="65" t="str">
        <f aca="false">(J91/H91)*100</f>
        <v>79.37</v>
      </c>
      <c r="O91" s="65"/>
      <c r="P91" s="65"/>
    </row>
    <row r="92" customFormat="false" ht="25.5" hidden="false" customHeight="true" outlineLevel="0" collapsed="false">
      <c r="A92" s="56" t="n">
        <v>3</v>
      </c>
      <c r="B92" s="57" t="s">
        <v>133</v>
      </c>
      <c r="C92" s="58" t="s">
        <v>134</v>
      </c>
      <c r="D92" s="59"/>
      <c r="E92" s="60"/>
      <c r="F92" s="61" t="n">
        <v>63</v>
      </c>
      <c r="G92" s="61"/>
      <c r="H92" s="62" t="n">
        <v>63</v>
      </c>
      <c r="I92" s="62"/>
      <c r="J92" s="63" t="n">
        <v>40</v>
      </c>
      <c r="K92" s="63"/>
      <c r="L92" s="63"/>
      <c r="M92" s="67" t="n">
        <v>23</v>
      </c>
      <c r="N92" s="65" t="str">
        <f aca="false">(J92/H92)*100</f>
        <v>63.49</v>
      </c>
      <c r="O92" s="65"/>
      <c r="P92" s="65"/>
    </row>
    <row r="93" customFormat="false" ht="23.25" hidden="false" customHeight="true" outlineLevel="0" collapsed="false">
      <c r="A93" s="56" t="n">
        <v>4</v>
      </c>
      <c r="B93" s="57" t="s">
        <v>135</v>
      </c>
      <c r="C93" s="58" t="s">
        <v>136</v>
      </c>
      <c r="D93" s="59"/>
      <c r="E93" s="60"/>
      <c r="F93" s="61" t="n">
        <v>62</v>
      </c>
      <c r="G93" s="61"/>
      <c r="H93" s="62" t="n">
        <v>62</v>
      </c>
      <c r="I93" s="62"/>
      <c r="J93" s="63" t="n">
        <v>49</v>
      </c>
      <c r="K93" s="63"/>
      <c r="L93" s="63"/>
      <c r="M93" s="67" t="n">
        <v>13</v>
      </c>
      <c r="N93" s="65" t="str">
        <f aca="false">(J93/H93)*100</f>
        <v>79.03</v>
      </c>
      <c r="O93" s="65"/>
      <c r="P93" s="65"/>
    </row>
    <row r="94" customFormat="false" ht="25.5" hidden="false" customHeight="true" outlineLevel="0" collapsed="false">
      <c r="A94" s="56" t="n">
        <v>5</v>
      </c>
      <c r="B94" s="57" t="s">
        <v>137</v>
      </c>
      <c r="C94" s="58" t="s">
        <v>138</v>
      </c>
      <c r="D94" s="59"/>
      <c r="E94" s="60"/>
      <c r="F94" s="61" t="n">
        <v>63</v>
      </c>
      <c r="G94" s="61"/>
      <c r="H94" s="62" t="n">
        <v>63</v>
      </c>
      <c r="I94" s="62"/>
      <c r="J94" s="63" t="n">
        <v>47</v>
      </c>
      <c r="K94" s="63"/>
      <c r="L94" s="63"/>
      <c r="M94" s="67" t="n">
        <v>17</v>
      </c>
      <c r="N94" s="65" t="str">
        <f aca="false">(J94/H94)*100</f>
        <v>74.60</v>
      </c>
      <c r="O94" s="65"/>
      <c r="P94" s="65"/>
    </row>
    <row r="95" customFormat="false" ht="30" hidden="false" customHeight="true" outlineLevel="0" collapsed="false">
      <c r="A95" s="56" t="n">
        <v>6</v>
      </c>
      <c r="B95" s="57" t="s">
        <v>133</v>
      </c>
      <c r="C95" s="58" t="s">
        <v>139</v>
      </c>
      <c r="D95" s="59"/>
      <c r="E95" s="60"/>
      <c r="F95" s="68" t="n">
        <v>64</v>
      </c>
      <c r="G95" s="68"/>
      <c r="H95" s="69" t="n">
        <v>64</v>
      </c>
      <c r="I95" s="69"/>
      <c r="J95" s="70" t="n">
        <v>64</v>
      </c>
      <c r="K95" s="70"/>
      <c r="L95" s="70"/>
      <c r="M95" s="67" t="n">
        <v>0</v>
      </c>
      <c r="N95" s="71" t="str">
        <f aca="false">(J95/H95)*100</f>
        <v>100.00</v>
      </c>
      <c r="O95" s="71"/>
      <c r="P95" s="71"/>
    </row>
    <row r="96" customFormat="false" ht="30" hidden="false" customHeight="true" outlineLevel="0" collapsed="false">
      <c r="A96" s="56" t="n">
        <v>7</v>
      </c>
      <c r="B96" s="66" t="s">
        <v>131</v>
      </c>
      <c r="C96" s="58" t="s">
        <v>140</v>
      </c>
      <c r="D96" s="59"/>
      <c r="E96" s="60"/>
      <c r="F96" s="61" t="n">
        <v>64</v>
      </c>
      <c r="G96" s="61"/>
      <c r="H96" s="62" t="n">
        <v>64</v>
      </c>
      <c r="I96" s="62"/>
      <c r="J96" s="63" t="n">
        <v>64</v>
      </c>
      <c r="K96" s="63"/>
      <c r="L96" s="63"/>
      <c r="M96" s="67" t="n">
        <v>0</v>
      </c>
      <c r="N96" s="65" t="str">
        <f aca="false">(J96/H96)*100</f>
        <v>100.00</v>
      </c>
      <c r="O96" s="65"/>
      <c r="P96" s="65"/>
    </row>
    <row r="97" customFormat="false" ht="24.75" hidden="false" customHeight="true" outlineLevel="0" collapsed="false">
      <c r="A97" s="56" t="n">
        <v>8</v>
      </c>
      <c r="B97" s="57" t="s">
        <v>135</v>
      </c>
      <c r="C97" s="58" t="s">
        <v>141</v>
      </c>
      <c r="D97" s="59"/>
      <c r="E97" s="60"/>
      <c r="F97" s="61" t="n">
        <v>64</v>
      </c>
      <c r="G97" s="61"/>
      <c r="H97" s="62" t="n">
        <v>64</v>
      </c>
      <c r="I97" s="62"/>
      <c r="J97" s="63" t="n">
        <v>64</v>
      </c>
      <c r="K97" s="63"/>
      <c r="L97" s="63"/>
      <c r="M97" s="64" t="n">
        <v>0</v>
      </c>
      <c r="N97" s="65" t="str">
        <f aca="false">(J97/H97)*100</f>
        <v>100.00</v>
      </c>
      <c r="O97" s="65"/>
      <c r="P97" s="65"/>
    </row>
    <row r="98" customFormat="false" ht="13.5" hidden="false" customHeight="true" outlineLevel="0" collapsed="false">
      <c r="A98" s="56" t="n">
        <v>9</v>
      </c>
      <c r="B98" s="57" t="s">
        <v>133</v>
      </c>
      <c r="C98" s="58" t="s">
        <v>142</v>
      </c>
      <c r="D98" s="59"/>
      <c r="E98" s="60"/>
      <c r="F98" s="61" t="n">
        <v>64</v>
      </c>
      <c r="G98" s="61"/>
      <c r="H98" s="62" t="n">
        <v>64</v>
      </c>
      <c r="I98" s="62"/>
      <c r="J98" s="63" t="n">
        <v>64</v>
      </c>
      <c r="K98" s="63"/>
      <c r="L98" s="63"/>
      <c r="M98" s="64" t="n">
        <v>0</v>
      </c>
      <c r="N98" s="65" t="str">
        <f aca="false">(J98/H98)*100</f>
        <v>100.00</v>
      </c>
      <c r="O98" s="65"/>
      <c r="P98" s="65"/>
    </row>
    <row r="99" customFormat="false" ht="55.5" hidden="false" customHeight="true" outlineLevel="0" collapsed="false">
      <c r="B99" s="72" t="s">
        <v>143</v>
      </c>
      <c r="C99" s="72"/>
      <c r="D99" s="73"/>
      <c r="F99" s="74"/>
      <c r="G99" s="74"/>
      <c r="H99" s="74" t="s">
        <v>144</v>
      </c>
      <c r="L99" s="75" t="s">
        <v>145</v>
      </c>
      <c r="M99" s="75"/>
      <c r="N99" s="75"/>
    </row>
    <row r="100" customFormat="false" ht="15.75" hidden="false" customHeight="true" outlineLevel="0" collapsed="false">
      <c r="B100" s="4"/>
    </row>
    <row r="101" customFormat="false" ht="15.75" hidden="false" customHeight="true" outlineLevel="0" collapsed="false">
      <c r="B101" s="4"/>
    </row>
    <row r="102" customFormat="false" ht="15.75" hidden="false" customHeight="true" outlineLevel="0" collapsed="false">
      <c r="B102" s="4"/>
    </row>
    <row r="103" customFormat="false" ht="15.75" hidden="false" customHeight="true" outlineLevel="0" collapsed="false">
      <c r="B103" s="4"/>
    </row>
    <row r="104" customFormat="false" ht="15.75" hidden="false" customHeight="true" outlineLevel="0" collapsed="false">
      <c r="B104" s="4"/>
    </row>
    <row r="105" customFormat="false" ht="15.75" hidden="false" customHeight="true" outlineLevel="0" collapsed="false">
      <c r="B105" s="4"/>
    </row>
    <row r="106" customFormat="false" ht="15.75" hidden="false" customHeight="true" outlineLevel="0" collapsed="false">
      <c r="B106" s="4"/>
    </row>
    <row r="107" customFormat="false" ht="15.75" hidden="false" customHeight="true" outlineLevel="0" collapsed="false">
      <c r="B107" s="4"/>
    </row>
    <row r="108" customFormat="false" ht="15.75" hidden="false" customHeight="true" outlineLevel="0" collapsed="false">
      <c r="B108" s="4"/>
    </row>
    <row r="109" customFormat="false" ht="15.75" hidden="false" customHeight="true" outlineLevel="0" collapsed="false">
      <c r="B109" s="4"/>
    </row>
    <row r="110" customFormat="false" ht="15.75" hidden="false" customHeight="true" outlineLevel="0" collapsed="false">
      <c r="B110" s="4"/>
    </row>
    <row r="111" customFormat="false" ht="15.75" hidden="false" customHeight="true" outlineLevel="0" collapsed="false">
      <c r="B111" s="4"/>
    </row>
    <row r="112" customFormat="false" ht="15.75" hidden="false" customHeight="true" outlineLevel="0" collapsed="false">
      <c r="B112" s="4"/>
    </row>
    <row r="113" customFormat="false" ht="15.75" hidden="false" customHeight="true" outlineLevel="0" collapsed="false">
      <c r="B113" s="4"/>
    </row>
    <row r="114" customFormat="false" ht="15.75" hidden="false" customHeight="true" outlineLevel="0" collapsed="false">
      <c r="B114" s="4"/>
    </row>
    <row r="115" customFormat="false" ht="15.75" hidden="false" customHeight="true" outlineLevel="0" collapsed="false">
      <c r="B115" s="4"/>
    </row>
    <row r="116" customFormat="false" ht="15.75" hidden="false" customHeight="true" outlineLevel="0" collapsed="false">
      <c r="B116" s="4"/>
    </row>
    <row r="117" customFormat="false" ht="15.75" hidden="false" customHeight="true" outlineLevel="0" collapsed="false">
      <c r="B117" s="4"/>
    </row>
    <row r="118" customFormat="false" ht="15.75" hidden="false" customHeight="true" outlineLevel="0" collapsed="false">
      <c r="B118" s="4"/>
    </row>
  </sheetData>
  <mergeCells count="72">
    <mergeCell ref="A1:P1"/>
    <mergeCell ref="A2:P2"/>
    <mergeCell ref="A3:P3"/>
    <mergeCell ref="K5:M5"/>
    <mergeCell ref="N5:P5"/>
    <mergeCell ref="A6:A7"/>
    <mergeCell ref="B6:B7"/>
    <mergeCell ref="M6:M7"/>
    <mergeCell ref="N6:N7"/>
    <mergeCell ref="O6:O7"/>
    <mergeCell ref="P6:P7"/>
    <mergeCell ref="A72:C72"/>
    <mergeCell ref="A73:C73"/>
    <mergeCell ref="M73:P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6:C86"/>
    <mergeCell ref="D86:L86"/>
    <mergeCell ref="A87:C87"/>
    <mergeCell ref="D87:L87"/>
    <mergeCell ref="C89:E89"/>
    <mergeCell ref="F89:G89"/>
    <mergeCell ref="H89:I89"/>
    <mergeCell ref="J89:L89"/>
    <mergeCell ref="N89:P89"/>
    <mergeCell ref="F90:G90"/>
    <mergeCell ref="H90:I90"/>
    <mergeCell ref="J90:L90"/>
    <mergeCell ref="N90:P90"/>
    <mergeCell ref="F91:G91"/>
    <mergeCell ref="H91:I91"/>
    <mergeCell ref="J91:L91"/>
    <mergeCell ref="N91:P91"/>
    <mergeCell ref="F92:G92"/>
    <mergeCell ref="H92:I92"/>
    <mergeCell ref="J92:L92"/>
    <mergeCell ref="N92:P92"/>
    <mergeCell ref="F93:G93"/>
    <mergeCell ref="H93:I93"/>
    <mergeCell ref="J93:L93"/>
    <mergeCell ref="N93:P93"/>
    <mergeCell ref="F94:G94"/>
    <mergeCell ref="H94:I94"/>
    <mergeCell ref="J94:L94"/>
    <mergeCell ref="N94:P94"/>
    <mergeCell ref="F95:G95"/>
    <mergeCell ref="H95:I95"/>
    <mergeCell ref="J95:L95"/>
    <mergeCell ref="N95:P95"/>
    <mergeCell ref="F96:G96"/>
    <mergeCell ref="H96:I96"/>
    <mergeCell ref="J96:L96"/>
    <mergeCell ref="N96:P96"/>
    <mergeCell ref="F97:G97"/>
    <mergeCell ref="H97:I97"/>
    <mergeCell ref="J97:L97"/>
    <mergeCell ref="N97:P97"/>
    <mergeCell ref="F98:G98"/>
    <mergeCell ref="H98:I98"/>
    <mergeCell ref="J98:L98"/>
    <mergeCell ref="N98:P98"/>
    <mergeCell ref="B99:C99"/>
    <mergeCell ref="L99:N99"/>
  </mergeCells>
  <printOptions headings="false" gridLines="false" gridLinesSet="true" horizontalCentered="true" verticalCentered="false"/>
  <pageMargins left="0.708333333333333" right="0.708333333333333" top="0" bottom="0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6.43"/>
    <col collapsed="false" customWidth="true" hidden="false" outlineLevel="0" max="2" min="2" style="0" width="21"/>
    <col collapsed="false" customWidth="true" hidden="false" outlineLevel="0" max="3" min="3" style="0" width="20.43"/>
    <col collapsed="false" customWidth="true" hidden="false" outlineLevel="0" max="12" min="4" style="0" width="9.71"/>
    <col collapsed="false" customWidth="true" hidden="false" outlineLevel="0" max="13" min="13" style="0" width="10.86"/>
    <col collapsed="false" customWidth="true" hidden="false" outlineLevel="0" max="14" min="14" style="0" width="11.71"/>
    <col collapsed="false" customWidth="true" hidden="false" outlineLevel="0" max="15" min="15" style="0" width="7.57"/>
    <col collapsed="false" customWidth="true" hidden="false" outlineLevel="0" max="16" min="16" style="0" width="10.86"/>
    <col collapsed="false" customWidth="true" hidden="false" outlineLevel="0" max="17" min="17" style="0" width="9"/>
  </cols>
  <sheetData>
    <row r="1" customFormat="false" ht="21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21" hidden="false" customHeight="true" outlineLevel="0" collapsed="false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customFormat="false" ht="15" hidden="false" customHeight="true" outlineLevel="0" collapsed="false">
      <c r="A4" s="3" t="s">
        <v>3</v>
      </c>
      <c r="B4" s="4"/>
      <c r="J4" s="3" t="s">
        <v>146</v>
      </c>
    </row>
    <row r="5" customFormat="false" ht="15" hidden="false" customHeight="true" outlineLevel="0" collapsed="false">
      <c r="A5" s="3"/>
      <c r="B5" s="4"/>
      <c r="F5" s="0" t="s">
        <v>6</v>
      </c>
      <c r="J5" s="3"/>
      <c r="K5" s="6" t="s">
        <v>7</v>
      </c>
      <c r="L5" s="6"/>
      <c r="M5" s="6"/>
      <c r="N5" s="7" t="s">
        <v>147</v>
      </c>
      <c r="O5" s="7"/>
      <c r="P5" s="7"/>
    </row>
    <row r="6" customFormat="false" ht="27" hidden="false" customHeight="true" outlineLevel="0" collapsed="false">
      <c r="A6" s="76" t="s">
        <v>9</v>
      </c>
      <c r="B6" s="77" t="s">
        <v>148</v>
      </c>
      <c r="C6" s="76" t="s">
        <v>149</v>
      </c>
      <c r="D6" s="78" t="s">
        <v>150</v>
      </c>
      <c r="E6" s="78" t="s">
        <v>151</v>
      </c>
      <c r="F6" s="78" t="s">
        <v>152</v>
      </c>
      <c r="G6" s="78" t="s">
        <v>153</v>
      </c>
      <c r="H6" s="78" t="s">
        <v>154</v>
      </c>
      <c r="I6" s="78" t="s">
        <v>155</v>
      </c>
      <c r="J6" s="78" t="s">
        <v>156</v>
      </c>
      <c r="K6" s="78" t="s">
        <v>157</v>
      </c>
      <c r="L6" s="78" t="s">
        <v>158</v>
      </c>
      <c r="M6" s="9" t="s">
        <v>21</v>
      </c>
      <c r="N6" s="9" t="s">
        <v>22</v>
      </c>
      <c r="O6" s="9" t="s">
        <v>23</v>
      </c>
      <c r="P6" s="79" t="s">
        <v>159</v>
      </c>
      <c r="Q6" s="5"/>
    </row>
    <row r="7" customFormat="false" ht="17.25" hidden="false" customHeight="true" outlineLevel="0" collapsed="false">
      <c r="A7" s="76"/>
      <c r="B7" s="76"/>
      <c r="C7" s="76" t="s">
        <v>160</v>
      </c>
      <c r="D7" s="78" t="s">
        <v>26</v>
      </c>
      <c r="E7" s="78" t="s">
        <v>26</v>
      </c>
      <c r="F7" s="78" t="s">
        <v>26</v>
      </c>
      <c r="G7" s="78" t="s">
        <v>26</v>
      </c>
      <c r="H7" s="78" t="s">
        <v>26</v>
      </c>
      <c r="I7" s="78" t="s">
        <v>26</v>
      </c>
      <c r="J7" s="78" t="s">
        <v>26</v>
      </c>
      <c r="K7" s="78" t="s">
        <v>26</v>
      </c>
      <c r="L7" s="78" t="s">
        <v>26</v>
      </c>
      <c r="M7" s="9"/>
      <c r="N7" s="9"/>
      <c r="O7" s="9"/>
      <c r="P7" s="79"/>
      <c r="Q7" s="5"/>
    </row>
    <row r="8" customFormat="false" ht="15" hidden="false" customHeight="false" outlineLevel="0" collapsed="false">
      <c r="A8" s="10" t="n">
        <v>1</v>
      </c>
      <c r="B8" s="11" t="n">
        <v>511522205001</v>
      </c>
      <c r="C8" s="12" t="s">
        <v>161</v>
      </c>
      <c r="D8" s="80" t="s">
        <v>33</v>
      </c>
      <c r="E8" s="80" t="s">
        <v>33</v>
      </c>
      <c r="F8" s="80" t="s">
        <v>33</v>
      </c>
      <c r="G8" s="80" t="s">
        <v>33</v>
      </c>
      <c r="H8" s="80" t="s">
        <v>33</v>
      </c>
      <c r="I8" s="80" t="s">
        <v>30</v>
      </c>
      <c r="J8" s="80" t="s">
        <v>32</v>
      </c>
      <c r="K8" s="80" t="s">
        <v>32</v>
      </c>
      <c r="L8" s="80" t="s">
        <v>32</v>
      </c>
      <c r="M8" s="14" t="str">
        <f aca="false">COUNTIF(D8:L8,"U")</f>
        <v>0</v>
      </c>
      <c r="N8" s="15" t="str">
        <f aca="false">COUNTIF(E8:M8,"UA")</f>
        <v>0</v>
      </c>
      <c r="O8" s="14" t="str">
        <f aca="false">M8+N8</f>
        <v>0</v>
      </c>
      <c r="P8" s="16" t="str">
        <f aca="false">IF(AND(M8=0,N8=0),"PASS","FAIL")</f>
        <v>PASS</v>
      </c>
      <c r="Q8" s="0" t="str">
        <f aca="false">IF(OR(D8="U",E8="U",F8="U",G8="U",H8="U",I8="U",J8="U",K8="U",L8="U"),"FAIL",IF(OR(D8="UA",E8="UA",F8="UA",G8="UA",H8="UA",I8="UA",J8="UA",K8="UA",L8="UA"),"FAIL","PASS"))</f>
        <v>PASS</v>
      </c>
    </row>
    <row r="9" customFormat="false" ht="15" hidden="false" customHeight="false" outlineLevel="0" collapsed="false">
      <c r="A9" s="10" t="n">
        <v>2</v>
      </c>
      <c r="B9" s="11" t="n">
        <v>511522205002</v>
      </c>
      <c r="C9" s="12" t="s">
        <v>162</v>
      </c>
      <c r="D9" s="80" t="s">
        <v>35</v>
      </c>
      <c r="E9" s="80" t="s">
        <v>28</v>
      </c>
      <c r="F9" s="80" t="s">
        <v>35</v>
      </c>
      <c r="G9" s="80" t="s">
        <v>35</v>
      </c>
      <c r="H9" s="80" t="s">
        <v>35</v>
      </c>
      <c r="I9" s="80" t="s">
        <v>33</v>
      </c>
      <c r="J9" s="80" t="s">
        <v>32</v>
      </c>
      <c r="K9" s="80" t="s">
        <v>32</v>
      </c>
      <c r="L9" s="80" t="s">
        <v>32</v>
      </c>
      <c r="M9" s="14" t="str">
        <f aca="false">COUNTIF(D9:L9,"U")</f>
        <v>0</v>
      </c>
      <c r="N9" s="15" t="str">
        <f aca="false">COUNTIF(E9:M9,"UA")</f>
        <v>0</v>
      </c>
      <c r="O9" s="14" t="str">
        <f aca="false">M9+N9</f>
        <v>0</v>
      </c>
      <c r="P9" s="16" t="str">
        <f aca="false">IF(AND(M9=0,N9=0),"PASS","FAIL")</f>
        <v>PASS</v>
      </c>
      <c r="Q9" s="0" t="str">
        <f aca="false">IF(OR(D9="U",E9="U",F9="U",G9="U",H9="U",I9="U",J9="U",K9="U",L9="U"),"FAIL",IF(OR(D9="UA",E9="UA",F9="UA",G9="UA",H9="UA",I9="UA",J9="UA",K9="UA",L9="UA"),"FAIL","PASS"))</f>
        <v>PASS</v>
      </c>
    </row>
    <row r="10" customFormat="false" ht="15" hidden="false" customHeight="false" outlineLevel="0" collapsed="false">
      <c r="A10" s="10" t="n">
        <v>3</v>
      </c>
      <c r="B10" s="11" t="n">
        <v>511522205003</v>
      </c>
      <c r="C10" s="12" t="s">
        <v>163</v>
      </c>
      <c r="D10" s="80" t="s">
        <v>35</v>
      </c>
      <c r="E10" s="80" t="s">
        <v>28</v>
      </c>
      <c r="F10" s="80" t="s">
        <v>35</v>
      </c>
      <c r="G10" s="80" t="s">
        <v>35</v>
      </c>
      <c r="H10" s="80" t="s">
        <v>35</v>
      </c>
      <c r="I10" s="80" t="s">
        <v>33</v>
      </c>
      <c r="J10" s="80" t="s">
        <v>32</v>
      </c>
      <c r="K10" s="80" t="s">
        <v>32</v>
      </c>
      <c r="L10" s="80" t="s">
        <v>32</v>
      </c>
      <c r="M10" s="14" t="str">
        <f aca="false">COUNTIF(D10:L10,"U")</f>
        <v>0</v>
      </c>
      <c r="N10" s="15" t="str">
        <f aca="false">COUNTIF(E10:M10,"UA")</f>
        <v>0</v>
      </c>
      <c r="O10" s="14" t="str">
        <f aca="false">M10+N10</f>
        <v>0</v>
      </c>
      <c r="P10" s="16" t="str">
        <f aca="false">IF(AND(M10=0,N10=0),"PASS","FAIL")</f>
        <v>PASS</v>
      </c>
      <c r="Q10" s="0" t="str">
        <f aca="false">IF(OR(D10="U",E10="U",F10="U",G10="U",H10="U",I10="U",J10="U",K10="U",L10="U"),"FAIL",IF(OR(D10="UA",E10="UA",F10="UA",G10="UA",H10="UA",I10="UA",J10="UA",K10="UA",L10="UA"),"FAIL","PASS"))</f>
        <v>PASS</v>
      </c>
    </row>
    <row r="11" customFormat="false" ht="15" hidden="false" customHeight="false" outlineLevel="0" collapsed="false">
      <c r="A11" s="10" t="n">
        <v>4</v>
      </c>
      <c r="B11" s="11" t="n">
        <v>511522205006</v>
      </c>
      <c r="C11" s="12" t="s">
        <v>164</v>
      </c>
      <c r="D11" s="80" t="s">
        <v>35</v>
      </c>
      <c r="E11" s="80" t="s">
        <v>35</v>
      </c>
      <c r="F11" s="80" t="s">
        <v>33</v>
      </c>
      <c r="G11" s="80" t="s">
        <v>33</v>
      </c>
      <c r="H11" s="80" t="s">
        <v>35</v>
      </c>
      <c r="I11" s="80" t="s">
        <v>29</v>
      </c>
      <c r="J11" s="80" t="s">
        <v>32</v>
      </c>
      <c r="K11" s="80" t="s">
        <v>32</v>
      </c>
      <c r="L11" s="80" t="s">
        <v>32</v>
      </c>
      <c r="M11" s="14" t="str">
        <f aca="false">COUNTIF(D11:L11,"U")</f>
        <v>1</v>
      </c>
      <c r="N11" s="15" t="str">
        <f aca="false">COUNTIF(E11:M11,"UA")</f>
        <v>0</v>
      </c>
      <c r="O11" s="14" t="str">
        <f aca="false">M11+N11</f>
        <v>1</v>
      </c>
      <c r="P11" s="16" t="str">
        <f aca="false">IF(AND(M11=0,N11=0),"PASS","FAIL")</f>
        <v>FAIL</v>
      </c>
      <c r="Q11" s="0" t="str">
        <f aca="false">IF(OR(D11="U",E11="U",F11="U",G11="U",H11="U",I11="U",J11="U",K11="U",L11="U"),"FAIL",IF(OR(D11="UA",E11="UA",F11="UA",G11="UA",H11="UA",I11="UA",J11="UA",K11="UA",L11="UA"),"FAIL","PASS"))</f>
        <v>FAIL</v>
      </c>
    </row>
    <row r="12" customFormat="false" ht="15" hidden="false" customHeight="false" outlineLevel="0" collapsed="false">
      <c r="A12" s="10" t="n">
        <v>5</v>
      </c>
      <c r="B12" s="11" t="n">
        <v>511522205007</v>
      </c>
      <c r="C12" s="12" t="s">
        <v>165</v>
      </c>
      <c r="D12" s="80" t="s">
        <v>35</v>
      </c>
      <c r="E12" s="80" t="s">
        <v>35</v>
      </c>
      <c r="F12" s="80" t="s">
        <v>33</v>
      </c>
      <c r="G12" s="80" t="s">
        <v>33</v>
      </c>
      <c r="H12" s="80" t="s">
        <v>35</v>
      </c>
      <c r="I12" s="80" t="s">
        <v>29</v>
      </c>
      <c r="J12" s="80" t="s">
        <v>32</v>
      </c>
      <c r="K12" s="80" t="s">
        <v>32</v>
      </c>
      <c r="L12" s="80" t="s">
        <v>32</v>
      </c>
      <c r="M12" s="14" t="str">
        <f aca="false">COUNTIF(D12:L12,"U")</f>
        <v>1</v>
      </c>
      <c r="N12" s="15" t="str">
        <f aca="false">COUNTIF(E12:M12,"UA")</f>
        <v>0</v>
      </c>
      <c r="O12" s="14" t="str">
        <f aca="false">M12+N12</f>
        <v>1</v>
      </c>
      <c r="P12" s="16" t="str">
        <f aca="false">IF(AND(M12=0,N12=0),"PASS","FAIL")</f>
        <v>FAIL</v>
      </c>
      <c r="Q12" s="0" t="str">
        <f aca="false">IF(OR(D12="U",E12="U",F12="U",G12="U",H12="U",I12="U",J12="U",K12="U",L12="U"),"FAIL",IF(OR(D12="UA",E12="UA",F12="UA",G12="UA",H12="UA",I12="UA",J12="UA",K12="UA",L12="UA"),"FAIL","PASS"))</f>
        <v>FAIL</v>
      </c>
    </row>
    <row r="13" customFormat="false" ht="15" hidden="false" customHeight="false" outlineLevel="0" collapsed="false">
      <c r="A13" s="10" t="n">
        <v>6</v>
      </c>
      <c r="B13" s="11" t="n">
        <v>511522205008</v>
      </c>
      <c r="C13" s="12" t="s">
        <v>166</v>
      </c>
      <c r="D13" s="80" t="s">
        <v>35</v>
      </c>
      <c r="E13" s="80" t="s">
        <v>35</v>
      </c>
      <c r="F13" s="80" t="s">
        <v>33</v>
      </c>
      <c r="G13" s="80" t="s">
        <v>35</v>
      </c>
      <c r="H13" s="80" t="s">
        <v>35</v>
      </c>
      <c r="I13" s="80" t="s">
        <v>33</v>
      </c>
      <c r="J13" s="80" t="s">
        <v>32</v>
      </c>
      <c r="K13" s="80" t="s">
        <v>32</v>
      </c>
      <c r="L13" s="80" t="s">
        <v>32</v>
      </c>
      <c r="M13" s="14" t="str">
        <f aca="false">COUNTIF(D13:L13,"U")</f>
        <v>0</v>
      </c>
      <c r="N13" s="15" t="str">
        <f aca="false">COUNTIF(E13:M13,"UA")</f>
        <v>0</v>
      </c>
      <c r="O13" s="14" t="str">
        <f aca="false">M13+N13</f>
        <v>0</v>
      </c>
      <c r="P13" s="16" t="str">
        <f aca="false">IF(AND(M13=0,N13=0),"PASS","FAIL")</f>
        <v>PASS</v>
      </c>
      <c r="Q13" s="0" t="str">
        <f aca="false">IF(OR(D13="U",E13="U",F13="U",G13="U",H13="U",I13="U",J13="U",K13="U",L13="U"),"FAIL",IF(OR(D13="UA",E13="UA",F13="UA",G13="UA",H13="UA",I13="UA",J13="UA",K13="UA",L13="UA"),"FAIL","PASS"))</f>
        <v>PASS</v>
      </c>
    </row>
    <row r="14" customFormat="false" ht="15" hidden="false" customHeight="false" outlineLevel="0" collapsed="false">
      <c r="A14" s="10" t="n">
        <v>7</v>
      </c>
      <c r="B14" s="11" t="n">
        <v>511522205009</v>
      </c>
      <c r="C14" s="12" t="s">
        <v>167</v>
      </c>
      <c r="D14" s="80" t="s">
        <v>35</v>
      </c>
      <c r="E14" s="80" t="s">
        <v>35</v>
      </c>
      <c r="F14" s="80" t="s">
        <v>33</v>
      </c>
      <c r="G14" s="80" t="s">
        <v>35</v>
      </c>
      <c r="H14" s="80" t="s">
        <v>28</v>
      </c>
      <c r="I14" s="80" t="s">
        <v>33</v>
      </c>
      <c r="J14" s="80" t="s">
        <v>32</v>
      </c>
      <c r="K14" s="80" t="s">
        <v>32</v>
      </c>
      <c r="L14" s="80" t="s">
        <v>32</v>
      </c>
      <c r="M14" s="14" t="str">
        <f aca="false">COUNTIF(D14:L14,"U")</f>
        <v>0</v>
      </c>
      <c r="N14" s="15" t="str">
        <f aca="false">COUNTIF(E14:M14,"UA")</f>
        <v>0</v>
      </c>
      <c r="O14" s="14" t="str">
        <f aca="false">M14+N14</f>
        <v>0</v>
      </c>
      <c r="P14" s="16" t="str">
        <f aca="false">IF(AND(M14=0,N14=0),"PASS","FAIL")</f>
        <v>PASS</v>
      </c>
      <c r="Q14" s="0" t="str">
        <f aca="false">IF(OR(D14="U",E14="U",F14="U",G14="U",H14="U",I14="U",J14="U",K14="U",L14="U"),"FAIL",IF(OR(D14="UA",E14="UA",F14="UA",G14="UA",H14="UA",I14="UA",J14="UA",K14="UA",L14="UA"),"FAIL","PASS"))</f>
        <v>PASS</v>
      </c>
    </row>
    <row r="15" customFormat="false" ht="15" hidden="false" customHeight="false" outlineLevel="0" collapsed="false">
      <c r="A15" s="10" t="n">
        <v>8</v>
      </c>
      <c r="B15" s="11" t="n">
        <v>511522205010</v>
      </c>
      <c r="C15" s="12" t="s">
        <v>168</v>
      </c>
      <c r="D15" s="80" t="s">
        <v>35</v>
      </c>
      <c r="E15" s="80" t="s">
        <v>35</v>
      </c>
      <c r="F15" s="80" t="s">
        <v>33</v>
      </c>
      <c r="G15" s="80" t="s">
        <v>35</v>
      </c>
      <c r="H15" s="80" t="s">
        <v>35</v>
      </c>
      <c r="I15" s="80" t="s">
        <v>33</v>
      </c>
      <c r="J15" s="80" t="s">
        <v>32</v>
      </c>
      <c r="K15" s="80" t="s">
        <v>32</v>
      </c>
      <c r="L15" s="80" t="s">
        <v>32</v>
      </c>
      <c r="M15" s="14" t="str">
        <f aca="false">COUNTIF(D15:L15,"U")</f>
        <v>0</v>
      </c>
      <c r="N15" s="15" t="str">
        <f aca="false">COUNTIF(E15:M15,"UA")</f>
        <v>0</v>
      </c>
      <c r="O15" s="14" t="str">
        <f aca="false">M15+N15</f>
        <v>0</v>
      </c>
      <c r="P15" s="16" t="str">
        <f aca="false">IF(AND(M15=0,N15=0),"PASS","FAIL")</f>
        <v>PASS</v>
      </c>
      <c r="Q15" s="0" t="str">
        <f aca="false">IF(OR(D15="U",E15="U",F15="U",G15="U",H15="U",I15="U",J15="U",K15="U",L15="U"),"FAIL",IF(OR(D15="UA",E15="UA",F15="UA",G15="UA",H15="UA",I15="UA",J15="UA",K15="UA",L15="UA"),"FAIL","PASS"))</f>
        <v>PASS</v>
      </c>
    </row>
    <row r="16" customFormat="false" ht="15" hidden="false" customHeight="false" outlineLevel="0" collapsed="false">
      <c r="A16" s="10" t="n">
        <v>9</v>
      </c>
      <c r="B16" s="11" t="n">
        <v>511522205011</v>
      </c>
      <c r="C16" s="12" t="s">
        <v>169</v>
      </c>
      <c r="D16" s="80" t="s">
        <v>35</v>
      </c>
      <c r="E16" s="80" t="s">
        <v>35</v>
      </c>
      <c r="F16" s="80" t="s">
        <v>35</v>
      </c>
      <c r="G16" s="80" t="s">
        <v>35</v>
      </c>
      <c r="H16" s="80" t="s">
        <v>35</v>
      </c>
      <c r="I16" s="80" t="s">
        <v>33</v>
      </c>
      <c r="J16" s="80" t="s">
        <v>32</v>
      </c>
      <c r="K16" s="80" t="s">
        <v>32</v>
      </c>
      <c r="L16" s="80" t="s">
        <v>32</v>
      </c>
      <c r="M16" s="14" t="str">
        <f aca="false">COUNTIF(D16:L16,"U")</f>
        <v>0</v>
      </c>
      <c r="N16" s="15" t="str">
        <f aca="false">COUNTIF(E16:M16,"UA")</f>
        <v>0</v>
      </c>
      <c r="O16" s="14" t="str">
        <f aca="false">M16+N16</f>
        <v>0</v>
      </c>
      <c r="P16" s="16" t="str">
        <f aca="false">IF(AND(M16=0,N16=0),"PASS","FAIL")</f>
        <v>PASS</v>
      </c>
      <c r="Q16" s="0" t="str">
        <f aca="false">IF(OR(D16="U",E16="U",F16="U",G16="U",H16="U",I16="U",J16="U",K16="U",L16="U"),"FAIL",IF(OR(D16="UA",E16="UA",F16="UA",G16="UA",H16="UA",I16="UA",J16="UA",K16="UA",L16="UA"),"FAIL","PASS"))</f>
        <v>PASS</v>
      </c>
    </row>
    <row r="17" customFormat="false" ht="15" hidden="false" customHeight="false" outlineLevel="0" collapsed="false">
      <c r="A17" s="10" t="n">
        <v>10</v>
      </c>
      <c r="B17" s="11" t="n">
        <v>511522205012</v>
      </c>
      <c r="C17" s="12" t="s">
        <v>170</v>
      </c>
      <c r="D17" s="80" t="s">
        <v>35</v>
      </c>
      <c r="E17" s="80" t="s">
        <v>35</v>
      </c>
      <c r="F17" s="80" t="s">
        <v>28</v>
      </c>
      <c r="G17" s="80" t="s">
        <v>35</v>
      </c>
      <c r="H17" s="80" t="s">
        <v>35</v>
      </c>
      <c r="I17" s="80" t="s">
        <v>33</v>
      </c>
      <c r="J17" s="80" t="s">
        <v>32</v>
      </c>
      <c r="K17" s="80" t="s">
        <v>32</v>
      </c>
      <c r="L17" s="80" t="s">
        <v>32</v>
      </c>
      <c r="M17" s="14" t="str">
        <f aca="false">COUNTIF(D17:L17,"U")</f>
        <v>0</v>
      </c>
      <c r="N17" s="15" t="str">
        <f aca="false">COUNTIF(E17:M17,"UA")</f>
        <v>0</v>
      </c>
      <c r="O17" s="14" t="str">
        <f aca="false">M17+N17</f>
        <v>0</v>
      </c>
      <c r="P17" s="16" t="str">
        <f aca="false">IF(AND(M17=0,N17=0),"PASS","FAIL")</f>
        <v>PASS</v>
      </c>
      <c r="Q17" s="0" t="str">
        <f aca="false">IF(OR(D17="U",E17="U",F17="U",G17="U",H17="U",I17="U",J17="U",K17="U",L17="U"),"FAIL",IF(OR(D17="UA",E17="UA",F17="UA",G17="UA",H17="UA",I17="UA",J17="UA",K17="UA",L17="UA"),"FAIL","PASS"))</f>
        <v>PASS</v>
      </c>
    </row>
    <row r="18" customFormat="false" ht="15" hidden="false" customHeight="false" outlineLevel="0" collapsed="false">
      <c r="A18" s="10" t="n">
        <v>11</v>
      </c>
      <c r="B18" s="11" t="n">
        <v>511522205013</v>
      </c>
      <c r="C18" s="12" t="s">
        <v>171</v>
      </c>
      <c r="D18" s="80" t="s">
        <v>33</v>
      </c>
      <c r="E18" s="80" t="s">
        <v>33</v>
      </c>
      <c r="F18" s="80" t="s">
        <v>33</v>
      </c>
      <c r="G18" s="80" t="s">
        <v>33</v>
      </c>
      <c r="H18" s="80" t="s">
        <v>35</v>
      </c>
      <c r="I18" s="80" t="s">
        <v>29</v>
      </c>
      <c r="J18" s="80" t="s">
        <v>32</v>
      </c>
      <c r="K18" s="80" t="s">
        <v>32</v>
      </c>
      <c r="L18" s="80" t="s">
        <v>32</v>
      </c>
      <c r="M18" s="14" t="str">
        <f aca="false">COUNTIF(D18:L18,"U")</f>
        <v>1</v>
      </c>
      <c r="N18" s="15" t="str">
        <f aca="false">COUNTIF(E18:M18,"UA")</f>
        <v>0</v>
      </c>
      <c r="O18" s="14" t="str">
        <f aca="false">M18+N18</f>
        <v>1</v>
      </c>
      <c r="P18" s="16" t="str">
        <f aca="false">IF(AND(M18=0,N18=0),"PASS","FAIL")</f>
        <v>FAIL</v>
      </c>
      <c r="Q18" s="0" t="str">
        <f aca="false">IF(OR(D18="U",E18="U",F18="U",G18="U",H18="U",I18="U",J18="U",K18="U",L18="U"),"FAIL",IF(OR(D18="UA",E18="UA",F18="UA",G18="UA",H18="UA",I18="UA",J18="UA",K18="UA",L18="UA"),"FAIL","PASS"))</f>
        <v>FAIL</v>
      </c>
    </row>
    <row r="19" customFormat="false" ht="15" hidden="false" customHeight="false" outlineLevel="0" collapsed="false">
      <c r="A19" s="10" t="n">
        <v>12</v>
      </c>
      <c r="B19" s="11" t="n">
        <v>511522205014</v>
      </c>
      <c r="C19" s="12" t="s">
        <v>172</v>
      </c>
      <c r="D19" s="80" t="s">
        <v>28</v>
      </c>
      <c r="E19" s="80" t="s">
        <v>28</v>
      </c>
      <c r="F19" s="80" t="s">
        <v>33</v>
      </c>
      <c r="G19" s="80" t="s">
        <v>35</v>
      </c>
      <c r="H19" s="80" t="s">
        <v>35</v>
      </c>
      <c r="I19" s="80" t="s">
        <v>33</v>
      </c>
      <c r="J19" s="80" t="s">
        <v>32</v>
      </c>
      <c r="K19" s="80" t="s">
        <v>32</v>
      </c>
      <c r="L19" s="80" t="s">
        <v>32</v>
      </c>
      <c r="M19" s="14" t="str">
        <f aca="false">COUNTIF(D19:L19,"U")</f>
        <v>0</v>
      </c>
      <c r="N19" s="15" t="str">
        <f aca="false">COUNTIF(E19:M19,"UA")</f>
        <v>0</v>
      </c>
      <c r="O19" s="14" t="str">
        <f aca="false">M19+N19</f>
        <v>0</v>
      </c>
      <c r="P19" s="16" t="str">
        <f aca="false">IF(AND(M19=0,N19=0),"PASS","FAIL")</f>
        <v>PASS</v>
      </c>
      <c r="Q19" s="0" t="str">
        <f aca="false">IF(OR(D19="U",E19="U",F19="U",G19="U",H19="U",I19="U",J19="U",K19="U",L19="U"),"FAIL",IF(OR(D19="UA",E19="UA",F19="UA",G19="UA",H19="UA",I19="UA",J19="UA",K19="UA",L19="UA"),"FAIL","PASS"))</f>
        <v>PASS</v>
      </c>
    </row>
    <row r="20" customFormat="false" ht="15" hidden="false" customHeight="false" outlineLevel="0" collapsed="false">
      <c r="A20" s="10" t="n">
        <v>13</v>
      </c>
      <c r="B20" s="11" t="n">
        <v>511522205015</v>
      </c>
      <c r="C20" s="12" t="s">
        <v>173</v>
      </c>
      <c r="D20" s="80" t="s">
        <v>35</v>
      </c>
      <c r="E20" s="80" t="s">
        <v>35</v>
      </c>
      <c r="F20" s="80" t="s">
        <v>35</v>
      </c>
      <c r="G20" s="80" t="s">
        <v>33</v>
      </c>
      <c r="H20" s="80" t="s">
        <v>35</v>
      </c>
      <c r="I20" s="80" t="s">
        <v>33</v>
      </c>
      <c r="J20" s="80" t="s">
        <v>32</v>
      </c>
      <c r="K20" s="80" t="s">
        <v>32</v>
      </c>
      <c r="L20" s="80" t="s">
        <v>32</v>
      </c>
      <c r="M20" s="14" t="str">
        <f aca="false">COUNTIF(D20:L20,"U")</f>
        <v>0</v>
      </c>
      <c r="N20" s="15" t="str">
        <f aca="false">COUNTIF(E20:M20,"UA")</f>
        <v>0</v>
      </c>
      <c r="O20" s="14" t="str">
        <f aca="false">M20+N20</f>
        <v>0</v>
      </c>
      <c r="P20" s="16" t="str">
        <f aca="false">IF(AND(M20=0,N20=0),"PASS","FAIL")</f>
        <v>PASS</v>
      </c>
      <c r="Q20" s="0" t="str">
        <f aca="false">IF(OR(D20="U",E20="U",F20="U",G20="U",H20="U",I20="U",J20="U",K20="U",L20="U"),"FAIL",IF(OR(D20="UA",E20="UA",F20="UA",G20="UA",H20="UA",I20="UA",J20="UA",K20="UA",L20="UA"),"FAIL","PASS"))</f>
        <v>PASS</v>
      </c>
    </row>
    <row r="21" customFormat="false" ht="15.75" hidden="false" customHeight="true" outlineLevel="0" collapsed="false">
      <c r="A21" s="10" t="n">
        <v>14</v>
      </c>
      <c r="B21" s="11" t="n">
        <v>511522205016</v>
      </c>
      <c r="C21" s="12" t="s">
        <v>174</v>
      </c>
      <c r="D21" s="80" t="s">
        <v>35</v>
      </c>
      <c r="E21" s="80" t="s">
        <v>35</v>
      </c>
      <c r="F21" s="80" t="s">
        <v>33</v>
      </c>
      <c r="G21" s="80" t="s">
        <v>35</v>
      </c>
      <c r="H21" s="80" t="s">
        <v>35</v>
      </c>
      <c r="I21" s="80" t="s">
        <v>33</v>
      </c>
      <c r="J21" s="80" t="s">
        <v>32</v>
      </c>
      <c r="K21" s="80" t="s">
        <v>32</v>
      </c>
      <c r="L21" s="80" t="s">
        <v>32</v>
      </c>
      <c r="M21" s="14" t="str">
        <f aca="false">COUNTIF(D21:L21,"U")</f>
        <v>0</v>
      </c>
      <c r="N21" s="15" t="str">
        <f aca="false">COUNTIF(E21:M21,"UA")</f>
        <v>0</v>
      </c>
      <c r="O21" s="14" t="str">
        <f aca="false">M21+N21</f>
        <v>0</v>
      </c>
      <c r="P21" s="16" t="str">
        <f aca="false">IF(AND(M21=0,N21=0),"PASS","FAIL")</f>
        <v>PASS</v>
      </c>
      <c r="Q21" s="0" t="str">
        <f aca="false">IF(OR(D21="U",E21="U",F21="U",G21="U",H21="U",I21="U",J21="U",K21="U",L21="U"),"FAIL",IF(OR(D21="UA",E21="UA",F21="UA",G21="UA",H21="UA",I21="UA",J21="UA",K21="UA",L21="UA"),"FAIL","PASS"))</f>
        <v>PASS</v>
      </c>
    </row>
    <row r="22" customFormat="false" ht="15.75" hidden="false" customHeight="true" outlineLevel="0" collapsed="false">
      <c r="A22" s="10" t="n">
        <v>15</v>
      </c>
      <c r="B22" s="11" t="n">
        <v>511522205017</v>
      </c>
      <c r="C22" s="12" t="s">
        <v>175</v>
      </c>
      <c r="D22" s="80" t="s">
        <v>33</v>
      </c>
      <c r="E22" s="80" t="s">
        <v>33</v>
      </c>
      <c r="F22" s="80" t="s">
        <v>30</v>
      </c>
      <c r="G22" s="80" t="s">
        <v>33</v>
      </c>
      <c r="H22" s="80" t="s">
        <v>35</v>
      </c>
      <c r="I22" s="80" t="s">
        <v>29</v>
      </c>
      <c r="J22" s="80" t="s">
        <v>32</v>
      </c>
      <c r="K22" s="80" t="s">
        <v>32</v>
      </c>
      <c r="L22" s="80" t="s">
        <v>32</v>
      </c>
      <c r="M22" s="14" t="str">
        <f aca="false">COUNTIF(D22:L22,"U")</f>
        <v>1</v>
      </c>
      <c r="N22" s="15" t="str">
        <f aca="false">COUNTIF(E22:M22,"UA")</f>
        <v>0</v>
      </c>
      <c r="O22" s="14" t="str">
        <f aca="false">M22+N22</f>
        <v>1</v>
      </c>
      <c r="P22" s="16" t="str">
        <f aca="false">IF(AND(M22=0,N22=0),"PASS","FAIL")</f>
        <v>FAIL</v>
      </c>
      <c r="Q22" s="0" t="str">
        <f aca="false">IF(OR(D22="U",E22="U",F22="U",G22="U",H22="U",I22="U",J22="U",K22="U",L22="U"),"FAIL",IF(OR(D22="UA",E22="UA",F22="UA",G22="UA",H22="UA",I22="UA",J22="UA",K22="UA",L22="UA"),"FAIL","PASS"))</f>
        <v>FAIL</v>
      </c>
    </row>
    <row r="23" customFormat="false" ht="15.75" hidden="false" customHeight="true" outlineLevel="0" collapsed="false">
      <c r="A23" s="10" t="n">
        <v>16</v>
      </c>
      <c r="B23" s="11" t="n">
        <v>511522205018</v>
      </c>
      <c r="C23" s="12" t="s">
        <v>176</v>
      </c>
      <c r="D23" s="80" t="s">
        <v>33</v>
      </c>
      <c r="E23" s="80" t="s">
        <v>30</v>
      </c>
      <c r="F23" s="80" t="s">
        <v>30</v>
      </c>
      <c r="G23" s="80" t="s">
        <v>33</v>
      </c>
      <c r="H23" s="80" t="s">
        <v>33</v>
      </c>
      <c r="I23" s="80" t="s">
        <v>29</v>
      </c>
      <c r="J23" s="80" t="s">
        <v>32</v>
      </c>
      <c r="K23" s="80" t="s">
        <v>32</v>
      </c>
      <c r="L23" s="80" t="s">
        <v>32</v>
      </c>
      <c r="M23" s="14" t="str">
        <f aca="false">COUNTIF(D23:L23,"U")</f>
        <v>1</v>
      </c>
      <c r="N23" s="15" t="str">
        <f aca="false">COUNTIF(E23:M23,"UA")</f>
        <v>0</v>
      </c>
      <c r="O23" s="14" t="str">
        <f aca="false">M23+N23</f>
        <v>1</v>
      </c>
      <c r="P23" s="16" t="str">
        <f aca="false">IF(AND(M23=0,N23=0),"PASS","FAIL")</f>
        <v>FAIL</v>
      </c>
      <c r="Q23" s="0" t="str">
        <f aca="false">IF(OR(D23="U",E23="U",F23="U",G23="U",H23="U",I23="U",J23="U",K23="U",L23="U"),"FAIL",IF(OR(D23="UA",E23="UA",F23="UA",G23="UA",H23="UA",I23="UA",J23="UA",K23="UA",L23="UA"),"FAIL","PASS"))</f>
        <v>FAIL</v>
      </c>
    </row>
    <row r="24" customFormat="false" ht="15.75" hidden="false" customHeight="true" outlineLevel="0" collapsed="false">
      <c r="A24" s="10" t="n">
        <v>17</v>
      </c>
      <c r="B24" s="11" t="n">
        <v>511522205019</v>
      </c>
      <c r="C24" s="12" t="s">
        <v>177</v>
      </c>
      <c r="D24" s="80" t="s">
        <v>28</v>
      </c>
      <c r="E24" s="80" t="s">
        <v>28</v>
      </c>
      <c r="F24" s="80" t="s">
        <v>28</v>
      </c>
      <c r="G24" s="80" t="s">
        <v>28</v>
      </c>
      <c r="H24" s="80" t="s">
        <v>35</v>
      </c>
      <c r="I24" s="80" t="s">
        <v>35</v>
      </c>
      <c r="J24" s="80" t="s">
        <v>32</v>
      </c>
      <c r="K24" s="80" t="s">
        <v>32</v>
      </c>
      <c r="L24" s="80" t="s">
        <v>32</v>
      </c>
      <c r="M24" s="14" t="str">
        <f aca="false">COUNTIF(D24:L24,"U")</f>
        <v>0</v>
      </c>
      <c r="N24" s="15" t="str">
        <f aca="false">COUNTIF(E24:M24,"UA")</f>
        <v>0</v>
      </c>
      <c r="O24" s="14" t="str">
        <f aca="false">M24+N24</f>
        <v>0</v>
      </c>
      <c r="P24" s="16" t="str">
        <f aca="false">IF(AND(M24=0,N24=0),"PASS","FAIL")</f>
        <v>PASS</v>
      </c>
      <c r="Q24" s="0" t="str">
        <f aca="false">IF(OR(D24="U",E24="U",F24="U",G24="U",H24="U",I24="U",J24="U",K24="U",L24="U"),"FAIL",IF(OR(D24="UA",E24="UA",F24="UA",G24="UA",H24="UA",I24="UA",J24="UA",K24="UA",L24="UA"),"FAIL","PASS"))</f>
        <v>PASS</v>
      </c>
    </row>
    <row r="25" customFormat="false" ht="15.75" hidden="false" customHeight="true" outlineLevel="0" collapsed="false">
      <c r="A25" s="10" t="n">
        <v>18</v>
      </c>
      <c r="B25" s="11" t="n">
        <v>511522205020</v>
      </c>
      <c r="C25" s="12" t="s">
        <v>178</v>
      </c>
      <c r="D25" s="80" t="s">
        <v>35</v>
      </c>
      <c r="E25" s="80" t="s">
        <v>35</v>
      </c>
      <c r="F25" s="80" t="s">
        <v>35</v>
      </c>
      <c r="G25" s="80" t="s">
        <v>35</v>
      </c>
      <c r="H25" s="80" t="s">
        <v>35</v>
      </c>
      <c r="I25" s="80" t="s">
        <v>33</v>
      </c>
      <c r="J25" s="80" t="s">
        <v>32</v>
      </c>
      <c r="K25" s="80" t="s">
        <v>32</v>
      </c>
      <c r="L25" s="80" t="s">
        <v>32</v>
      </c>
      <c r="M25" s="14" t="str">
        <f aca="false">COUNTIF(D25:L25,"U")</f>
        <v>0</v>
      </c>
      <c r="N25" s="15" t="str">
        <f aca="false">COUNTIF(E25:M25,"UA")</f>
        <v>0</v>
      </c>
      <c r="O25" s="14" t="str">
        <f aca="false">M25+N25</f>
        <v>0</v>
      </c>
      <c r="P25" s="16" t="str">
        <f aca="false">IF(AND(M25=0,N25=0),"PASS","FAIL")</f>
        <v>PASS</v>
      </c>
      <c r="Q25" s="0" t="str">
        <f aca="false">IF(OR(D25="U",E25="U",F25="U",G25="U",H25="U",I25="U",J25="U",K25="U",L25="U"),"FAIL",IF(OR(D25="UA",E25="UA",F25="UA",G25="UA",H25="UA",I25="UA",J25="UA",K25="UA",L25="UA"),"FAIL","PASS"))</f>
        <v>PASS</v>
      </c>
    </row>
    <row r="26" customFormat="false" ht="15.75" hidden="false" customHeight="true" outlineLevel="0" collapsed="false">
      <c r="A26" s="10" t="n">
        <v>19</v>
      </c>
      <c r="B26" s="11" t="n">
        <v>511522205021</v>
      </c>
      <c r="C26" s="12" t="s">
        <v>179</v>
      </c>
      <c r="D26" s="80" t="s">
        <v>35</v>
      </c>
      <c r="E26" s="80" t="s">
        <v>35</v>
      </c>
      <c r="F26" s="80" t="s">
        <v>33</v>
      </c>
      <c r="G26" s="80" t="s">
        <v>33</v>
      </c>
      <c r="H26" s="80" t="s">
        <v>35</v>
      </c>
      <c r="I26" s="80" t="s">
        <v>29</v>
      </c>
      <c r="J26" s="80" t="s">
        <v>32</v>
      </c>
      <c r="K26" s="80" t="s">
        <v>32</v>
      </c>
      <c r="L26" s="80" t="s">
        <v>32</v>
      </c>
      <c r="M26" s="14" t="str">
        <f aca="false">COUNTIF(D26:L26,"U")</f>
        <v>1</v>
      </c>
      <c r="N26" s="15" t="str">
        <f aca="false">COUNTIF(E26:M26,"UA")</f>
        <v>0</v>
      </c>
      <c r="O26" s="14" t="str">
        <f aca="false">M26+N26</f>
        <v>1</v>
      </c>
      <c r="P26" s="16" t="str">
        <f aca="false">IF(AND(M26=0,N26=0),"PASS","FAIL")</f>
        <v>FAIL</v>
      </c>
      <c r="Q26" s="0" t="str">
        <f aca="false">IF(OR(D26="U",E26="U",F26="U",G26="U",H26="U",I26="U",J26="U",K26="U",L26="U"),"FAIL",IF(OR(D26="UA",E26="UA",F26="UA",G26="UA",H26="UA",I26="UA",J26="UA",K26="UA",L26="UA"),"FAIL","PASS"))</f>
        <v>FAIL</v>
      </c>
    </row>
    <row r="27" customFormat="false" ht="15.75" hidden="false" customHeight="true" outlineLevel="0" collapsed="false">
      <c r="A27" s="10" t="n">
        <v>20</v>
      </c>
      <c r="B27" s="11" t="n">
        <v>511522205022</v>
      </c>
      <c r="C27" s="12" t="s">
        <v>180</v>
      </c>
      <c r="D27" s="80" t="s">
        <v>35</v>
      </c>
      <c r="E27" s="80" t="s">
        <v>35</v>
      </c>
      <c r="F27" s="80" t="s">
        <v>35</v>
      </c>
      <c r="G27" s="80" t="s">
        <v>35</v>
      </c>
      <c r="H27" s="80" t="s">
        <v>35</v>
      </c>
      <c r="I27" s="80" t="s">
        <v>35</v>
      </c>
      <c r="J27" s="80" t="s">
        <v>32</v>
      </c>
      <c r="K27" s="80" t="s">
        <v>32</v>
      </c>
      <c r="L27" s="80" t="s">
        <v>32</v>
      </c>
      <c r="M27" s="14" t="str">
        <f aca="false">COUNTIF(D27:L27,"U")</f>
        <v>0</v>
      </c>
      <c r="N27" s="15" t="str">
        <f aca="false">COUNTIF(E27:M27,"UA")</f>
        <v>0</v>
      </c>
      <c r="O27" s="14" t="str">
        <f aca="false">M27+N27</f>
        <v>0</v>
      </c>
      <c r="P27" s="16" t="str">
        <f aca="false">IF(AND(M27=0,N27=0),"PASS","FAIL")</f>
        <v>PASS</v>
      </c>
      <c r="Q27" s="0" t="str">
        <f aca="false">IF(OR(D27="U",E27="U",F27="U",G27="U",H27="U",I27="U",J27="U",K27="U",L27="U"),"FAIL",IF(OR(D27="UA",E27="UA",F27="UA",G27="UA",H27="UA",I27="UA",J27="UA",K27="UA",L27="UA"),"FAIL","PASS"))</f>
        <v>PASS</v>
      </c>
    </row>
    <row r="28" customFormat="false" ht="15.75" hidden="false" customHeight="true" outlineLevel="0" collapsed="false">
      <c r="A28" s="10" t="n">
        <v>21</v>
      </c>
      <c r="B28" s="11" t="n">
        <v>511522205024</v>
      </c>
      <c r="C28" s="12" t="s">
        <v>181</v>
      </c>
      <c r="D28" s="80" t="s">
        <v>35</v>
      </c>
      <c r="E28" s="80" t="s">
        <v>35</v>
      </c>
      <c r="F28" s="80" t="s">
        <v>33</v>
      </c>
      <c r="G28" s="80" t="s">
        <v>35</v>
      </c>
      <c r="H28" s="80" t="s">
        <v>35</v>
      </c>
      <c r="I28" s="80" t="s">
        <v>33</v>
      </c>
      <c r="J28" s="80" t="s">
        <v>32</v>
      </c>
      <c r="K28" s="80" t="s">
        <v>32</v>
      </c>
      <c r="L28" s="80" t="s">
        <v>32</v>
      </c>
      <c r="M28" s="14" t="str">
        <f aca="false">COUNTIF(D28:L28,"U")</f>
        <v>0</v>
      </c>
      <c r="N28" s="15" t="str">
        <f aca="false">COUNTIF(E28:M28,"UA")</f>
        <v>0</v>
      </c>
      <c r="O28" s="14" t="str">
        <f aca="false">M28+N28</f>
        <v>0</v>
      </c>
      <c r="P28" s="16" t="str">
        <f aca="false">IF(AND(M28=0,N28=0),"PASS","FAIL")</f>
        <v>PASS</v>
      </c>
      <c r="Q28" s="0" t="str">
        <f aca="false">IF(OR(D28="U",E28="U",F28="U",G28="U",H28="U",I28="U",J28="U",K28="U",L28="U"),"FAIL",IF(OR(D28="UA",E28="UA",F28="UA",G28="UA",H28="UA",I28="UA",J28="UA",K28="UA",L28="UA"),"FAIL","PASS"))</f>
        <v>PASS</v>
      </c>
    </row>
    <row r="29" customFormat="false" ht="15.75" hidden="false" customHeight="true" outlineLevel="0" collapsed="false">
      <c r="A29" s="10" t="n">
        <v>22</v>
      </c>
      <c r="B29" s="11" t="n">
        <v>511522205025</v>
      </c>
      <c r="C29" s="12" t="s">
        <v>182</v>
      </c>
      <c r="D29" s="80" t="s">
        <v>35</v>
      </c>
      <c r="E29" s="80" t="s">
        <v>35</v>
      </c>
      <c r="F29" s="80" t="s">
        <v>28</v>
      </c>
      <c r="G29" s="80" t="s">
        <v>35</v>
      </c>
      <c r="H29" s="80" t="s">
        <v>35</v>
      </c>
      <c r="I29" s="80" t="s">
        <v>35</v>
      </c>
      <c r="J29" s="80" t="s">
        <v>32</v>
      </c>
      <c r="K29" s="80" t="s">
        <v>32</v>
      </c>
      <c r="L29" s="80" t="s">
        <v>32</v>
      </c>
      <c r="M29" s="14" t="str">
        <f aca="false">COUNTIF(D29:L29,"U")</f>
        <v>0</v>
      </c>
      <c r="N29" s="15" t="str">
        <f aca="false">COUNTIF(E29:M29,"UA")</f>
        <v>0</v>
      </c>
      <c r="O29" s="14" t="str">
        <f aca="false">M29+N29</f>
        <v>0</v>
      </c>
      <c r="P29" s="16" t="str">
        <f aca="false">IF(AND(M29=0,N29=0),"PASS","FAIL")</f>
        <v>PASS</v>
      </c>
      <c r="Q29" s="0" t="str">
        <f aca="false">IF(OR(D29="U",E29="U",F29="U",G29="U",H29="U",I29="U",J29="U",K29="U",L29="U"),"FAIL",IF(OR(D29="UA",E29="UA",F29="UA",G29="UA",H29="UA",I29="UA",J29="UA",K29="UA",L29="UA"),"FAIL","PASS"))</f>
        <v>PASS</v>
      </c>
    </row>
    <row r="30" customFormat="false" ht="15.75" hidden="false" customHeight="true" outlineLevel="0" collapsed="false">
      <c r="A30" s="10" t="n">
        <v>23</v>
      </c>
      <c r="B30" s="11" t="n">
        <v>511522205026</v>
      </c>
      <c r="C30" s="12" t="s">
        <v>183</v>
      </c>
      <c r="D30" s="80" t="s">
        <v>35</v>
      </c>
      <c r="E30" s="80" t="s">
        <v>33</v>
      </c>
      <c r="F30" s="80" t="s">
        <v>29</v>
      </c>
      <c r="G30" s="80" t="s">
        <v>33</v>
      </c>
      <c r="H30" s="80" t="s">
        <v>35</v>
      </c>
      <c r="I30" s="80" t="s">
        <v>29</v>
      </c>
      <c r="J30" s="80" t="s">
        <v>32</v>
      </c>
      <c r="K30" s="80" t="s">
        <v>32</v>
      </c>
      <c r="L30" s="80" t="s">
        <v>32</v>
      </c>
      <c r="M30" s="14" t="str">
        <f aca="false">COUNTIF(D30:L30,"U")</f>
        <v>2</v>
      </c>
      <c r="N30" s="15" t="str">
        <f aca="false">COUNTIF(E30:M30,"UA")</f>
        <v>0</v>
      </c>
      <c r="O30" s="14" t="str">
        <f aca="false">M30+N30</f>
        <v>2</v>
      </c>
      <c r="P30" s="16" t="str">
        <f aca="false">IF(AND(M30=0,N30=0),"PASS","FAIL")</f>
        <v>FAIL</v>
      </c>
      <c r="Q30" s="0" t="str">
        <f aca="false">IF(OR(D30="U",E30="U",F30="U",G30="U",H30="U",I30="U",J30="U",K30="U",L30="U"),"FAIL",IF(OR(D30="UA",E30="UA",F30="UA",G30="UA",H30="UA",I30="UA",J30="UA",K30="UA",L30="UA"),"FAIL","PASS"))</f>
        <v>FAIL</v>
      </c>
    </row>
    <row r="31" customFormat="false" ht="15.75" hidden="false" customHeight="true" outlineLevel="0" collapsed="false">
      <c r="A31" s="10" t="n">
        <v>24</v>
      </c>
      <c r="B31" s="11" t="n">
        <v>511522205027</v>
      </c>
      <c r="C31" s="12" t="s">
        <v>184</v>
      </c>
      <c r="D31" s="80" t="s">
        <v>35</v>
      </c>
      <c r="E31" s="80" t="s">
        <v>35</v>
      </c>
      <c r="F31" s="80" t="s">
        <v>33</v>
      </c>
      <c r="G31" s="80" t="s">
        <v>35</v>
      </c>
      <c r="H31" s="80" t="s">
        <v>35</v>
      </c>
      <c r="I31" s="80" t="s">
        <v>35</v>
      </c>
      <c r="J31" s="80" t="s">
        <v>32</v>
      </c>
      <c r="K31" s="80" t="s">
        <v>32</v>
      </c>
      <c r="L31" s="80" t="s">
        <v>32</v>
      </c>
      <c r="M31" s="14" t="str">
        <f aca="false">COUNTIF(D31:L31,"U")</f>
        <v>0</v>
      </c>
      <c r="N31" s="15" t="str">
        <f aca="false">COUNTIF(E31:M31,"UA")</f>
        <v>0</v>
      </c>
      <c r="O31" s="14" t="str">
        <f aca="false">M31+N31</f>
        <v>0</v>
      </c>
      <c r="P31" s="16" t="str">
        <f aca="false">IF(AND(M31=0,N31=0),"PASS","FAIL")</f>
        <v>PASS</v>
      </c>
      <c r="Q31" s="0" t="str">
        <f aca="false">IF(OR(D31="U",E31="U",F31="U",G31="U",H31="U",I31="U",J31="U",K31="U",L31="U"),"FAIL",IF(OR(D31="UA",E31="UA",F31="UA",G31="UA",H31="UA",I31="UA",J31="UA",K31="UA",L31="UA"),"FAIL","PASS"))</f>
        <v>PASS</v>
      </c>
    </row>
    <row r="32" customFormat="false" ht="15.75" hidden="false" customHeight="true" outlineLevel="0" collapsed="false">
      <c r="A32" s="10" t="n">
        <v>25</v>
      </c>
      <c r="B32" s="11" t="n">
        <v>511522205028</v>
      </c>
      <c r="C32" s="12" t="s">
        <v>185</v>
      </c>
      <c r="D32" s="80" t="s">
        <v>35</v>
      </c>
      <c r="E32" s="80" t="s">
        <v>35</v>
      </c>
      <c r="F32" s="80" t="s">
        <v>33</v>
      </c>
      <c r="G32" s="80" t="s">
        <v>33</v>
      </c>
      <c r="H32" s="80" t="s">
        <v>35</v>
      </c>
      <c r="I32" s="80" t="s">
        <v>33</v>
      </c>
      <c r="J32" s="80" t="s">
        <v>32</v>
      </c>
      <c r="K32" s="80" t="s">
        <v>32</v>
      </c>
      <c r="L32" s="80" t="s">
        <v>32</v>
      </c>
      <c r="M32" s="14" t="str">
        <f aca="false">COUNTIF(D32:L32,"U")</f>
        <v>0</v>
      </c>
      <c r="N32" s="15" t="str">
        <f aca="false">COUNTIF(E32:M32,"UA")</f>
        <v>0</v>
      </c>
      <c r="O32" s="14" t="str">
        <f aca="false">M32+N32</f>
        <v>0</v>
      </c>
      <c r="P32" s="16" t="str">
        <f aca="false">IF(AND(M32=0,N32=0),"PASS","FAIL")</f>
        <v>PASS</v>
      </c>
      <c r="Q32" s="0" t="str">
        <f aca="false">IF(OR(D32="U",E32="U",F32="U",G32="U",H32="U",I32="U",J32="U",K32="U",L32="U"),"FAIL",IF(OR(D32="UA",E32="UA",F32="UA",G32="UA",H32="UA",I32="UA",J32="UA",K32="UA",L32="UA"),"FAIL","PASS"))</f>
        <v>PASS</v>
      </c>
    </row>
    <row r="33" customFormat="false" ht="15.75" hidden="false" customHeight="true" outlineLevel="0" collapsed="false">
      <c r="A33" s="10" t="n">
        <v>26</v>
      </c>
      <c r="B33" s="11" t="n">
        <v>511522205029</v>
      </c>
      <c r="C33" s="12" t="s">
        <v>186</v>
      </c>
      <c r="D33" s="80" t="s">
        <v>35</v>
      </c>
      <c r="E33" s="80" t="s">
        <v>35</v>
      </c>
      <c r="F33" s="80" t="s">
        <v>35</v>
      </c>
      <c r="G33" s="80" t="s">
        <v>33</v>
      </c>
      <c r="H33" s="80" t="s">
        <v>35</v>
      </c>
      <c r="I33" s="80" t="s">
        <v>28</v>
      </c>
      <c r="J33" s="80" t="s">
        <v>32</v>
      </c>
      <c r="K33" s="80" t="s">
        <v>32</v>
      </c>
      <c r="L33" s="80" t="s">
        <v>32</v>
      </c>
      <c r="M33" s="14" t="str">
        <f aca="false">COUNTIF(D33:L33,"U")</f>
        <v>0</v>
      </c>
      <c r="N33" s="15" t="str">
        <f aca="false">COUNTIF(E33:M33,"UA")</f>
        <v>0</v>
      </c>
      <c r="O33" s="14" t="str">
        <f aca="false">M33+N33</f>
        <v>0</v>
      </c>
      <c r="P33" s="16" t="str">
        <f aca="false">IF(AND(M33=0,N33=0),"PASS","FAIL")</f>
        <v>PASS</v>
      </c>
      <c r="Q33" s="0" t="str">
        <f aca="false">IF(OR(D33="U",E33="U",F33="U",G33="U",H33="U",I33="U",J33="U",K33="U",L33="U"),"FAIL",IF(OR(D33="UA",E33="UA",F33="UA",G33="UA",H33="UA",I33="UA",J33="UA",K33="UA",L33="UA"),"FAIL","PASS"))</f>
        <v>PASS</v>
      </c>
    </row>
    <row r="34" customFormat="false" ht="15.75" hidden="false" customHeight="true" outlineLevel="0" collapsed="false">
      <c r="A34" s="10" t="n">
        <v>27</v>
      </c>
      <c r="B34" s="11" t="n">
        <v>511522205030</v>
      </c>
      <c r="C34" s="12" t="s">
        <v>187</v>
      </c>
      <c r="D34" s="80" t="s">
        <v>35</v>
      </c>
      <c r="E34" s="80" t="s">
        <v>33</v>
      </c>
      <c r="F34" s="80" t="s">
        <v>33</v>
      </c>
      <c r="G34" s="80" t="s">
        <v>33</v>
      </c>
      <c r="H34" s="80" t="s">
        <v>35</v>
      </c>
      <c r="I34" s="80" t="s">
        <v>29</v>
      </c>
      <c r="J34" s="80" t="s">
        <v>32</v>
      </c>
      <c r="K34" s="80" t="s">
        <v>32</v>
      </c>
      <c r="L34" s="80" t="s">
        <v>32</v>
      </c>
      <c r="M34" s="14" t="str">
        <f aca="false">COUNTIF(D34:L34,"U")</f>
        <v>1</v>
      </c>
      <c r="N34" s="15" t="str">
        <f aca="false">COUNTIF(E34:M34,"UA")</f>
        <v>0</v>
      </c>
      <c r="O34" s="14" t="str">
        <f aca="false">M34+N34</f>
        <v>1</v>
      </c>
      <c r="P34" s="16" t="str">
        <f aca="false">IF(AND(M34=0,N34=0),"PASS","FAIL")</f>
        <v>FAIL</v>
      </c>
      <c r="Q34" s="0" t="str">
        <f aca="false">IF(OR(D34="U",E34="U",F34="U",G34="U",H34="U",I34="U",J34="U",K34="U",L34="U"),"FAIL",IF(OR(D34="UA",E34="UA",F34="UA",G34="UA",H34="UA",I34="UA",J34="UA",K34="UA",L34="UA"),"FAIL","PASS"))</f>
        <v>FAIL</v>
      </c>
    </row>
    <row r="35" customFormat="false" ht="15.75" hidden="false" customHeight="true" outlineLevel="0" collapsed="false">
      <c r="A35" s="10" t="n">
        <v>28</v>
      </c>
      <c r="B35" s="11" t="n">
        <v>511522205031</v>
      </c>
      <c r="C35" s="12" t="s">
        <v>188</v>
      </c>
      <c r="D35" s="80" t="s">
        <v>189</v>
      </c>
      <c r="E35" s="80" t="s">
        <v>30</v>
      </c>
      <c r="F35" s="80" t="s">
        <v>30</v>
      </c>
      <c r="G35" s="80" t="s">
        <v>33</v>
      </c>
      <c r="H35" s="80" t="s">
        <v>33</v>
      </c>
      <c r="I35" s="80" t="s">
        <v>29</v>
      </c>
      <c r="J35" s="80" t="s">
        <v>32</v>
      </c>
      <c r="K35" s="80" t="s">
        <v>32</v>
      </c>
      <c r="L35" s="80" t="s">
        <v>32</v>
      </c>
      <c r="M35" s="14" t="str">
        <f aca="false">COUNTIF(D35:L35,"U")</f>
        <v>1</v>
      </c>
      <c r="N35" s="15" t="str">
        <f aca="false">COUNTIF(E35:M35,"UA")</f>
        <v>0</v>
      </c>
      <c r="O35" s="14" t="str">
        <f aca="false">M35+N35</f>
        <v>1</v>
      </c>
      <c r="P35" s="16" t="str">
        <f aca="false">IF(AND(M35=0,N35=0),"PASS","FAIL")</f>
        <v>FAIL</v>
      </c>
      <c r="Q35" s="0" t="str">
        <f aca="false">IF(OR(D35="U",E35="U",F35="U",G35="U",H35="U",I35="U",J35="U",K35="U",L35="U"),"FAIL",IF(OR(D35="UA",E35="UA",F35="UA",G35="UA",H35="UA",I35="UA",J35="UA",K35="UA",L35="UA"),"FAIL","PASS"))</f>
        <v>FAIL</v>
      </c>
    </row>
    <row r="36" customFormat="false" ht="15.75" hidden="false" customHeight="true" outlineLevel="0" collapsed="false">
      <c r="A36" s="10" t="n">
        <v>29</v>
      </c>
      <c r="B36" s="11" t="n">
        <v>511522205032</v>
      </c>
      <c r="C36" s="12" t="s">
        <v>190</v>
      </c>
      <c r="D36" s="80" t="s">
        <v>33</v>
      </c>
      <c r="E36" s="80" t="s">
        <v>33</v>
      </c>
      <c r="F36" s="80" t="s">
        <v>33</v>
      </c>
      <c r="G36" s="80" t="s">
        <v>35</v>
      </c>
      <c r="H36" s="80" t="s">
        <v>33</v>
      </c>
      <c r="I36" s="80" t="s">
        <v>33</v>
      </c>
      <c r="J36" s="80" t="s">
        <v>32</v>
      </c>
      <c r="K36" s="80" t="s">
        <v>32</v>
      </c>
      <c r="L36" s="80" t="s">
        <v>32</v>
      </c>
      <c r="M36" s="14" t="str">
        <f aca="false">COUNTIF(D36:L36,"U")</f>
        <v>0</v>
      </c>
      <c r="N36" s="15" t="str">
        <f aca="false">COUNTIF(E36:M36,"UA")</f>
        <v>0</v>
      </c>
      <c r="O36" s="14" t="str">
        <f aca="false">M36+N36</f>
        <v>0</v>
      </c>
      <c r="P36" s="16" t="str">
        <f aca="false">IF(AND(M36=0,N36=0),"PASS","FAIL")</f>
        <v>PASS</v>
      </c>
      <c r="Q36" s="0" t="str">
        <f aca="false">IF(OR(D36="U",E36="U",F36="U",G36="U",H36="U",I36="U",J36="U",K36="U",L36="U"),"FAIL",IF(OR(D36="UA",E36="UA",F36="UA",G36="UA",H36="UA",I36="UA",J36="UA",K36="UA",L36="UA"),"FAIL","PASS"))</f>
        <v>PASS</v>
      </c>
    </row>
    <row r="37" customFormat="false" ht="15.75" hidden="false" customHeight="true" outlineLevel="0" collapsed="false">
      <c r="A37" s="10" t="n">
        <v>30</v>
      </c>
      <c r="B37" s="11" t="n">
        <v>511522205033</v>
      </c>
      <c r="C37" s="12" t="s">
        <v>191</v>
      </c>
      <c r="D37" s="80" t="s">
        <v>33</v>
      </c>
      <c r="E37" s="80" t="s">
        <v>30</v>
      </c>
      <c r="F37" s="80" t="s">
        <v>29</v>
      </c>
      <c r="G37" s="80" t="s">
        <v>33</v>
      </c>
      <c r="H37" s="80" t="s">
        <v>33</v>
      </c>
      <c r="I37" s="80" t="s">
        <v>29</v>
      </c>
      <c r="J37" s="80" t="s">
        <v>32</v>
      </c>
      <c r="K37" s="80" t="s">
        <v>32</v>
      </c>
      <c r="L37" s="80" t="s">
        <v>32</v>
      </c>
      <c r="M37" s="14" t="str">
        <f aca="false">COUNTIF(D37:L37,"U")</f>
        <v>2</v>
      </c>
      <c r="N37" s="15" t="str">
        <f aca="false">COUNTIF(E37:M37,"UA")</f>
        <v>0</v>
      </c>
      <c r="O37" s="14" t="str">
        <f aca="false">M37+N37</f>
        <v>2</v>
      </c>
      <c r="P37" s="16" t="str">
        <f aca="false">IF(AND(M37=0,N37=0),"PASS","FAIL")</f>
        <v>FAIL</v>
      </c>
      <c r="Q37" s="0" t="str">
        <f aca="false">IF(OR(D37="U",E37="U",F37="U",G37="U",H37="U",I37="U",J37="U",K37="U",L37="U"),"FAIL",IF(OR(D37="UA",E37="UA",F37="UA",G37="UA",H37="UA",I37="UA",J37="UA",K37="UA",L37="UA"),"FAIL","PASS"))</f>
        <v>FAIL</v>
      </c>
    </row>
    <row r="38" customFormat="false" ht="15.75" hidden="false" customHeight="true" outlineLevel="0" collapsed="false">
      <c r="A38" s="10" t="n">
        <v>31</v>
      </c>
      <c r="B38" s="11" t="n">
        <v>511522205034</v>
      </c>
      <c r="C38" s="12" t="s">
        <v>192</v>
      </c>
      <c r="D38" s="80" t="s">
        <v>33</v>
      </c>
      <c r="E38" s="80" t="s">
        <v>33</v>
      </c>
      <c r="F38" s="80" t="s">
        <v>30</v>
      </c>
      <c r="G38" s="80" t="s">
        <v>33</v>
      </c>
      <c r="H38" s="80" t="s">
        <v>33</v>
      </c>
      <c r="I38" s="80" t="s">
        <v>33</v>
      </c>
      <c r="J38" s="80" t="s">
        <v>32</v>
      </c>
      <c r="K38" s="80" t="s">
        <v>32</v>
      </c>
      <c r="L38" s="80" t="s">
        <v>32</v>
      </c>
      <c r="M38" s="14" t="str">
        <f aca="false">COUNTIF(D38:L38,"U")</f>
        <v>0</v>
      </c>
      <c r="N38" s="15" t="str">
        <f aca="false">COUNTIF(E38:M38,"UA")</f>
        <v>0</v>
      </c>
      <c r="O38" s="14" t="str">
        <f aca="false">M38+N38</f>
        <v>0</v>
      </c>
      <c r="P38" s="16" t="str">
        <f aca="false">IF(AND(M38=0,N38=0),"PASS","FAIL")</f>
        <v>PASS</v>
      </c>
      <c r="Q38" s="0" t="str">
        <f aca="false">IF(OR(D38="U",E38="U",F38="U",G38="U",H38="U",I38="U",J38="U",K38="U",L38="U"),"FAIL",IF(OR(D38="UA",E38="UA",F38="UA",G38="UA",H38="UA",I38="UA",J38="UA",K38="UA",L38="UA"),"FAIL","PASS"))</f>
        <v>PASS</v>
      </c>
    </row>
    <row r="39" customFormat="false" ht="15.75" hidden="false" customHeight="true" outlineLevel="0" collapsed="false">
      <c r="A39" s="10" t="n">
        <v>32</v>
      </c>
      <c r="B39" s="11" t="n">
        <v>511522205035</v>
      </c>
      <c r="C39" s="12" t="s">
        <v>193</v>
      </c>
      <c r="D39" s="80" t="s">
        <v>35</v>
      </c>
      <c r="E39" s="80" t="s">
        <v>35</v>
      </c>
      <c r="F39" s="80" t="s">
        <v>35</v>
      </c>
      <c r="G39" s="80" t="s">
        <v>35</v>
      </c>
      <c r="H39" s="80" t="s">
        <v>35</v>
      </c>
      <c r="I39" s="80" t="s">
        <v>28</v>
      </c>
      <c r="J39" s="80" t="s">
        <v>32</v>
      </c>
      <c r="K39" s="80" t="s">
        <v>32</v>
      </c>
      <c r="L39" s="80" t="s">
        <v>32</v>
      </c>
      <c r="M39" s="14" t="str">
        <f aca="false">COUNTIF(D39:L39,"U")</f>
        <v>0</v>
      </c>
      <c r="N39" s="15" t="str">
        <f aca="false">COUNTIF(E39:M39,"UA")</f>
        <v>0</v>
      </c>
      <c r="O39" s="14" t="str">
        <f aca="false">M39+N39</f>
        <v>0</v>
      </c>
      <c r="P39" s="16" t="str">
        <f aca="false">IF(AND(M39=0,N39=0),"PASS","FAIL")</f>
        <v>PASS</v>
      </c>
      <c r="Q39" s="0" t="str">
        <f aca="false">IF(OR(D39="U",E39="U",F39="U",G39="U",H39="U",I39="U",J39="U",K39="U",L39="U"),"FAIL",IF(OR(D39="UA",E39="UA",F39="UA",G39="UA",H39="UA",I39="UA",J39="UA",K39="UA",L39="UA"),"FAIL","PASS"))</f>
        <v>PASS</v>
      </c>
    </row>
    <row r="40" customFormat="false" ht="15.75" hidden="false" customHeight="true" outlineLevel="0" collapsed="false">
      <c r="A40" s="10" t="n">
        <v>33</v>
      </c>
      <c r="B40" s="11" t="n">
        <v>511522205036</v>
      </c>
      <c r="C40" s="12" t="s">
        <v>194</v>
      </c>
      <c r="D40" s="80" t="s">
        <v>35</v>
      </c>
      <c r="E40" s="80" t="s">
        <v>35</v>
      </c>
      <c r="F40" s="80" t="s">
        <v>33</v>
      </c>
      <c r="G40" s="80" t="s">
        <v>35</v>
      </c>
      <c r="H40" s="80" t="s">
        <v>35</v>
      </c>
      <c r="I40" s="80" t="s">
        <v>29</v>
      </c>
      <c r="J40" s="80" t="s">
        <v>32</v>
      </c>
      <c r="K40" s="80" t="s">
        <v>32</v>
      </c>
      <c r="L40" s="80" t="s">
        <v>32</v>
      </c>
      <c r="M40" s="14" t="str">
        <f aca="false">COUNTIF(D40:L40,"U")</f>
        <v>1</v>
      </c>
      <c r="N40" s="15" t="str">
        <f aca="false">COUNTIF(E40:M40,"UA")</f>
        <v>0</v>
      </c>
      <c r="O40" s="14" t="str">
        <f aca="false">M40+N40</f>
        <v>1</v>
      </c>
      <c r="P40" s="16" t="str">
        <f aca="false">IF(AND(M40=0,N40=0),"PASS","FAIL")</f>
        <v>FAIL</v>
      </c>
      <c r="Q40" s="0" t="str">
        <f aca="false">IF(OR(D40="U",E40="U",F40="U",G40="U",H40="U",I40="U",J40="U",K40="U",L40="U"),"FAIL",IF(OR(D40="UA",E40="UA",F40="UA",G40="UA",H40="UA",I40="UA",J40="UA",K40="UA",L40="UA"),"FAIL","PASS"))</f>
        <v>FAIL</v>
      </c>
    </row>
    <row r="41" customFormat="false" ht="15.75" hidden="false" customHeight="true" outlineLevel="0" collapsed="false">
      <c r="A41" s="10" t="n">
        <v>34</v>
      </c>
      <c r="B41" s="11" t="n">
        <v>511522205037</v>
      </c>
      <c r="C41" s="12" t="s">
        <v>195</v>
      </c>
      <c r="D41" s="80" t="s">
        <v>33</v>
      </c>
      <c r="E41" s="80" t="s">
        <v>33</v>
      </c>
      <c r="F41" s="80" t="s">
        <v>33</v>
      </c>
      <c r="G41" s="80" t="s">
        <v>33</v>
      </c>
      <c r="H41" s="80" t="s">
        <v>35</v>
      </c>
      <c r="I41" s="80" t="s">
        <v>33</v>
      </c>
      <c r="J41" s="80" t="s">
        <v>32</v>
      </c>
      <c r="K41" s="80" t="s">
        <v>32</v>
      </c>
      <c r="L41" s="80" t="s">
        <v>32</v>
      </c>
      <c r="M41" s="14" t="str">
        <f aca="false">COUNTIF(D41:L41,"U")</f>
        <v>0</v>
      </c>
      <c r="N41" s="15" t="str">
        <f aca="false">COUNTIF(E41:M41,"UA")</f>
        <v>0</v>
      </c>
      <c r="O41" s="14" t="str">
        <f aca="false">M41+N41</f>
        <v>0</v>
      </c>
      <c r="P41" s="16" t="str">
        <f aca="false">IF(AND(M41=0,N41=0),"PASS","FAIL")</f>
        <v>PASS</v>
      </c>
      <c r="Q41" s="0" t="str">
        <f aca="false">IF(OR(D41="U",E41="U",F41="U",G41="U",H41="U",I41="U",J41="U",K41="U",L41="U"),"FAIL",IF(OR(D41="UA",E41="UA",F41="UA",G41="UA",H41="UA",I41="UA",J41="UA",K41="UA",L41="UA"),"FAIL","PASS"))</f>
        <v>PASS</v>
      </c>
    </row>
    <row r="42" customFormat="false" ht="15.75" hidden="false" customHeight="true" outlineLevel="0" collapsed="false">
      <c r="A42" s="10" t="n">
        <v>35</v>
      </c>
      <c r="B42" s="11" t="n">
        <v>511522205038</v>
      </c>
      <c r="C42" s="12" t="s">
        <v>196</v>
      </c>
      <c r="D42" s="80" t="s">
        <v>35</v>
      </c>
      <c r="E42" s="80" t="s">
        <v>35</v>
      </c>
      <c r="F42" s="80" t="s">
        <v>33</v>
      </c>
      <c r="G42" s="80" t="s">
        <v>35</v>
      </c>
      <c r="H42" s="80" t="s">
        <v>33</v>
      </c>
      <c r="I42" s="80" t="s">
        <v>33</v>
      </c>
      <c r="J42" s="80" t="s">
        <v>32</v>
      </c>
      <c r="K42" s="80" t="s">
        <v>32</v>
      </c>
      <c r="L42" s="80" t="s">
        <v>32</v>
      </c>
      <c r="M42" s="14" t="str">
        <f aca="false">COUNTIF(D42:L42,"U")</f>
        <v>0</v>
      </c>
      <c r="N42" s="15" t="str">
        <f aca="false">COUNTIF(E42:M42,"UA")</f>
        <v>0</v>
      </c>
      <c r="O42" s="14" t="str">
        <f aca="false">M42+N42</f>
        <v>0</v>
      </c>
      <c r="P42" s="16" t="str">
        <f aca="false">IF(AND(M42=0,N42=0),"PASS","FAIL")</f>
        <v>PASS</v>
      </c>
      <c r="Q42" s="0" t="str">
        <f aca="false">IF(OR(D42="U",E42="U",F42="U",G42="U",H42="U",I42="U",J42="U",K42="U",L42="U"),"FAIL",IF(OR(D42="UA",E42="UA",F42="UA",G42="UA",H42="UA",I42="UA",J42="UA",K42="UA",L42="UA"),"FAIL","PASS"))</f>
        <v>PASS</v>
      </c>
    </row>
    <row r="43" customFormat="false" ht="15.75" hidden="false" customHeight="true" outlineLevel="0" collapsed="false">
      <c r="A43" s="10" t="n">
        <v>36</v>
      </c>
      <c r="B43" s="11" t="n">
        <v>511522205039</v>
      </c>
      <c r="C43" s="12" t="s">
        <v>197</v>
      </c>
      <c r="D43" s="80" t="s">
        <v>33</v>
      </c>
      <c r="E43" s="80" t="s">
        <v>33</v>
      </c>
      <c r="F43" s="80" t="s">
        <v>33</v>
      </c>
      <c r="G43" s="80" t="s">
        <v>33</v>
      </c>
      <c r="H43" s="80" t="s">
        <v>35</v>
      </c>
      <c r="I43" s="80" t="s">
        <v>29</v>
      </c>
      <c r="J43" s="80" t="s">
        <v>32</v>
      </c>
      <c r="K43" s="80" t="s">
        <v>32</v>
      </c>
      <c r="L43" s="80" t="s">
        <v>32</v>
      </c>
      <c r="M43" s="14" t="str">
        <f aca="false">COUNTIF(D43:L43,"U")</f>
        <v>1</v>
      </c>
      <c r="N43" s="15" t="str">
        <f aca="false">COUNTIF(E43:M43,"UA")</f>
        <v>0</v>
      </c>
      <c r="O43" s="14" t="str">
        <f aca="false">M43+N43</f>
        <v>1</v>
      </c>
      <c r="P43" s="16" t="str">
        <f aca="false">IF(AND(M43=0,N43=0),"PASS","FAIL")</f>
        <v>FAIL</v>
      </c>
      <c r="Q43" s="0" t="str">
        <f aca="false">IF(OR(D43="U",E43="U",F43="U",G43="U",H43="U",I43="U",J43="U",K43="U",L43="U"),"FAIL",IF(OR(D43="UA",E43="UA",F43="UA",G43="UA",H43="UA",I43="UA",J43="UA",K43="UA",L43="UA"),"FAIL","PASS"))</f>
        <v>FAIL</v>
      </c>
    </row>
    <row r="44" customFormat="false" ht="15.75" hidden="false" customHeight="true" outlineLevel="0" collapsed="false">
      <c r="A44" s="10" t="n">
        <v>37</v>
      </c>
      <c r="B44" s="11" t="n">
        <v>511522205040</v>
      </c>
      <c r="C44" s="12" t="s">
        <v>198</v>
      </c>
      <c r="D44" s="80" t="s">
        <v>35</v>
      </c>
      <c r="E44" s="80" t="s">
        <v>33</v>
      </c>
      <c r="F44" s="80" t="s">
        <v>33</v>
      </c>
      <c r="G44" s="80" t="s">
        <v>33</v>
      </c>
      <c r="H44" s="80" t="s">
        <v>35</v>
      </c>
      <c r="I44" s="80" t="s">
        <v>33</v>
      </c>
      <c r="J44" s="80" t="s">
        <v>32</v>
      </c>
      <c r="K44" s="80" t="s">
        <v>32</v>
      </c>
      <c r="L44" s="80" t="s">
        <v>32</v>
      </c>
      <c r="M44" s="14" t="str">
        <f aca="false">COUNTIF(D44:L44,"U")</f>
        <v>0</v>
      </c>
      <c r="N44" s="15" t="str">
        <f aca="false">COUNTIF(E44:M44,"UA")</f>
        <v>0</v>
      </c>
      <c r="O44" s="14" t="str">
        <f aca="false">M44+N44</f>
        <v>0</v>
      </c>
      <c r="P44" s="16" t="str">
        <f aca="false">IF(AND(M44=0,N44=0),"PASS","FAIL")</f>
        <v>PASS</v>
      </c>
      <c r="Q44" s="0" t="str">
        <f aca="false">IF(OR(D44="U",E44="U",F44="U",G44="U",H44="U",I44="U",J44="U",K44="U",L44="U"),"FAIL",IF(OR(D44="UA",E44="UA",F44="UA",G44="UA",H44="UA",I44="UA",J44="UA",K44="UA",L44="UA"),"FAIL","PASS"))</f>
        <v>PASS</v>
      </c>
    </row>
    <row r="45" customFormat="false" ht="15.75" hidden="false" customHeight="true" outlineLevel="0" collapsed="false">
      <c r="A45" s="10" t="n">
        <v>38</v>
      </c>
      <c r="B45" s="11" t="n">
        <v>511522205041</v>
      </c>
      <c r="C45" s="12" t="s">
        <v>199</v>
      </c>
      <c r="D45" s="80" t="s">
        <v>35</v>
      </c>
      <c r="E45" s="80" t="s">
        <v>35</v>
      </c>
      <c r="F45" s="80" t="s">
        <v>33</v>
      </c>
      <c r="G45" s="80" t="s">
        <v>35</v>
      </c>
      <c r="H45" s="80" t="s">
        <v>35</v>
      </c>
      <c r="I45" s="80" t="s">
        <v>33</v>
      </c>
      <c r="J45" s="80" t="s">
        <v>32</v>
      </c>
      <c r="K45" s="80" t="s">
        <v>32</v>
      </c>
      <c r="L45" s="80" t="s">
        <v>32</v>
      </c>
      <c r="M45" s="14" t="str">
        <f aca="false">COUNTIF(D45:L45,"U")</f>
        <v>0</v>
      </c>
      <c r="N45" s="15" t="str">
        <f aca="false">COUNTIF(E45:M45,"UA")</f>
        <v>0</v>
      </c>
      <c r="O45" s="14" t="str">
        <f aca="false">M45+N45</f>
        <v>0</v>
      </c>
      <c r="P45" s="16" t="str">
        <f aca="false">IF(AND(M45=0,N45=0),"PASS","FAIL")</f>
        <v>PASS</v>
      </c>
      <c r="Q45" s="0" t="str">
        <f aca="false">IF(OR(D45="U",E45="U",F45="U",G45="U",H45="U",I45="U",J45="U",K45="U",L45="U"),"FAIL",IF(OR(D45="UA",E45="UA",F45="UA",G45="UA",H45="UA",I45="UA",J45="UA",K45="UA",L45="UA"),"FAIL","PASS"))</f>
        <v>PASS</v>
      </c>
    </row>
    <row r="46" customFormat="false" ht="15.75" hidden="false" customHeight="true" outlineLevel="0" collapsed="false">
      <c r="A46" s="10" t="n">
        <v>39</v>
      </c>
      <c r="B46" s="11" t="n">
        <v>511522205042</v>
      </c>
      <c r="C46" s="12" t="s">
        <v>200</v>
      </c>
      <c r="D46" s="80" t="s">
        <v>35</v>
      </c>
      <c r="E46" s="80" t="s">
        <v>35</v>
      </c>
      <c r="F46" s="80" t="s">
        <v>29</v>
      </c>
      <c r="G46" s="80" t="s">
        <v>35</v>
      </c>
      <c r="H46" s="80" t="s">
        <v>35</v>
      </c>
      <c r="I46" s="80" t="s">
        <v>33</v>
      </c>
      <c r="J46" s="80" t="s">
        <v>32</v>
      </c>
      <c r="K46" s="80" t="s">
        <v>32</v>
      </c>
      <c r="L46" s="80" t="s">
        <v>32</v>
      </c>
      <c r="M46" s="14" t="str">
        <f aca="false">COUNTIF(D46:L46,"U")</f>
        <v>1</v>
      </c>
      <c r="N46" s="15" t="str">
        <f aca="false">COUNTIF(E46:M46,"UA")</f>
        <v>0</v>
      </c>
      <c r="O46" s="14" t="str">
        <f aca="false">M46+N46</f>
        <v>1</v>
      </c>
      <c r="P46" s="16" t="str">
        <f aca="false">IF(AND(M46=0,N46=0),"PASS","FAIL")</f>
        <v>FAIL</v>
      </c>
      <c r="Q46" s="0" t="str">
        <f aca="false">IF(OR(D46="U",E46="U",F46="U",G46="U",H46="U",I46="U",J46="U",K46="U",L46="U"),"FAIL",IF(OR(D46="UA",E46="UA",F46="UA",G46="UA",H46="UA",I46="UA",J46="UA",K46="UA",L46="UA"),"FAIL","PASS"))</f>
        <v>FAIL</v>
      </c>
    </row>
    <row r="47" customFormat="false" ht="15.75" hidden="false" customHeight="true" outlineLevel="0" collapsed="false">
      <c r="A47" s="10" t="n">
        <v>40</v>
      </c>
      <c r="B47" s="11" t="n">
        <v>511522205043</v>
      </c>
      <c r="C47" s="12" t="s">
        <v>201</v>
      </c>
      <c r="D47" s="80" t="s">
        <v>35</v>
      </c>
      <c r="E47" s="80" t="s">
        <v>35</v>
      </c>
      <c r="F47" s="80" t="s">
        <v>33</v>
      </c>
      <c r="G47" s="80" t="s">
        <v>35</v>
      </c>
      <c r="H47" s="80" t="s">
        <v>35</v>
      </c>
      <c r="I47" s="80" t="s">
        <v>33</v>
      </c>
      <c r="J47" s="80" t="s">
        <v>32</v>
      </c>
      <c r="K47" s="80" t="s">
        <v>32</v>
      </c>
      <c r="L47" s="80" t="s">
        <v>32</v>
      </c>
      <c r="M47" s="14" t="str">
        <f aca="false">COUNTIF(D47:L47,"U")</f>
        <v>0</v>
      </c>
      <c r="N47" s="15" t="str">
        <f aca="false">COUNTIF(E47:M47,"UA")</f>
        <v>0</v>
      </c>
      <c r="O47" s="14" t="str">
        <f aca="false">M47+N47</f>
        <v>0</v>
      </c>
      <c r="P47" s="16" t="str">
        <f aca="false">IF(AND(M47=0,N47=0),"PASS","FAIL")</f>
        <v>PASS</v>
      </c>
      <c r="Q47" s="0" t="str">
        <f aca="false">IF(OR(D47="U",E47="U",F47="U",G47="U",H47="U",I47="U",J47="U",K47="U",L47="U"),"FAIL",IF(OR(D47="UA",E47="UA",F47="UA",G47="UA",H47="UA",I47="UA",J47="UA",K47="UA",L47="UA"),"FAIL","PASS"))</f>
        <v>PASS</v>
      </c>
    </row>
    <row r="48" customFormat="false" ht="15.75" hidden="false" customHeight="true" outlineLevel="0" collapsed="false">
      <c r="A48" s="10" t="n">
        <v>41</v>
      </c>
      <c r="B48" s="11" t="n">
        <v>511522205045</v>
      </c>
      <c r="C48" s="12" t="s">
        <v>84</v>
      </c>
      <c r="D48" s="80" t="s">
        <v>35</v>
      </c>
      <c r="E48" s="80" t="s">
        <v>35</v>
      </c>
      <c r="F48" s="80" t="s">
        <v>33</v>
      </c>
      <c r="G48" s="80" t="s">
        <v>33</v>
      </c>
      <c r="H48" s="80" t="s">
        <v>33</v>
      </c>
      <c r="I48" s="80" t="s">
        <v>33</v>
      </c>
      <c r="J48" s="80" t="s">
        <v>28</v>
      </c>
      <c r="K48" s="80" t="s">
        <v>32</v>
      </c>
      <c r="L48" s="80" t="s">
        <v>32</v>
      </c>
      <c r="M48" s="14" t="str">
        <f aca="false">COUNTIF(D48:L48,"U")</f>
        <v>0</v>
      </c>
      <c r="N48" s="15" t="str">
        <f aca="false">COUNTIF(E48:M48,"UA")</f>
        <v>0</v>
      </c>
      <c r="O48" s="14" t="str">
        <f aca="false">M48+N48</f>
        <v>0</v>
      </c>
      <c r="P48" s="16" t="str">
        <f aca="false">IF(AND(M48=0,N48=0),"PASS","FAIL")</f>
        <v>PASS</v>
      </c>
      <c r="Q48" s="0" t="str">
        <f aca="false">IF(OR(D48="U",E48="U",F48="U",G48="U",H48="U",I48="U",J48="U",K48="U",L48="U"),"FAIL",IF(OR(D48="UA",E48="UA",F48="UA",G48="UA",H48="UA",I48="UA",J48="UA",K48="UA",L48="UA"),"FAIL","PASS"))</f>
        <v>PASS</v>
      </c>
    </row>
    <row r="49" customFormat="false" ht="15.75" hidden="false" customHeight="true" outlineLevel="0" collapsed="false">
      <c r="A49" s="10" t="n">
        <v>42</v>
      </c>
      <c r="B49" s="11" t="n">
        <v>511522205047</v>
      </c>
      <c r="C49" s="12" t="s">
        <v>202</v>
      </c>
      <c r="D49" s="80" t="s">
        <v>35</v>
      </c>
      <c r="E49" s="80" t="s">
        <v>33</v>
      </c>
      <c r="F49" s="80" t="s">
        <v>29</v>
      </c>
      <c r="G49" s="80" t="s">
        <v>35</v>
      </c>
      <c r="H49" s="80" t="s">
        <v>33</v>
      </c>
      <c r="I49" s="80" t="s">
        <v>30</v>
      </c>
      <c r="J49" s="80" t="s">
        <v>32</v>
      </c>
      <c r="K49" s="80" t="s">
        <v>32</v>
      </c>
      <c r="L49" s="80" t="s">
        <v>32</v>
      </c>
      <c r="M49" s="14" t="str">
        <f aca="false">COUNTIF(D49:L49,"U")</f>
        <v>1</v>
      </c>
      <c r="N49" s="15" t="str">
        <f aca="false">COUNTIF(E49:M49,"UA")</f>
        <v>0</v>
      </c>
      <c r="O49" s="14" t="str">
        <f aca="false">M49+N49</f>
        <v>1</v>
      </c>
      <c r="P49" s="16" t="str">
        <f aca="false">IF(AND(M49=0,N49=0),"PASS","FAIL")</f>
        <v>FAIL</v>
      </c>
      <c r="Q49" s="0" t="str">
        <f aca="false">IF(OR(D49="U",E49="U",F49="U",G49="U",H49="U",I49="U",J49="U",K49="U",L49="U"),"FAIL",IF(OR(D49="UA",E49="UA",F49="UA",G49="UA",H49="UA",I49="UA",J49="UA",K49="UA",L49="UA"),"FAIL","PASS"))</f>
        <v>FAIL</v>
      </c>
    </row>
    <row r="50" customFormat="false" ht="15.75" hidden="false" customHeight="true" outlineLevel="0" collapsed="false">
      <c r="A50" s="10" t="n">
        <v>43</v>
      </c>
      <c r="B50" s="11" t="n">
        <v>511522205048</v>
      </c>
      <c r="C50" s="12" t="s">
        <v>203</v>
      </c>
      <c r="D50" s="80" t="s">
        <v>35</v>
      </c>
      <c r="E50" s="80" t="s">
        <v>33</v>
      </c>
      <c r="F50" s="80" t="s">
        <v>33</v>
      </c>
      <c r="G50" s="80" t="s">
        <v>35</v>
      </c>
      <c r="H50" s="80" t="s">
        <v>35</v>
      </c>
      <c r="I50" s="80" t="s">
        <v>29</v>
      </c>
      <c r="J50" s="80" t="s">
        <v>32</v>
      </c>
      <c r="K50" s="80" t="s">
        <v>32</v>
      </c>
      <c r="L50" s="80" t="s">
        <v>28</v>
      </c>
      <c r="M50" s="14" t="str">
        <f aca="false">COUNTIF(D50:L50,"U")</f>
        <v>1</v>
      </c>
      <c r="N50" s="15" t="str">
        <f aca="false">COUNTIF(E50:M50,"UA")</f>
        <v>0</v>
      </c>
      <c r="O50" s="14" t="str">
        <f aca="false">M50+N50</f>
        <v>1</v>
      </c>
      <c r="P50" s="16" t="str">
        <f aca="false">IF(AND(M50=0,N50=0),"PASS","FAIL")</f>
        <v>FAIL</v>
      </c>
      <c r="Q50" s="0" t="str">
        <f aca="false">IF(OR(D50="U",E50="U",F50="U",G50="U",H50="U",I50="U",J50="U",K50="U",L50="U"),"FAIL",IF(OR(D50="UA",E50="UA",F50="UA",G50="UA",H50="UA",I50="UA",J50="UA",K50="UA",L50="UA"),"FAIL","PASS"))</f>
        <v>FAIL</v>
      </c>
    </row>
    <row r="51" customFormat="false" ht="15.75" hidden="false" customHeight="true" outlineLevel="0" collapsed="false">
      <c r="A51" s="10" t="n">
        <v>44</v>
      </c>
      <c r="B51" s="11" t="n">
        <v>511522205049</v>
      </c>
      <c r="C51" s="12" t="s">
        <v>204</v>
      </c>
      <c r="D51" s="80" t="s">
        <v>35</v>
      </c>
      <c r="E51" s="80" t="s">
        <v>35</v>
      </c>
      <c r="F51" s="80" t="s">
        <v>35</v>
      </c>
      <c r="G51" s="80" t="s">
        <v>35</v>
      </c>
      <c r="H51" s="80" t="s">
        <v>35</v>
      </c>
      <c r="I51" s="80" t="s">
        <v>28</v>
      </c>
      <c r="J51" s="80" t="s">
        <v>32</v>
      </c>
      <c r="K51" s="80" t="s">
        <v>32</v>
      </c>
      <c r="L51" s="80" t="s">
        <v>32</v>
      </c>
      <c r="M51" s="14" t="str">
        <f aca="false">COUNTIF(D51:L51,"U")</f>
        <v>0</v>
      </c>
      <c r="N51" s="15" t="str">
        <f aca="false">COUNTIF(E51:M51,"UA")</f>
        <v>0</v>
      </c>
      <c r="O51" s="14" t="str">
        <f aca="false">M51+N51</f>
        <v>0</v>
      </c>
      <c r="P51" s="16" t="str">
        <f aca="false">IF(AND(M51=0,N51=0),"PASS","FAIL")</f>
        <v>PASS</v>
      </c>
      <c r="Q51" s="0" t="str">
        <f aca="false">IF(OR(D51="U",E51="U",F51="U",G51="U",H51="U",I51="U",J51="U",K51="U",L51="U"),"FAIL",IF(OR(D51="UA",E51="UA",F51="UA",G51="UA",H51="UA",I51="UA",J51="UA",K51="UA",L51="UA"),"FAIL","PASS"))</f>
        <v>PASS</v>
      </c>
    </row>
    <row r="52" customFormat="false" ht="15.75" hidden="false" customHeight="true" outlineLevel="0" collapsed="false">
      <c r="A52" s="10" t="n">
        <v>45</v>
      </c>
      <c r="B52" s="11" t="n">
        <v>511522205050</v>
      </c>
      <c r="C52" s="12" t="s">
        <v>205</v>
      </c>
      <c r="D52" s="80" t="s">
        <v>35</v>
      </c>
      <c r="E52" s="80" t="s">
        <v>35</v>
      </c>
      <c r="F52" s="80" t="s">
        <v>35</v>
      </c>
      <c r="G52" s="80" t="s">
        <v>35</v>
      </c>
      <c r="H52" s="80" t="s">
        <v>35</v>
      </c>
      <c r="I52" s="80" t="s">
        <v>33</v>
      </c>
      <c r="J52" s="80" t="s">
        <v>32</v>
      </c>
      <c r="K52" s="80" t="s">
        <v>32</v>
      </c>
      <c r="L52" s="80" t="s">
        <v>32</v>
      </c>
      <c r="M52" s="14" t="str">
        <f aca="false">COUNTIF(D52:L52,"U")</f>
        <v>0</v>
      </c>
      <c r="N52" s="15" t="str">
        <f aca="false">COUNTIF(E52:M52,"UA")</f>
        <v>0</v>
      </c>
      <c r="O52" s="14" t="str">
        <f aca="false">M52+N52</f>
        <v>0</v>
      </c>
      <c r="P52" s="16" t="str">
        <f aca="false">IF(AND(M52=0,N52=0),"PASS","FAIL")</f>
        <v>PASS</v>
      </c>
      <c r="Q52" s="0" t="str">
        <f aca="false">IF(OR(D52="U",E52="U",F52="U",G52="U",H52="U",I52="U",J52="U",K52="U",L52="U"),"FAIL",IF(OR(D52="UA",E52="UA",F52="UA",G52="UA",H52="UA",I52="UA",J52="UA",K52="UA",L52="UA"),"FAIL","PASS"))</f>
        <v>PASS</v>
      </c>
    </row>
    <row r="53" customFormat="false" ht="14.25" hidden="false" customHeight="true" outlineLevel="0" collapsed="false">
      <c r="A53" s="10" t="n">
        <v>46</v>
      </c>
      <c r="B53" s="11" t="n">
        <v>511522205051</v>
      </c>
      <c r="C53" s="12" t="s">
        <v>206</v>
      </c>
      <c r="D53" s="80" t="s">
        <v>35</v>
      </c>
      <c r="E53" s="80" t="s">
        <v>35</v>
      </c>
      <c r="F53" s="80" t="s">
        <v>33</v>
      </c>
      <c r="G53" s="80" t="s">
        <v>33</v>
      </c>
      <c r="H53" s="80" t="s">
        <v>35</v>
      </c>
      <c r="I53" s="80" t="s">
        <v>33</v>
      </c>
      <c r="J53" s="80" t="s">
        <v>28</v>
      </c>
      <c r="K53" s="80" t="s">
        <v>32</v>
      </c>
      <c r="L53" s="80" t="s">
        <v>32</v>
      </c>
      <c r="M53" s="14" t="str">
        <f aca="false">COUNTIF(D53:L53,"U")</f>
        <v>0</v>
      </c>
      <c r="N53" s="15" t="str">
        <f aca="false">COUNTIF(E53:M53,"UA")</f>
        <v>0</v>
      </c>
      <c r="O53" s="14" t="str">
        <f aca="false">M53+N53</f>
        <v>0</v>
      </c>
      <c r="P53" s="16" t="str">
        <f aca="false">IF(AND(M53=0,N53=0),"PASS","FAIL")</f>
        <v>PASS</v>
      </c>
      <c r="Q53" s="0" t="str">
        <f aca="false">IF(OR(D53="U",E53="U",F53="U",G53="U",H53="U",I53="U",J53="U",K53="U",L53="U"),"FAIL",IF(OR(D53="UA",E53="UA",F53="UA",G53="UA",H53="UA",I53="UA",J53="UA",K53="UA",L53="UA"),"FAIL","PASS"))</f>
        <v>PASS</v>
      </c>
    </row>
    <row r="54" customFormat="false" ht="15.75" hidden="false" customHeight="true" outlineLevel="0" collapsed="false">
      <c r="A54" s="10" t="n">
        <v>47</v>
      </c>
      <c r="B54" s="11" t="n">
        <v>511522205052</v>
      </c>
      <c r="C54" s="12" t="s">
        <v>207</v>
      </c>
      <c r="D54" s="80" t="s">
        <v>35</v>
      </c>
      <c r="E54" s="80" t="s">
        <v>35</v>
      </c>
      <c r="F54" s="80" t="s">
        <v>35</v>
      </c>
      <c r="G54" s="80" t="s">
        <v>35</v>
      </c>
      <c r="H54" s="80" t="s">
        <v>35</v>
      </c>
      <c r="I54" s="80" t="s">
        <v>33</v>
      </c>
      <c r="J54" s="80" t="s">
        <v>32</v>
      </c>
      <c r="K54" s="80" t="s">
        <v>32</v>
      </c>
      <c r="L54" s="80" t="s">
        <v>32</v>
      </c>
      <c r="M54" s="14" t="str">
        <f aca="false">COUNTIF(D54:L54,"U")</f>
        <v>0</v>
      </c>
      <c r="N54" s="15" t="str">
        <f aca="false">COUNTIF(E54:M54,"UA")</f>
        <v>0</v>
      </c>
      <c r="O54" s="14" t="str">
        <f aca="false">M54+N54</f>
        <v>0</v>
      </c>
      <c r="P54" s="16" t="str">
        <f aca="false">IF(AND(M54=0,N54=0),"PASS","FAIL")</f>
        <v>PASS</v>
      </c>
      <c r="Q54" s="0" t="str">
        <f aca="false">IF(OR(D54="U",E54="U",F54="U",G54="U",H54="U",I54="U",J54="U",K54="U",L54="U"),"FAIL",IF(OR(D54="UA",E54="UA",F54="UA",G54="UA",H54="UA",I54="UA",J54="UA",K54="UA",L54="UA"),"FAIL","PASS"))</f>
        <v>PASS</v>
      </c>
    </row>
    <row r="55" customFormat="false" ht="15.75" hidden="false" customHeight="true" outlineLevel="0" collapsed="false">
      <c r="A55" s="10" t="n">
        <v>48</v>
      </c>
      <c r="B55" s="11" t="n">
        <v>511522205053</v>
      </c>
      <c r="C55" s="12" t="s">
        <v>208</v>
      </c>
      <c r="D55" s="80" t="s">
        <v>33</v>
      </c>
      <c r="E55" s="80" t="s">
        <v>35</v>
      </c>
      <c r="F55" s="80" t="s">
        <v>35</v>
      </c>
      <c r="G55" s="80" t="s">
        <v>35</v>
      </c>
      <c r="H55" s="80" t="s">
        <v>35</v>
      </c>
      <c r="I55" s="80" t="s">
        <v>29</v>
      </c>
      <c r="J55" s="80" t="s">
        <v>32</v>
      </c>
      <c r="K55" s="80" t="s">
        <v>32</v>
      </c>
      <c r="L55" s="80" t="s">
        <v>32</v>
      </c>
      <c r="M55" s="14" t="str">
        <f aca="false">COUNTIF(D55:L55,"U")</f>
        <v>1</v>
      </c>
      <c r="N55" s="15" t="str">
        <f aca="false">COUNTIF(E55:M55,"UA")</f>
        <v>0</v>
      </c>
      <c r="O55" s="14" t="str">
        <f aca="false">M55+N55</f>
        <v>1</v>
      </c>
      <c r="P55" s="16" t="str">
        <f aca="false">IF(AND(M55=0,N55=0),"PASS","FAIL")</f>
        <v>FAIL</v>
      </c>
      <c r="Q55" s="0" t="str">
        <f aca="false">IF(OR(D55="U",E55="U",F55="U",G55="U",H55="U",I55="U",J55="U",K55="U",L55="U"),"FAIL",IF(OR(D55="UA",E55="UA",F55="UA",G55="UA",H55="UA",I55="UA",J55="UA",K55="UA",L55="UA"),"FAIL","PASS"))</f>
        <v>FAIL</v>
      </c>
    </row>
    <row r="56" customFormat="false" ht="15.75" hidden="false" customHeight="true" outlineLevel="0" collapsed="false">
      <c r="A56" s="10" t="n">
        <v>49</v>
      </c>
      <c r="B56" s="11" t="n">
        <v>511522205054</v>
      </c>
      <c r="C56" s="12" t="s">
        <v>209</v>
      </c>
      <c r="D56" s="80" t="s">
        <v>28</v>
      </c>
      <c r="E56" s="80" t="s">
        <v>28</v>
      </c>
      <c r="F56" s="80" t="s">
        <v>28</v>
      </c>
      <c r="G56" s="80" t="s">
        <v>35</v>
      </c>
      <c r="H56" s="80" t="s">
        <v>35</v>
      </c>
      <c r="I56" s="80" t="s">
        <v>28</v>
      </c>
      <c r="J56" s="80" t="s">
        <v>32</v>
      </c>
      <c r="K56" s="80" t="s">
        <v>32</v>
      </c>
      <c r="L56" s="80" t="s">
        <v>32</v>
      </c>
      <c r="M56" s="14" t="str">
        <f aca="false">COUNTIF(D56:L56,"U")</f>
        <v>0</v>
      </c>
      <c r="N56" s="15" t="str">
        <f aca="false">COUNTIF(E56:M56,"UA")</f>
        <v>0</v>
      </c>
      <c r="O56" s="14" t="str">
        <f aca="false">M56+N56</f>
        <v>0</v>
      </c>
      <c r="P56" s="16" t="str">
        <f aca="false">IF(AND(M56=0,N56=0),"PASS","FAIL")</f>
        <v>PASS</v>
      </c>
      <c r="Q56" s="0" t="str">
        <f aca="false">IF(OR(D56="U",E56="U",F56="U",G56="U",H56="U",I56="U",J56="U",K56="U",L56="U"),"FAIL",IF(OR(D56="UA",E56="UA",F56="UA",G56="UA",H56="UA",I56="UA",J56="UA",K56="UA",L56="UA"),"FAIL","PASS"))</f>
        <v>PASS</v>
      </c>
    </row>
    <row r="57" customFormat="false" ht="15.75" hidden="false" customHeight="true" outlineLevel="0" collapsed="false">
      <c r="A57" s="10" t="n">
        <v>50</v>
      </c>
      <c r="B57" s="11" t="n">
        <v>511522205055</v>
      </c>
      <c r="C57" s="12" t="s">
        <v>210</v>
      </c>
      <c r="D57" s="80" t="s">
        <v>33</v>
      </c>
      <c r="E57" s="80" t="s">
        <v>33</v>
      </c>
      <c r="F57" s="80" t="s">
        <v>29</v>
      </c>
      <c r="G57" s="80" t="s">
        <v>35</v>
      </c>
      <c r="H57" s="80" t="s">
        <v>33</v>
      </c>
      <c r="I57" s="80" t="s">
        <v>29</v>
      </c>
      <c r="J57" s="80" t="s">
        <v>32</v>
      </c>
      <c r="K57" s="80" t="s">
        <v>32</v>
      </c>
      <c r="L57" s="80" t="s">
        <v>32</v>
      </c>
      <c r="M57" s="14" t="str">
        <f aca="false">COUNTIF(D57:L57,"U")</f>
        <v>2</v>
      </c>
      <c r="N57" s="15" t="str">
        <f aca="false">COUNTIF(E57:M57,"UA")</f>
        <v>0</v>
      </c>
      <c r="O57" s="14" t="str">
        <f aca="false">M57+N57</f>
        <v>2</v>
      </c>
      <c r="P57" s="16" t="str">
        <f aca="false">IF(AND(M57=0,N57=0),"PASS","FAIL")</f>
        <v>FAIL</v>
      </c>
      <c r="Q57" s="0" t="str">
        <f aca="false">IF(OR(D57="U",E57="U",F57="U",G57="U",H57="U",I57="U",J57="U",K57="U",L57="U"),"FAIL",IF(OR(D57="UA",E57="UA",F57="UA",G57="UA",H57="UA",I57="UA",J57="UA",K57="UA",L57="UA"),"FAIL","PASS"))</f>
        <v>FAIL</v>
      </c>
    </row>
    <row r="58" customFormat="false" ht="15.75" hidden="false" customHeight="true" outlineLevel="0" collapsed="false">
      <c r="A58" s="10" t="n">
        <v>51</v>
      </c>
      <c r="B58" s="11" t="n">
        <v>511522205056</v>
      </c>
      <c r="C58" s="12" t="s">
        <v>211</v>
      </c>
      <c r="D58" s="80" t="s">
        <v>35</v>
      </c>
      <c r="E58" s="80" t="s">
        <v>35</v>
      </c>
      <c r="F58" s="80" t="s">
        <v>33</v>
      </c>
      <c r="G58" s="80" t="s">
        <v>35</v>
      </c>
      <c r="H58" s="80" t="s">
        <v>35</v>
      </c>
      <c r="I58" s="80" t="s">
        <v>29</v>
      </c>
      <c r="J58" s="80" t="s">
        <v>32</v>
      </c>
      <c r="K58" s="80" t="s">
        <v>32</v>
      </c>
      <c r="L58" s="80" t="s">
        <v>32</v>
      </c>
      <c r="M58" s="14" t="str">
        <f aca="false">COUNTIF(D58:L58,"U")</f>
        <v>1</v>
      </c>
      <c r="N58" s="15" t="str">
        <f aca="false">COUNTIF(E58:M58,"UA")</f>
        <v>0</v>
      </c>
      <c r="O58" s="14" t="str">
        <f aca="false">M58+N58</f>
        <v>1</v>
      </c>
      <c r="P58" s="16" t="str">
        <f aca="false">IF(AND(M58=0,N58=0),"PASS","FAIL")</f>
        <v>FAIL</v>
      </c>
      <c r="Q58" s="0" t="str">
        <f aca="false">IF(OR(D58="U",E58="U",F58="U",G58="U",H58="U",I58="U",J58="U",K58="U",L58="U"),"FAIL",IF(OR(D58="UA",E58="UA",F58="UA",G58="UA",H58="UA",I58="UA",J58="UA",K58="UA",L58="UA"),"FAIL","PASS"))</f>
        <v>FAIL</v>
      </c>
    </row>
    <row r="59" customFormat="false" ht="15.75" hidden="false" customHeight="true" outlineLevel="0" collapsed="false">
      <c r="A59" s="10" t="n">
        <v>52</v>
      </c>
      <c r="B59" s="11" t="n">
        <v>511522205057</v>
      </c>
      <c r="C59" s="12" t="s">
        <v>212</v>
      </c>
      <c r="D59" s="80" t="s">
        <v>33</v>
      </c>
      <c r="E59" s="80" t="s">
        <v>30</v>
      </c>
      <c r="F59" s="80" t="s">
        <v>29</v>
      </c>
      <c r="G59" s="80" t="s">
        <v>33</v>
      </c>
      <c r="H59" s="80" t="s">
        <v>33</v>
      </c>
      <c r="I59" s="80" t="s">
        <v>29</v>
      </c>
      <c r="J59" s="80" t="s">
        <v>28</v>
      </c>
      <c r="K59" s="80" t="s">
        <v>32</v>
      </c>
      <c r="L59" s="80" t="s">
        <v>32</v>
      </c>
      <c r="M59" s="14" t="str">
        <f aca="false">COUNTIF(D59:L59,"U")</f>
        <v>2</v>
      </c>
      <c r="N59" s="15" t="str">
        <f aca="false">COUNTIF(E59:M59,"UA")</f>
        <v>0</v>
      </c>
      <c r="O59" s="14" t="str">
        <f aca="false">M59+N59</f>
        <v>2</v>
      </c>
      <c r="P59" s="16" t="str">
        <f aca="false">IF(AND(M59=0,N59=0),"PASS","FAIL")</f>
        <v>FAIL</v>
      </c>
      <c r="Q59" s="0" t="str">
        <f aca="false">IF(OR(D59="U",E59="U",F59="U",G59="U",H59="U",I59="U",J59="U",K59="U",L59="U"),"FAIL",IF(OR(D59="UA",E59="UA",F59="UA",G59="UA",H59="UA",I59="UA",J59="UA",K59="UA",L59="UA"),"FAIL","PASS"))</f>
        <v>FAIL</v>
      </c>
    </row>
    <row r="60" customFormat="false" ht="15.75" hidden="false" customHeight="true" outlineLevel="0" collapsed="false">
      <c r="A60" s="10" t="n">
        <v>53</v>
      </c>
      <c r="B60" s="11" t="n">
        <v>511522205058</v>
      </c>
      <c r="C60" s="12" t="s">
        <v>213</v>
      </c>
      <c r="D60" s="80" t="s">
        <v>35</v>
      </c>
      <c r="E60" s="80" t="s">
        <v>35</v>
      </c>
      <c r="F60" s="80" t="s">
        <v>33</v>
      </c>
      <c r="G60" s="80" t="s">
        <v>33</v>
      </c>
      <c r="H60" s="80" t="s">
        <v>33</v>
      </c>
      <c r="I60" s="80" t="s">
        <v>29</v>
      </c>
      <c r="J60" s="80" t="s">
        <v>32</v>
      </c>
      <c r="K60" s="80" t="s">
        <v>32</v>
      </c>
      <c r="L60" s="80" t="s">
        <v>32</v>
      </c>
      <c r="M60" s="14" t="str">
        <f aca="false">COUNTIF(D60:L60,"U")</f>
        <v>1</v>
      </c>
      <c r="N60" s="15" t="str">
        <f aca="false">COUNTIF(E60:M60,"UA")</f>
        <v>0</v>
      </c>
      <c r="O60" s="14" t="str">
        <f aca="false">M60+N60</f>
        <v>1</v>
      </c>
      <c r="P60" s="16" t="str">
        <f aca="false">IF(AND(M60=0,N60=0),"PASS","FAIL")</f>
        <v>FAIL</v>
      </c>
      <c r="Q60" s="0" t="str">
        <f aca="false">IF(OR(D60="U",E60="U",F60="U",G60="U",H60="U",I60="U",J60="U",K60="U",L60="U"),"FAIL",IF(OR(D60="UA",E60="UA",F60="UA",G60="UA",H60="UA",I60="UA",J60="UA",K60="UA",L60="UA"),"FAIL","PASS"))</f>
        <v>FAIL</v>
      </c>
    </row>
    <row r="61" customFormat="false" ht="15.75" hidden="false" customHeight="true" outlineLevel="0" collapsed="false">
      <c r="A61" s="10" t="n">
        <v>54</v>
      </c>
      <c r="B61" s="11" t="n">
        <v>511522205301</v>
      </c>
      <c r="C61" s="12" t="s">
        <v>214</v>
      </c>
      <c r="D61" s="80" t="s">
        <v>35</v>
      </c>
      <c r="E61" s="80" t="s">
        <v>35</v>
      </c>
      <c r="F61" s="80" t="s">
        <v>33</v>
      </c>
      <c r="G61" s="80" t="s">
        <v>35</v>
      </c>
      <c r="H61" s="80" t="s">
        <v>35</v>
      </c>
      <c r="I61" s="80" t="s">
        <v>33</v>
      </c>
      <c r="J61" s="80" t="s">
        <v>32</v>
      </c>
      <c r="K61" s="80" t="s">
        <v>32</v>
      </c>
      <c r="L61" s="80" t="s">
        <v>32</v>
      </c>
      <c r="M61" s="14" t="str">
        <f aca="false">COUNTIF(D61:L61,"U")</f>
        <v>0</v>
      </c>
      <c r="N61" s="15" t="str">
        <f aca="false">COUNTIF(E61:M61,"UA")</f>
        <v>0</v>
      </c>
      <c r="O61" s="14" t="str">
        <f aca="false">M61+N61</f>
        <v>0</v>
      </c>
      <c r="P61" s="16" t="str">
        <f aca="false">IF(AND(M61=0,N61=0),"PASS","FAIL")</f>
        <v>PASS</v>
      </c>
      <c r="Q61" s="0" t="str">
        <f aca="false">IF(OR(D61="U",E61="U",F61="U",G61="U",H61="U",I61="U",J61="U",K61="U",L61="U"),"FAIL",IF(OR(D61="UA",E61="UA",F61="UA",G61="UA",H61="UA",I61="UA",J61="UA",K61="UA",L61="UA"),"FAIL","PASS"))</f>
        <v>PASS</v>
      </c>
    </row>
    <row r="62" customFormat="false" ht="15.75" hidden="false" customHeight="true" outlineLevel="0" collapsed="false">
      <c r="A62" s="10" t="n">
        <v>55</v>
      </c>
      <c r="B62" s="11" t="n">
        <v>511522205303</v>
      </c>
      <c r="C62" s="12" t="s">
        <v>215</v>
      </c>
      <c r="D62" s="80" t="s">
        <v>35</v>
      </c>
      <c r="E62" s="80" t="s">
        <v>28</v>
      </c>
      <c r="F62" s="80" t="s">
        <v>35</v>
      </c>
      <c r="G62" s="80" t="s">
        <v>35</v>
      </c>
      <c r="H62" s="80" t="s">
        <v>35</v>
      </c>
      <c r="I62" s="80" t="s">
        <v>35</v>
      </c>
      <c r="J62" s="80" t="s">
        <v>28</v>
      </c>
      <c r="K62" s="80" t="s">
        <v>32</v>
      </c>
      <c r="L62" s="80" t="s">
        <v>32</v>
      </c>
      <c r="M62" s="14" t="str">
        <f aca="false">COUNTIF(D62:L62,"U")</f>
        <v>0</v>
      </c>
      <c r="N62" s="15" t="str">
        <f aca="false">COUNTIF(E62:M62,"UA")</f>
        <v>0</v>
      </c>
      <c r="O62" s="14" t="str">
        <f aca="false">M62+N62</f>
        <v>0</v>
      </c>
      <c r="P62" s="16" t="str">
        <f aca="false">IF(AND(M62=0,N62=0),"PASS","FAIL")</f>
        <v>PASS</v>
      </c>
      <c r="Q62" s="0" t="str">
        <f aca="false">IF(OR(D62="U",E62="U",F62="U",G62="U",H62="U",I62="U",J62="U",K62="U",L62="U"),"FAIL",IF(OR(D62="UA",E62="UA",F62="UA",G62="UA",H62="UA",I62="UA",J62="UA",K62="UA",L62="UA"),"FAIL","PASS"))</f>
        <v>PASS</v>
      </c>
    </row>
    <row r="63" customFormat="false" ht="15.75" hidden="false" customHeight="true" outlineLevel="0" collapsed="false">
      <c r="A63" s="10" t="n">
        <v>56</v>
      </c>
      <c r="B63" s="11" t="n">
        <v>511522205304</v>
      </c>
      <c r="C63" s="12" t="s">
        <v>216</v>
      </c>
      <c r="D63" s="80" t="s">
        <v>82</v>
      </c>
      <c r="E63" s="80" t="s">
        <v>82</v>
      </c>
      <c r="F63" s="80" t="s">
        <v>82</v>
      </c>
      <c r="G63" s="80" t="s">
        <v>82</v>
      </c>
      <c r="H63" s="80" t="s">
        <v>82</v>
      </c>
      <c r="I63" s="80" t="s">
        <v>82</v>
      </c>
      <c r="J63" s="80" t="s">
        <v>82</v>
      </c>
      <c r="K63" s="80" t="s">
        <v>32</v>
      </c>
      <c r="L63" s="80" t="s">
        <v>82</v>
      </c>
      <c r="M63" s="14" t="str">
        <f aca="false">COUNTIF(D63:L63,"U")</f>
        <v>0</v>
      </c>
      <c r="N63" s="15" t="str">
        <f aca="false">COUNTIF(E63:M63,"UA")</f>
        <v>7</v>
      </c>
      <c r="O63" s="14" t="str">
        <f aca="false">M63+N63</f>
        <v>7</v>
      </c>
      <c r="P63" s="16" t="str">
        <f aca="false">IF(AND(M63=0,N63=0),"PASS","FAIL")</f>
        <v>FAIL</v>
      </c>
      <c r="Q63" s="0" t="str">
        <f aca="false">IF(OR(D63="U",E63="U",F63="U",G63="U",H63="U",I63="U",J63="U",K63="U",L63="U"),"FAIL",IF(OR(D63="UA",E63="UA",F63="UA",G63="UA",H63="UA",I63="UA",J63="UA",K63="UA",L63="UA"),"FAIL","PASS"))</f>
        <v>FAIL</v>
      </c>
    </row>
    <row r="64" customFormat="false" ht="15.75" hidden="false" customHeight="true" outlineLevel="0" collapsed="false">
      <c r="A64" s="19" t="s">
        <v>98</v>
      </c>
      <c r="B64" s="19"/>
      <c r="C64" s="19"/>
      <c r="D64" s="23" t="str">
        <f aca="false">COUNT(A8:A63)</f>
        <v>56</v>
      </c>
      <c r="E64" s="23" t="str">
        <f aca="false">COUNT(A8:A63)</f>
        <v>56</v>
      </c>
      <c r="F64" s="23" t="str">
        <f aca="false">COUNT(A8:A63)</f>
        <v>56</v>
      </c>
      <c r="G64" s="23" t="str">
        <f aca="false">COUNT(A8:A63)</f>
        <v>56</v>
      </c>
      <c r="H64" s="23" t="str">
        <f aca="false">COUNT(A8:A63)</f>
        <v>56</v>
      </c>
      <c r="I64" s="23" t="str">
        <f aca="false">COUNT(A8:A63)</f>
        <v>56</v>
      </c>
      <c r="J64" s="23" t="str">
        <f aca="false">COUNT(A8:A63)</f>
        <v>56</v>
      </c>
      <c r="K64" s="23" t="str">
        <f aca="false">COUNT(A8:A63)</f>
        <v>56</v>
      </c>
      <c r="L64" s="23" t="str">
        <f aca="false">COUNT(A8:A63)</f>
        <v>56</v>
      </c>
      <c r="M64" s="81"/>
      <c r="N64" s="82"/>
      <c r="O64" s="82"/>
      <c r="P64" s="83"/>
    </row>
    <row r="65" customFormat="false" ht="15.75" hidden="false" customHeight="true" outlineLevel="0" collapsed="false">
      <c r="A65" s="19" t="s">
        <v>99</v>
      </c>
      <c r="B65" s="19"/>
      <c r="C65" s="19"/>
      <c r="D65" s="23" t="str">
        <f aca="false">COUNTIF(D8:D63,"UA")</f>
        <v>1</v>
      </c>
      <c r="E65" s="23" t="str">
        <f aca="false">COUNTIF(E8:E63,"UA")</f>
        <v>1</v>
      </c>
      <c r="F65" s="23" t="str">
        <f aca="false">COUNTIF(F8:F63,"UA")</f>
        <v>1</v>
      </c>
      <c r="G65" s="23" t="str">
        <f aca="false">COUNTIF(G8:G63,"UA")</f>
        <v>1</v>
      </c>
      <c r="H65" s="23" t="str">
        <f aca="false">COUNTIF(H8:H63,"UA")</f>
        <v>1</v>
      </c>
      <c r="I65" s="23" t="str">
        <f aca="false">COUNTIF(I8:I63,"UA")</f>
        <v>1</v>
      </c>
      <c r="J65" s="23" t="str">
        <f aca="false">COUNTIF(J8:J63,"UA")</f>
        <v>1</v>
      </c>
      <c r="K65" s="23" t="str">
        <f aca="false">COUNTIF(K8:K63,"UA")</f>
        <v>0</v>
      </c>
      <c r="L65" s="23" t="str">
        <f aca="false">COUNTIF(L8:L63,"UA")</f>
        <v>1</v>
      </c>
      <c r="M65" s="24" t="s">
        <v>100</v>
      </c>
      <c r="N65" s="24"/>
      <c r="O65" s="24"/>
      <c r="P65" s="24"/>
      <c r="Q65" s="25"/>
    </row>
    <row r="66" customFormat="false" ht="15.75" hidden="false" customHeight="true" outlineLevel="0" collapsed="false">
      <c r="A66" s="19" t="s">
        <v>101</v>
      </c>
      <c r="B66" s="19"/>
      <c r="C66" s="19"/>
      <c r="D66" s="23" t="str">
        <f aca="false">D64-D65</f>
        <v>55</v>
      </c>
      <c r="E66" s="23" t="str">
        <f aca="false">E64-E65</f>
        <v>55</v>
      </c>
      <c r="F66" s="23" t="str">
        <f aca="false">F64-F65</f>
        <v>55</v>
      </c>
      <c r="G66" s="23" t="str">
        <f aca="false">G64-G65</f>
        <v>55</v>
      </c>
      <c r="H66" s="23" t="str">
        <f aca="false">H64-H65</f>
        <v>55</v>
      </c>
      <c r="I66" s="23" t="str">
        <f aca="false">I64-I65</f>
        <v>55</v>
      </c>
      <c r="J66" s="23" t="str">
        <f aca="false">J64-J65</f>
        <v>55</v>
      </c>
      <c r="K66" s="23" t="str">
        <f aca="false">K64-K65</f>
        <v>56</v>
      </c>
      <c r="L66" s="23" t="str">
        <f aca="false">L64-L65</f>
        <v>55</v>
      </c>
      <c r="N66" s="84" t="str">
        <f aca="false">D78/D66*100</f>
        <v>63.64</v>
      </c>
      <c r="O66" s="82"/>
      <c r="P66" s="83"/>
      <c r="Q66" s="25"/>
    </row>
    <row r="67" customFormat="false" ht="15.75" hidden="false" customHeight="true" outlineLevel="0" collapsed="false">
      <c r="A67" s="19" t="s">
        <v>102</v>
      </c>
      <c r="B67" s="19"/>
      <c r="C67" s="19"/>
      <c r="D67" s="23" t="str">
        <f aca="false">COUNTIF(D8:D63,"U")</f>
        <v>0</v>
      </c>
      <c r="E67" s="23" t="str">
        <f aca="false">COUNTIF(E8:E63,"U")</f>
        <v>0</v>
      </c>
      <c r="F67" s="23" t="str">
        <f aca="false">COUNTIF(F8:F63,"U")</f>
        <v>6</v>
      </c>
      <c r="G67" s="23" t="str">
        <f aca="false">COUNTIF(G8:G63,"U")</f>
        <v>0</v>
      </c>
      <c r="H67" s="23" t="str">
        <f aca="false">COUNTIF(H8:H63,"U")</f>
        <v>0</v>
      </c>
      <c r="I67" s="23" t="str">
        <f aca="false">COUNTIF(I8:I63,"U")</f>
        <v>18</v>
      </c>
      <c r="J67" s="23" t="str">
        <f aca="false">COUNTIF(J8:J63,"U")</f>
        <v>0</v>
      </c>
      <c r="K67" s="23" t="str">
        <f aca="false">COUNTIF(K8:K63,"U")</f>
        <v>0</v>
      </c>
      <c r="L67" s="23" t="str">
        <f aca="false">COUNTIF(L8:L63,"U")</f>
        <v>0</v>
      </c>
      <c r="Q67" s="25"/>
    </row>
    <row r="68" customFormat="false" ht="15.75" hidden="false" customHeight="true" outlineLevel="0" collapsed="false">
      <c r="A68" s="19" t="s">
        <v>103</v>
      </c>
      <c r="B68" s="19"/>
      <c r="C68" s="19"/>
      <c r="D68" s="23" t="str">
        <f aca="false">D70-D67</f>
        <v>55</v>
      </c>
      <c r="E68" s="23" t="str">
        <f aca="false">E70-E67</f>
        <v>55</v>
      </c>
      <c r="F68" s="23" t="str">
        <f aca="false">F70-F67</f>
        <v>49</v>
      </c>
      <c r="G68" s="23" t="str">
        <f aca="false">G70-G67</f>
        <v>55</v>
      </c>
      <c r="H68" s="23" t="str">
        <f aca="false">H70-H67</f>
        <v>55</v>
      </c>
      <c r="I68" s="23" t="str">
        <f aca="false">I70-I67</f>
        <v>37</v>
      </c>
      <c r="J68" s="23" t="str">
        <f aca="false">J70-J67</f>
        <v>55</v>
      </c>
      <c r="K68" s="23" t="str">
        <f aca="false">K70-K67</f>
        <v>56</v>
      </c>
      <c r="L68" s="23" t="str">
        <f aca="false">L70-L67</f>
        <v>55</v>
      </c>
      <c r="M68" s="85" t="s">
        <v>104</v>
      </c>
      <c r="N68" s="86"/>
      <c r="O68" s="86" t="s">
        <v>105</v>
      </c>
      <c r="P68" s="87" t="str">
        <f aca="false">COUNTIF($O$8:$O$63,"1")</f>
        <v>16</v>
      </c>
    </row>
    <row r="69" customFormat="false" ht="15.75" hidden="false" customHeight="true" outlineLevel="0" collapsed="false">
      <c r="A69" s="31" t="s">
        <v>106</v>
      </c>
      <c r="B69" s="31"/>
      <c r="C69" s="31"/>
      <c r="D69" s="23" t="str">
        <f aca="false">COUNTIF(D8:D63,"")</f>
        <v>0</v>
      </c>
      <c r="E69" s="23" t="str">
        <f aca="false">COUNTIF(E8:E63,"")</f>
        <v>0</v>
      </c>
      <c r="F69" s="23" t="str">
        <f aca="false">COUNTIF(F8:F63,"")</f>
        <v>0</v>
      </c>
      <c r="G69" s="23" t="str">
        <f aca="false">COUNTIF(G8:G63,"")</f>
        <v>0</v>
      </c>
      <c r="H69" s="23" t="str">
        <f aca="false">COUNTIF(H8:H63,"")</f>
        <v>0</v>
      </c>
      <c r="I69" s="23" t="str">
        <f aca="false">COUNTIF(I8:I63,"")</f>
        <v>0</v>
      </c>
      <c r="J69" s="23" t="str">
        <f aca="false">COUNTIF(J8:J63,"")</f>
        <v>0</v>
      </c>
      <c r="K69" s="23" t="str">
        <f aca="false">COUNTIF(K8:K63,"")</f>
        <v>0</v>
      </c>
      <c r="L69" s="23" t="str">
        <f aca="false">COUNTIF(L8:L63,"")</f>
        <v>0</v>
      </c>
      <c r="M69" s="85" t="s">
        <v>107</v>
      </c>
      <c r="N69" s="88"/>
      <c r="O69" s="86" t="s">
        <v>105</v>
      </c>
      <c r="P69" s="87" t="str">
        <f aca="false">COUNTIF($O$8:$O$63,"2")</f>
        <v>4</v>
      </c>
    </row>
    <row r="70" customFormat="false" ht="15.75" hidden="false" customHeight="true" outlineLevel="0" collapsed="false">
      <c r="A70" s="31" t="s">
        <v>108</v>
      </c>
      <c r="B70" s="31"/>
      <c r="C70" s="31"/>
      <c r="D70" s="23" t="str">
        <f aca="false">D66-D69</f>
        <v>55</v>
      </c>
      <c r="E70" s="23" t="str">
        <f aca="false">E66-E69</f>
        <v>55</v>
      </c>
      <c r="F70" s="23" t="str">
        <f aca="false">F66-F69</f>
        <v>55</v>
      </c>
      <c r="G70" s="23" t="str">
        <f aca="false">G66-G69</f>
        <v>55</v>
      </c>
      <c r="H70" s="23" t="str">
        <f aca="false">H66-H69</f>
        <v>55</v>
      </c>
      <c r="I70" s="23" t="str">
        <f aca="false">I66-I69</f>
        <v>55</v>
      </c>
      <c r="J70" s="23" t="str">
        <f aca="false">J66-J69</f>
        <v>55</v>
      </c>
      <c r="K70" s="23" t="str">
        <f aca="false">K66-K69</f>
        <v>56</v>
      </c>
      <c r="L70" s="23" t="str">
        <f aca="false">L66-L69</f>
        <v>55</v>
      </c>
      <c r="M70" s="85" t="s">
        <v>109</v>
      </c>
      <c r="N70" s="86"/>
      <c r="O70" s="86" t="s">
        <v>105</v>
      </c>
      <c r="P70" s="87" t="str">
        <f aca="false">COUNTIF($O$8:$O$63,"3")</f>
        <v>0</v>
      </c>
    </row>
    <row r="71" customFormat="false" ht="15.75" hidden="false" customHeight="true" outlineLevel="0" collapsed="false">
      <c r="A71" s="19" t="s">
        <v>110</v>
      </c>
      <c r="B71" s="19"/>
      <c r="C71" s="19"/>
      <c r="D71" s="33" t="str">
        <f aca="false">(D68/D70)*100</f>
        <v>100</v>
      </c>
      <c r="E71" s="33" t="str">
        <f aca="false">(E68/E70)*100</f>
        <v>100</v>
      </c>
      <c r="F71" s="33" t="str">
        <f aca="false">(F68/F70)*100</f>
        <v>89</v>
      </c>
      <c r="G71" s="33" t="str">
        <f aca="false">(G68/G70)*100</f>
        <v>100</v>
      </c>
      <c r="H71" s="33" t="str">
        <f aca="false">(H68/H70)*100</f>
        <v>100</v>
      </c>
      <c r="I71" s="33" t="str">
        <f aca="false">(I68/I70)*100</f>
        <v>67</v>
      </c>
      <c r="J71" s="33" t="str">
        <f aca="false">(J68/J70)*100</f>
        <v>100</v>
      </c>
      <c r="K71" s="33" t="str">
        <f aca="false">(K68/K70)*100</f>
        <v>100</v>
      </c>
      <c r="L71" s="33" t="str">
        <f aca="false">(L68/L70)*100</f>
        <v>100</v>
      </c>
      <c r="M71" s="85" t="s">
        <v>111</v>
      </c>
      <c r="N71" s="86"/>
      <c r="O71" s="86" t="s">
        <v>105</v>
      </c>
      <c r="P71" s="87" t="str">
        <f aca="false">COUNTIF($O$8:$O$63,"4")</f>
        <v>0</v>
      </c>
      <c r="Q71" s="89"/>
    </row>
    <row r="72" customFormat="false" ht="15.75" hidden="false" customHeight="true" outlineLevel="0" collapsed="false">
      <c r="A72" s="19" t="s">
        <v>112</v>
      </c>
      <c r="B72" s="19"/>
      <c r="C72" s="19"/>
      <c r="D72" s="23" t="str">
        <f aca="false">COUNTIF(D8:D63,"O")</f>
        <v>0</v>
      </c>
      <c r="E72" s="23" t="str">
        <f aca="false">COUNTIF(E8:E63,"O")</f>
        <v>0</v>
      </c>
      <c r="F72" s="23" t="str">
        <f aca="false">COUNTIF(F8:F63,"O")</f>
        <v>0</v>
      </c>
      <c r="G72" s="23" t="str">
        <f aca="false">COUNTIF(G8:G63,"O")</f>
        <v>0</v>
      </c>
      <c r="H72" s="23" t="str">
        <f aca="false">COUNTIF(H8:H63,"O")</f>
        <v>0</v>
      </c>
      <c r="I72" s="23" t="str">
        <f aca="false">COUNTIF(I8:I63,"O")</f>
        <v>0</v>
      </c>
      <c r="J72" s="23" t="str">
        <f aca="false">COUNTIF(J8:J63,"O")</f>
        <v>51</v>
      </c>
      <c r="K72" s="23" t="str">
        <f aca="false">COUNTIF(K8:K63,"O")</f>
        <v>56</v>
      </c>
      <c r="L72" s="23" t="str">
        <f aca="false">COUNTIF(L8:L63,"O")</f>
        <v>54</v>
      </c>
      <c r="M72" s="85" t="s">
        <v>217</v>
      </c>
      <c r="N72" s="86"/>
      <c r="O72" s="86" t="s">
        <v>105</v>
      </c>
      <c r="P72" s="87" t="str">
        <f aca="false">COUNTIF($O$8:$O$63,"5")</f>
        <v>0</v>
      </c>
    </row>
    <row r="73" customFormat="false" ht="15.75" hidden="false" customHeight="true" outlineLevel="0" collapsed="false">
      <c r="A73" s="19" t="s">
        <v>113</v>
      </c>
      <c r="B73" s="19"/>
      <c r="C73" s="19"/>
      <c r="D73" s="23" t="str">
        <f aca="false">COUNTIF(D8:D63,"A+")</f>
        <v>3</v>
      </c>
      <c r="E73" s="23" t="str">
        <f aca="false">COUNTIF(E8:E63,"A+")</f>
        <v>6</v>
      </c>
      <c r="F73" s="23" t="str">
        <f aca="false">COUNTIF(F8:F63,"A+")</f>
        <v>4</v>
      </c>
      <c r="G73" s="23" t="str">
        <f aca="false">COUNTIF(G8:G63,"A+")</f>
        <v>1</v>
      </c>
      <c r="H73" s="23" t="str">
        <f aca="false">COUNTIF(H8:H63,"A+")</f>
        <v>1</v>
      </c>
      <c r="I73" s="23" t="str">
        <f aca="false">COUNTIF(I8:I63,"A+")</f>
        <v>4</v>
      </c>
      <c r="J73" s="23" t="str">
        <f aca="false">COUNTIF(J8:J63,"A+")</f>
        <v>4</v>
      </c>
      <c r="K73" s="23" t="str">
        <f aca="false">COUNTIF(K8:K63,"A+")</f>
        <v>0</v>
      </c>
      <c r="L73" s="23" t="str">
        <f aca="false">COUNTIF(L8:L63,"A+")</f>
        <v>1</v>
      </c>
      <c r="M73" s="85" t="s">
        <v>218</v>
      </c>
      <c r="N73" s="86"/>
      <c r="O73" s="86" t="s">
        <v>105</v>
      </c>
      <c r="P73" s="87" t="str">
        <f aca="false">COUNTIF($O$8:$O$63,"6")</f>
        <v>0</v>
      </c>
    </row>
    <row r="74" customFormat="false" ht="15.75" hidden="false" customHeight="true" outlineLevel="0" collapsed="false">
      <c r="A74" s="19" t="s">
        <v>114</v>
      </c>
      <c r="B74" s="19"/>
      <c r="C74" s="19"/>
      <c r="D74" s="23" t="str">
        <f aca="false">COUNTIF(D8:D63,"A")</f>
        <v>39</v>
      </c>
      <c r="E74" s="23" t="str">
        <f aca="false">COUNTIF(E8:E63,"A")</f>
        <v>32</v>
      </c>
      <c r="F74" s="23" t="str">
        <f aca="false">COUNTIF(F8:F63,"A")</f>
        <v>13</v>
      </c>
      <c r="G74" s="23" t="str">
        <f aca="false">COUNTIF(G8:G63,"A")</f>
        <v>32</v>
      </c>
      <c r="H74" s="23" t="str">
        <f aca="false">COUNTIF(H8:H63,"A")</f>
        <v>42</v>
      </c>
      <c r="I74" s="23" t="str">
        <f aca="false">COUNTIF(I8:I63,"A")</f>
        <v>5</v>
      </c>
      <c r="J74" s="23" t="str">
        <f aca="false">COUNTIF(J8:J63,"A")</f>
        <v>0</v>
      </c>
      <c r="K74" s="23" t="str">
        <f aca="false">COUNTIF(K8:K63,"A")</f>
        <v>0</v>
      </c>
      <c r="L74" s="23" t="str">
        <f aca="false">COUNTIF(L8:L63,"A")</f>
        <v>0</v>
      </c>
      <c r="M74" s="85" t="s">
        <v>219</v>
      </c>
      <c r="N74" s="86"/>
      <c r="O74" s="86" t="s">
        <v>105</v>
      </c>
      <c r="P74" s="87" t="str">
        <f aca="false">COUNTIF($O$8:$O$63,"7")</f>
        <v>1</v>
      </c>
    </row>
    <row r="75" customFormat="false" ht="15.75" hidden="false" customHeight="true" outlineLevel="0" collapsed="false">
      <c r="A75" s="19" t="s">
        <v>115</v>
      </c>
      <c r="B75" s="19"/>
      <c r="C75" s="19"/>
      <c r="D75" s="23" t="str">
        <f aca="false">COUNTIF(D8:D63,"B+")</f>
        <v>12</v>
      </c>
      <c r="E75" s="23" t="str">
        <f aca="false">COUNTIF(E8:E63,"B+")</f>
        <v>13</v>
      </c>
      <c r="F75" s="23" t="str">
        <f aca="false">COUNTIF(F8:F63,"B+")</f>
        <v>28</v>
      </c>
      <c r="G75" s="23" t="str">
        <f aca="false">COUNTIF(G8:G63,"B+")</f>
        <v>22</v>
      </c>
      <c r="H75" s="23" t="str">
        <f aca="false">COUNTIF(H8:H63,"B+")</f>
        <v>12</v>
      </c>
      <c r="I75" s="23" t="str">
        <f aca="false">COUNTIF(I8:I63,"B+")</f>
        <v>26</v>
      </c>
      <c r="J75" s="23" t="str">
        <f aca="false">COUNTIF(J8:J63,"B+")</f>
        <v>0</v>
      </c>
      <c r="K75" s="23" t="str">
        <f aca="false">COUNTIF(K8:K63,"B+")</f>
        <v>0</v>
      </c>
      <c r="L75" s="23" t="str">
        <f aca="false">COUNTIF(L8:L63,"B+")</f>
        <v>0</v>
      </c>
      <c r="M75" s="81"/>
      <c r="N75" s="82"/>
      <c r="O75" s="82"/>
      <c r="P75" s="83"/>
    </row>
    <row r="76" customFormat="false" ht="15.75" hidden="false" customHeight="true" outlineLevel="0" collapsed="false">
      <c r="A76" s="19" t="s">
        <v>116</v>
      </c>
      <c r="B76" s="19"/>
      <c r="C76" s="19"/>
      <c r="D76" s="23" t="str">
        <f aca="false">COUNTIF(D7:D63,"B")</f>
        <v>0</v>
      </c>
      <c r="E76" s="23" t="str">
        <f aca="false">COUNTIF(E7:E63,"B")</f>
        <v>4</v>
      </c>
      <c r="F76" s="23" t="str">
        <f aca="false">COUNTIF(F7:F63,"B")</f>
        <v>4</v>
      </c>
      <c r="G76" s="23" t="str">
        <f aca="false">COUNTIF(G7:G63,"B")</f>
        <v>0</v>
      </c>
      <c r="H76" s="23" t="str">
        <f aca="false">COUNTIF(H7:H63,"B")</f>
        <v>0</v>
      </c>
      <c r="I76" s="23" t="str">
        <f aca="false">COUNTIF(I7:I63,"B")</f>
        <v>2</v>
      </c>
      <c r="J76" s="23" t="str">
        <f aca="false">COUNTIF(J7:J63,"B")</f>
        <v>0</v>
      </c>
      <c r="K76" s="23" t="str">
        <f aca="false">COUNTIF(K7:K63,"B")</f>
        <v>0</v>
      </c>
      <c r="L76" s="23" t="str">
        <f aca="false">COUNTIF(L7:L63,"B")</f>
        <v>0</v>
      </c>
      <c r="M76" s="90"/>
      <c r="N76" s="91"/>
      <c r="O76" s="91"/>
      <c r="P76" s="92"/>
    </row>
    <row r="77" customFormat="false" ht="15.75" hidden="false" customHeight="true" outlineLevel="0" collapsed="false">
      <c r="A77" s="41"/>
      <c r="B77" s="42"/>
      <c r="C77" s="43" t="s">
        <v>117</v>
      </c>
      <c r="D77" s="48" t="str">
        <f aca="false">COUNTIF(D7:D63,"C")</f>
        <v>1</v>
      </c>
      <c r="E77" s="48" t="str">
        <f aca="false">COUNTIF(E7:E63,"C")</f>
        <v>0</v>
      </c>
      <c r="F77" s="48" t="str">
        <f aca="false">COUNTIF(F7:F63,"C")</f>
        <v>0</v>
      </c>
      <c r="G77" s="48" t="str">
        <f aca="false">COUNTIF(G7:G63,"C")</f>
        <v>0</v>
      </c>
      <c r="H77" s="48" t="str">
        <f aca="false">COUNTIF(H7:H63,"C")</f>
        <v>0</v>
      </c>
      <c r="I77" s="48" t="str">
        <f aca="false">COUNTIF(I7:I63,"C")</f>
        <v>0</v>
      </c>
      <c r="J77" s="48" t="str">
        <f aca="false">COUNTIF(J7:J63,"C")</f>
        <v>0</v>
      </c>
      <c r="K77" s="48" t="str">
        <f aca="false">COUNTIF(K7:K63,"C")</f>
        <v>0</v>
      </c>
      <c r="L77" s="48" t="str">
        <f aca="false">COUNTIF(L7:L63,"C")</f>
        <v>0</v>
      </c>
      <c r="M77" s="44"/>
      <c r="N77" s="45"/>
      <c r="O77" s="45"/>
      <c r="P77" s="46"/>
    </row>
    <row r="78" customFormat="false" ht="15.75" hidden="false" customHeight="true" outlineLevel="0" collapsed="false">
      <c r="A78" s="41" t="s">
        <v>118</v>
      </c>
      <c r="B78" s="41"/>
      <c r="C78" s="41"/>
      <c r="D78" s="48" t="n">
        <v>35</v>
      </c>
      <c r="E78" s="48"/>
      <c r="F78" s="48"/>
      <c r="G78" s="48"/>
      <c r="H78" s="48"/>
      <c r="I78" s="48"/>
      <c r="J78" s="48"/>
      <c r="K78" s="48"/>
      <c r="L78" s="48"/>
      <c r="M78" s="49"/>
      <c r="N78" s="49"/>
      <c r="O78" s="49"/>
      <c r="P78" s="49"/>
    </row>
    <row r="79" customFormat="false" ht="29.25" hidden="false" customHeight="true" outlineLevel="0" collapsed="false">
      <c r="A79" s="41" t="s">
        <v>119</v>
      </c>
      <c r="B79" s="41"/>
      <c r="C79" s="41"/>
      <c r="D79" s="93" t="str">
        <f aca="false">N66</f>
        <v>64</v>
      </c>
      <c r="E79" s="93"/>
      <c r="F79" s="93"/>
      <c r="G79" s="93"/>
      <c r="H79" s="93"/>
      <c r="I79" s="93"/>
      <c r="J79" s="93"/>
      <c r="K79" s="93"/>
      <c r="L79" s="93"/>
      <c r="M79" s="49"/>
      <c r="N79" s="49"/>
      <c r="O79" s="49"/>
      <c r="P79" s="49"/>
    </row>
    <row r="80" customFormat="false" ht="15.75" hidden="false" customHeight="true" outlineLevel="0" collapsed="false">
      <c r="A80" s="51" t="s">
        <v>120</v>
      </c>
      <c r="B80" s="4"/>
    </row>
    <row r="81" customFormat="false" ht="51.75" hidden="false" customHeight="true" outlineLevel="0" collapsed="false">
      <c r="A81" s="94" t="s">
        <v>121</v>
      </c>
      <c r="B81" s="95" t="s">
        <v>122</v>
      </c>
      <c r="C81" s="94" t="s">
        <v>123</v>
      </c>
      <c r="D81" s="94"/>
      <c r="E81" s="94"/>
      <c r="F81" s="94" t="s">
        <v>124</v>
      </c>
      <c r="G81" s="94"/>
      <c r="H81" s="94" t="s">
        <v>125</v>
      </c>
      <c r="I81" s="94"/>
      <c r="J81" s="96" t="s">
        <v>126</v>
      </c>
      <c r="K81" s="96"/>
      <c r="L81" s="96"/>
      <c r="M81" s="97" t="s">
        <v>127</v>
      </c>
      <c r="N81" s="98" t="s">
        <v>128</v>
      </c>
      <c r="O81" s="98"/>
      <c r="P81" s="98"/>
    </row>
    <row r="82" customFormat="false" ht="19.5" hidden="false" customHeight="true" outlineLevel="0" collapsed="false">
      <c r="A82" s="56" t="n">
        <v>1</v>
      </c>
      <c r="B82" s="99" t="s">
        <v>220</v>
      </c>
      <c r="C82" s="100" t="s">
        <v>221</v>
      </c>
      <c r="D82" s="100"/>
      <c r="E82" s="100"/>
      <c r="F82" s="101" t="n">
        <v>55</v>
      </c>
      <c r="G82" s="101"/>
      <c r="H82" s="62" t="n">
        <v>55</v>
      </c>
      <c r="I82" s="62"/>
      <c r="J82" s="102" t="n">
        <v>55</v>
      </c>
      <c r="K82" s="102"/>
      <c r="L82" s="102"/>
      <c r="M82" s="103" t="n">
        <v>0</v>
      </c>
      <c r="N82" s="104" t="str">
        <f aca="false">(J82/H82)*100</f>
        <v>100.00</v>
      </c>
      <c r="O82" s="105"/>
      <c r="P82" s="105"/>
    </row>
    <row r="83" customFormat="false" ht="24" hidden="false" customHeight="true" outlineLevel="0" collapsed="false">
      <c r="A83" s="56" t="n">
        <v>2</v>
      </c>
      <c r="B83" s="66" t="s">
        <v>222</v>
      </c>
      <c r="C83" s="100" t="s">
        <v>223</v>
      </c>
      <c r="D83" s="100"/>
      <c r="E83" s="100"/>
      <c r="F83" s="101" t="n">
        <v>55</v>
      </c>
      <c r="G83" s="101"/>
      <c r="H83" s="62" t="n">
        <v>55</v>
      </c>
      <c r="I83" s="62"/>
      <c r="J83" s="102" t="n">
        <v>55</v>
      </c>
      <c r="K83" s="102"/>
      <c r="L83" s="102"/>
      <c r="M83" s="103" t="n">
        <v>0</v>
      </c>
      <c r="N83" s="104" t="str">
        <f aca="false">(J83/H83)*100</f>
        <v>100.00</v>
      </c>
      <c r="O83" s="105"/>
      <c r="P83" s="105"/>
    </row>
    <row r="84" customFormat="false" ht="22.5" hidden="false" customHeight="true" outlineLevel="0" collapsed="false">
      <c r="A84" s="56" t="n">
        <v>3</v>
      </c>
      <c r="B84" s="99" t="s">
        <v>224</v>
      </c>
      <c r="C84" s="100" t="s">
        <v>225</v>
      </c>
      <c r="D84" s="100"/>
      <c r="E84" s="100"/>
      <c r="F84" s="101" t="n">
        <v>55</v>
      </c>
      <c r="G84" s="101"/>
      <c r="H84" s="62" t="n">
        <v>55</v>
      </c>
      <c r="I84" s="62"/>
      <c r="J84" s="102" t="n">
        <v>49</v>
      </c>
      <c r="K84" s="102"/>
      <c r="L84" s="102"/>
      <c r="M84" s="106" t="n">
        <v>6</v>
      </c>
      <c r="N84" s="104" t="str">
        <f aca="false">(J84/H84)*100</f>
        <v>89.09</v>
      </c>
      <c r="O84" s="105"/>
      <c r="P84" s="105"/>
    </row>
    <row r="85" customFormat="false" ht="23.25" hidden="false" customHeight="true" outlineLevel="0" collapsed="false">
      <c r="A85" s="56" t="n">
        <v>4</v>
      </c>
      <c r="B85" s="99" t="s">
        <v>226</v>
      </c>
      <c r="C85" s="100" t="s">
        <v>227</v>
      </c>
      <c r="D85" s="100"/>
      <c r="E85" s="100"/>
      <c r="F85" s="101" t="n">
        <v>55</v>
      </c>
      <c r="G85" s="101"/>
      <c r="H85" s="62" t="n">
        <v>55</v>
      </c>
      <c r="I85" s="62"/>
      <c r="J85" s="102" t="n">
        <v>55</v>
      </c>
      <c r="K85" s="102"/>
      <c r="L85" s="102"/>
      <c r="M85" s="106" t="n">
        <v>0</v>
      </c>
      <c r="N85" s="104" t="str">
        <f aca="false">(J85/H85)*100</f>
        <v>100.00</v>
      </c>
      <c r="O85" s="105"/>
      <c r="P85" s="105"/>
    </row>
    <row r="86" customFormat="false" ht="22.5" hidden="false" customHeight="true" outlineLevel="0" collapsed="false">
      <c r="A86" s="56" t="n">
        <v>5</v>
      </c>
      <c r="B86" s="99" t="s">
        <v>228</v>
      </c>
      <c r="C86" s="100" t="s">
        <v>229</v>
      </c>
      <c r="D86" s="100"/>
      <c r="E86" s="100"/>
      <c r="F86" s="101" t="n">
        <v>55</v>
      </c>
      <c r="G86" s="101"/>
      <c r="H86" s="62" t="n">
        <v>55</v>
      </c>
      <c r="I86" s="62"/>
      <c r="J86" s="102" t="n">
        <v>55</v>
      </c>
      <c r="K86" s="102"/>
      <c r="L86" s="102"/>
      <c r="M86" s="106" t="n">
        <v>0</v>
      </c>
      <c r="N86" s="104" t="str">
        <f aca="false">(J86/H86)*100</f>
        <v>100.00</v>
      </c>
      <c r="O86" s="105"/>
      <c r="P86" s="105"/>
    </row>
    <row r="87" customFormat="false" ht="16.5" hidden="false" customHeight="true" outlineLevel="0" collapsed="false">
      <c r="A87" s="56" t="n">
        <v>6</v>
      </c>
      <c r="B87" s="107" t="s">
        <v>230</v>
      </c>
      <c r="C87" s="108" t="s">
        <v>231</v>
      </c>
      <c r="D87" s="108"/>
      <c r="E87" s="108"/>
      <c r="F87" s="109" t="n">
        <v>55</v>
      </c>
      <c r="G87" s="109"/>
      <c r="H87" s="110" t="n">
        <v>55</v>
      </c>
      <c r="I87" s="110"/>
      <c r="J87" s="111" t="n">
        <v>37</v>
      </c>
      <c r="K87" s="111"/>
      <c r="L87" s="111"/>
      <c r="M87" s="106" t="n">
        <v>18</v>
      </c>
      <c r="N87" s="112" t="str">
        <f aca="false">(J87/H87)*100</f>
        <v>67.27</v>
      </c>
      <c r="O87" s="113"/>
      <c r="P87" s="113"/>
    </row>
    <row r="88" customFormat="false" ht="18" hidden="false" customHeight="true" outlineLevel="0" collapsed="false">
      <c r="A88" s="56" t="n">
        <v>7</v>
      </c>
      <c r="B88" s="114" t="s">
        <v>230</v>
      </c>
      <c r="C88" s="100" t="s">
        <v>232</v>
      </c>
      <c r="D88" s="100"/>
      <c r="E88" s="100"/>
      <c r="F88" s="101" t="n">
        <v>55</v>
      </c>
      <c r="G88" s="101"/>
      <c r="H88" s="62" t="n">
        <v>55</v>
      </c>
      <c r="I88" s="62"/>
      <c r="J88" s="102" t="n">
        <v>55</v>
      </c>
      <c r="K88" s="102"/>
      <c r="L88" s="102"/>
      <c r="M88" s="106" t="n">
        <v>0</v>
      </c>
      <c r="N88" s="104" t="str">
        <f aca="false">(J88/H88)*100</f>
        <v>100.00</v>
      </c>
      <c r="O88" s="105"/>
      <c r="P88" s="105"/>
    </row>
    <row r="89" customFormat="false" ht="24.75" hidden="false" customHeight="true" outlineLevel="0" collapsed="false">
      <c r="A89" s="56" t="n">
        <v>8</v>
      </c>
      <c r="B89" s="99" t="s">
        <v>233</v>
      </c>
      <c r="C89" s="100" t="s">
        <v>234</v>
      </c>
      <c r="D89" s="100"/>
      <c r="E89" s="100"/>
      <c r="F89" s="101" t="n">
        <v>55</v>
      </c>
      <c r="G89" s="101"/>
      <c r="H89" s="62" t="n">
        <v>55</v>
      </c>
      <c r="I89" s="62"/>
      <c r="J89" s="102" t="n">
        <v>55</v>
      </c>
      <c r="K89" s="102"/>
      <c r="L89" s="102"/>
      <c r="M89" s="103" t="n">
        <v>0</v>
      </c>
      <c r="N89" s="104" t="str">
        <f aca="false">(J89/H89)*100</f>
        <v>100.00</v>
      </c>
      <c r="O89" s="105"/>
      <c r="P89" s="105"/>
    </row>
    <row r="90" customFormat="false" ht="25.5" hidden="false" customHeight="true" outlineLevel="0" collapsed="false">
      <c r="A90" s="56" t="n">
        <v>9</v>
      </c>
      <c r="B90" s="99" t="s">
        <v>235</v>
      </c>
      <c r="C90" s="100" t="s">
        <v>236</v>
      </c>
      <c r="D90" s="100"/>
      <c r="E90" s="100"/>
      <c r="F90" s="101" t="n">
        <v>55</v>
      </c>
      <c r="G90" s="101"/>
      <c r="H90" s="62" t="n">
        <v>55</v>
      </c>
      <c r="I90" s="62"/>
      <c r="J90" s="102" t="n">
        <v>55</v>
      </c>
      <c r="K90" s="102"/>
      <c r="L90" s="102"/>
      <c r="M90" s="103" t="n">
        <v>0</v>
      </c>
      <c r="N90" s="104" t="str">
        <f aca="false">(J90/H90)*100</f>
        <v>100.00</v>
      </c>
      <c r="O90" s="105"/>
      <c r="P90" s="105"/>
    </row>
    <row r="91" customFormat="false" ht="55.5" hidden="false" customHeight="true" outlineLevel="0" collapsed="false">
      <c r="B91" s="72" t="s">
        <v>143</v>
      </c>
      <c r="C91" s="72"/>
      <c r="D91" s="73"/>
      <c r="E91" s="74" t="s">
        <v>144</v>
      </c>
      <c r="F91" s="74"/>
      <c r="G91" s="74"/>
      <c r="H91" s="74"/>
      <c r="I91" s="75" t="s">
        <v>145</v>
      </c>
      <c r="J91" s="75"/>
      <c r="K91" s="75"/>
    </row>
    <row r="92" customFormat="false" ht="15.75" hidden="false" customHeight="true" outlineLevel="0" collapsed="false">
      <c r="B92" s="4"/>
    </row>
    <row r="93" customFormat="false" ht="15.75" hidden="false" customHeight="true" outlineLevel="0" collapsed="false">
      <c r="B93" s="4"/>
    </row>
    <row r="94" customFormat="false" ht="15.75" hidden="false" customHeight="true" outlineLevel="0" collapsed="false">
      <c r="B94" s="4"/>
    </row>
    <row r="95" customFormat="false" ht="15.75" hidden="false" customHeight="true" outlineLevel="0" collapsed="false">
      <c r="B95" s="4"/>
    </row>
    <row r="96" customFormat="false" ht="15.75" hidden="false" customHeight="true" outlineLevel="0" collapsed="false">
      <c r="B96" s="4"/>
    </row>
    <row r="97" customFormat="false" ht="15.75" hidden="false" customHeight="true" outlineLevel="0" collapsed="false">
      <c r="B97" s="4"/>
    </row>
    <row r="98" customFormat="false" ht="15.75" hidden="false" customHeight="true" outlineLevel="0" collapsed="false">
      <c r="B98" s="4"/>
    </row>
    <row r="99" customFormat="false" ht="15.75" hidden="false" customHeight="true" outlineLevel="0" collapsed="false">
      <c r="B99" s="4"/>
    </row>
    <row r="100" customFormat="false" ht="15.75" hidden="false" customHeight="true" outlineLevel="0" collapsed="false">
      <c r="B100" s="4"/>
      <c r="C100" s="115"/>
      <c r="D100" s="115"/>
      <c r="E100" s="115"/>
      <c r="F100" s="115"/>
      <c r="G100" s="115"/>
    </row>
    <row r="101" customFormat="false" ht="15.75" hidden="false" customHeight="true" outlineLevel="0" collapsed="false">
      <c r="B101" s="4"/>
      <c r="C101" s="115"/>
      <c r="D101" s="115"/>
      <c r="E101" s="115"/>
      <c r="F101" s="115"/>
      <c r="G101" s="115"/>
    </row>
    <row r="102" customFormat="false" ht="15.75" hidden="false" customHeight="true" outlineLevel="0" collapsed="false">
      <c r="B102" s="4"/>
      <c r="C102" s="115"/>
      <c r="D102" s="115"/>
      <c r="E102" s="115"/>
      <c r="F102" s="115"/>
      <c r="G102" s="115"/>
    </row>
    <row r="103" customFormat="false" ht="15.75" hidden="false" customHeight="true" outlineLevel="0" collapsed="false">
      <c r="B103" s="4"/>
      <c r="C103" s="115"/>
      <c r="D103" s="115"/>
      <c r="E103" s="115"/>
      <c r="F103" s="115"/>
      <c r="G103" s="115"/>
    </row>
    <row r="104" customFormat="false" ht="15.75" hidden="false" customHeight="true" outlineLevel="0" collapsed="false">
      <c r="B104" s="4"/>
      <c r="C104" s="115"/>
      <c r="D104" s="115"/>
      <c r="E104" s="115"/>
      <c r="F104" s="115"/>
      <c r="G104" s="115"/>
    </row>
    <row r="105" customFormat="false" ht="15.75" hidden="false" customHeight="true" outlineLevel="0" collapsed="false">
      <c r="B105" s="4"/>
      <c r="C105" s="115"/>
      <c r="D105" s="115"/>
      <c r="E105" s="115"/>
      <c r="F105" s="115"/>
      <c r="G105" s="115"/>
    </row>
    <row r="106" customFormat="false" ht="15.75" hidden="false" customHeight="true" outlineLevel="0" collapsed="false">
      <c r="B106" s="4"/>
    </row>
    <row r="107" customFormat="false" ht="15.75" hidden="false" customHeight="true" outlineLevel="0" collapsed="false">
      <c r="B107" s="4"/>
    </row>
    <row r="108" customFormat="false" ht="15.75" hidden="false" customHeight="true" outlineLevel="0" collapsed="false">
      <c r="B108" s="4"/>
    </row>
    <row r="109" customFormat="false" ht="15.75" hidden="false" customHeight="true" outlineLevel="0" collapsed="false">
      <c r="B109" s="4"/>
    </row>
    <row r="110" customFormat="false" ht="15.75" hidden="false" customHeight="true" outlineLevel="0" collapsed="false">
      <c r="B110" s="4"/>
    </row>
  </sheetData>
  <mergeCells count="83">
    <mergeCell ref="A1:P1"/>
    <mergeCell ref="A2:P2"/>
    <mergeCell ref="A3:P3"/>
    <mergeCell ref="K5:M5"/>
    <mergeCell ref="N5:P5"/>
    <mergeCell ref="A6:A7"/>
    <mergeCell ref="B6:B7"/>
    <mergeCell ref="M6:M7"/>
    <mergeCell ref="N6:N7"/>
    <mergeCell ref="O6:O7"/>
    <mergeCell ref="P6:P7"/>
    <mergeCell ref="A64:C64"/>
    <mergeCell ref="A65:C65"/>
    <mergeCell ref="M65:P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8:C78"/>
    <mergeCell ref="D78:L78"/>
    <mergeCell ref="A79:C79"/>
    <mergeCell ref="D79:L79"/>
    <mergeCell ref="C81:E81"/>
    <mergeCell ref="F81:G81"/>
    <mergeCell ref="H81:I81"/>
    <mergeCell ref="J81:L81"/>
    <mergeCell ref="N81:P81"/>
    <mergeCell ref="C82:E82"/>
    <mergeCell ref="F82:G82"/>
    <mergeCell ref="H82:I82"/>
    <mergeCell ref="J82:L82"/>
    <mergeCell ref="C83:E83"/>
    <mergeCell ref="F83:G83"/>
    <mergeCell ref="H83:I83"/>
    <mergeCell ref="J83:L83"/>
    <mergeCell ref="C84:E84"/>
    <mergeCell ref="F84:G84"/>
    <mergeCell ref="H84:I84"/>
    <mergeCell ref="J84:L84"/>
    <mergeCell ref="C85:E85"/>
    <mergeCell ref="F85:G85"/>
    <mergeCell ref="H85:I85"/>
    <mergeCell ref="J85:L85"/>
    <mergeCell ref="C86:E86"/>
    <mergeCell ref="F86:G86"/>
    <mergeCell ref="H86:I86"/>
    <mergeCell ref="J86:L86"/>
    <mergeCell ref="F87:G87"/>
    <mergeCell ref="H87:I87"/>
    <mergeCell ref="J87:L87"/>
    <mergeCell ref="C88:E88"/>
    <mergeCell ref="F88:G88"/>
    <mergeCell ref="H88:I88"/>
    <mergeCell ref="J88:L88"/>
    <mergeCell ref="C89:E89"/>
    <mergeCell ref="F89:G89"/>
    <mergeCell ref="H89:I89"/>
    <mergeCell ref="J89:L89"/>
    <mergeCell ref="C90:E90"/>
    <mergeCell ref="F90:G90"/>
    <mergeCell ref="H90:I90"/>
    <mergeCell ref="J90:L90"/>
    <mergeCell ref="B91:C91"/>
    <mergeCell ref="I91:K91"/>
    <mergeCell ref="C100:D100"/>
    <mergeCell ref="E100:G100"/>
    <mergeCell ref="C101:D101"/>
    <mergeCell ref="E101:G101"/>
    <mergeCell ref="C102:D102"/>
    <mergeCell ref="E102:G102"/>
    <mergeCell ref="C103:D103"/>
    <mergeCell ref="E103:G103"/>
    <mergeCell ref="C104:D104"/>
    <mergeCell ref="E104:G104"/>
    <mergeCell ref="C105:D105"/>
    <mergeCell ref="E105:G105"/>
  </mergeCells>
  <printOptions headings="false" gridLines="false" gridLinesSet="true" horizontalCentered="true" verticalCentered="false"/>
  <pageMargins left="0.708333333333333" right="0.708333333333333" top="0" bottom="0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2024-09-30T01:37:00Z</dcterms:created>
  <dc:creator>Sree</dc:creator>
  <dc:description/>
  <dc:language>en-US</dc:language>
  <cp:lastModifiedBy>ADMIN</cp:lastModifiedBy>
  <cp:lastPrinted>2025-04-05T09:02:26Z</cp:lastPrinted>
  <dcterms:modified xsi:type="dcterms:W3CDTF">2025-04-05T09:02:28Z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FB439F183C244FDBB02C642149941E11_13</vt:lpwstr>
  </property>
  <property fmtid="{D5CDD505-2E9C-101B-9397-08002B2CF9AE}" pid="3" name="KSOProductBuildVer">
    <vt:lpwstr>1033-12.2.0.20782</vt:lpwstr>
  </property>
</Properties>
</file>