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xr:revisionPtr revIDLastSave="0" documentId="13_ncr:1000001_{C1463ECC-EA4C-D143-88FA-F39F0DAAF5CF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II CSE" sheetId="1" r:id="rId1"/>
    <sheet name="III CSE" sheetId="2" r:id="rId2"/>
    <sheet name="IV CSE" sheetId="3" r:id="rId3"/>
    <sheet name="II IT" sheetId="4" r:id="rId4"/>
    <sheet name="III IT" sheetId="5" r:id="rId5"/>
    <sheet name="II AI&amp;D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6" l="1"/>
  <c r="K82" i="6"/>
  <c r="K81" i="6"/>
  <c r="K80" i="6"/>
  <c r="K79" i="6"/>
  <c r="K78" i="6"/>
  <c r="I73" i="6"/>
  <c r="I70" i="6"/>
  <c r="I75" i="6"/>
  <c r="H73" i="6"/>
  <c r="H70" i="6"/>
  <c r="H75" i="6"/>
  <c r="G73" i="6"/>
  <c r="G70" i="6"/>
  <c r="G75" i="6"/>
  <c r="F73" i="6"/>
  <c r="F70" i="6"/>
  <c r="F75" i="6"/>
  <c r="E73" i="6"/>
  <c r="E70" i="6"/>
  <c r="E75" i="6"/>
  <c r="D73" i="6"/>
  <c r="D70" i="6"/>
  <c r="D7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74" i="6"/>
  <c r="I74" i="6"/>
  <c r="H74" i="6"/>
  <c r="G74" i="6"/>
  <c r="F74" i="6"/>
  <c r="E74" i="6"/>
  <c r="D74" i="6"/>
  <c r="K15" i="6"/>
  <c r="K73" i="6"/>
  <c r="K14" i="6"/>
  <c r="K72" i="6"/>
  <c r="I72" i="6"/>
  <c r="H72" i="6"/>
  <c r="G72" i="6"/>
  <c r="F72" i="6"/>
  <c r="E72" i="6"/>
  <c r="D72" i="6"/>
  <c r="K13" i="6"/>
  <c r="K71" i="6"/>
  <c r="H71" i="6"/>
  <c r="G71" i="6"/>
  <c r="F71" i="6"/>
  <c r="E71" i="6"/>
  <c r="K12" i="6"/>
  <c r="K70" i="6"/>
  <c r="K11" i="6"/>
  <c r="L69" i="6"/>
  <c r="K69" i="6"/>
  <c r="J67" i="6"/>
  <c r="L67" i="6"/>
  <c r="J66" i="6"/>
  <c r="L66" i="6"/>
  <c r="J65" i="6"/>
  <c r="L65" i="6"/>
  <c r="J64" i="6"/>
  <c r="L64" i="6"/>
  <c r="J63" i="6"/>
  <c r="L63" i="6"/>
  <c r="J62" i="6"/>
  <c r="L62" i="6"/>
  <c r="J61" i="6"/>
  <c r="L61" i="6"/>
  <c r="J60" i="6"/>
  <c r="L60" i="6"/>
  <c r="J59" i="6"/>
  <c r="L59" i="6"/>
  <c r="J58" i="6"/>
  <c r="L58" i="6"/>
  <c r="J57" i="6"/>
  <c r="L57" i="6"/>
  <c r="J56" i="6"/>
  <c r="L56" i="6"/>
  <c r="J55" i="6"/>
  <c r="L55" i="6"/>
  <c r="J54" i="6"/>
  <c r="L54" i="6"/>
  <c r="J53" i="6"/>
  <c r="L53" i="6"/>
  <c r="J52" i="6"/>
  <c r="L52" i="6"/>
  <c r="J51" i="6"/>
  <c r="L51" i="6"/>
  <c r="J50" i="6"/>
  <c r="L50" i="6"/>
  <c r="J49" i="6"/>
  <c r="L49" i="6"/>
  <c r="J48" i="6"/>
  <c r="L48" i="6"/>
  <c r="J47" i="6"/>
  <c r="L47" i="6"/>
  <c r="J46" i="6"/>
  <c r="L46" i="6"/>
  <c r="J45" i="6"/>
  <c r="L45" i="6"/>
  <c r="J44" i="6"/>
  <c r="L44" i="6"/>
  <c r="J43" i="6"/>
  <c r="L43" i="6"/>
  <c r="J42" i="6"/>
  <c r="L42" i="6"/>
  <c r="J41" i="6"/>
  <c r="L41" i="6"/>
  <c r="J40" i="6"/>
  <c r="L40" i="6"/>
  <c r="J39" i="6"/>
  <c r="L39" i="6"/>
  <c r="J38" i="6"/>
  <c r="L38" i="6"/>
  <c r="J37" i="6"/>
  <c r="L37" i="6"/>
  <c r="J36" i="6"/>
  <c r="L36" i="6"/>
  <c r="J35" i="6"/>
  <c r="L35" i="6"/>
  <c r="J34" i="6"/>
  <c r="L34" i="6"/>
  <c r="J33" i="6"/>
  <c r="L33" i="6"/>
  <c r="J32" i="6"/>
  <c r="L32" i="6"/>
  <c r="J31" i="6"/>
  <c r="L31" i="6"/>
  <c r="J30" i="6"/>
  <c r="L30" i="6"/>
  <c r="J29" i="6"/>
  <c r="L29" i="6"/>
  <c r="J28" i="6"/>
  <c r="L28" i="6"/>
  <c r="J27" i="6"/>
  <c r="L27" i="6"/>
  <c r="J26" i="6"/>
  <c r="L26" i="6"/>
  <c r="J25" i="6"/>
  <c r="L25" i="6"/>
  <c r="J24" i="6"/>
  <c r="L24" i="6"/>
  <c r="J23" i="6"/>
  <c r="L23" i="6"/>
  <c r="J22" i="6"/>
  <c r="L22" i="6"/>
  <c r="J21" i="6"/>
  <c r="L21" i="6"/>
  <c r="J20" i="6"/>
  <c r="L20" i="6"/>
  <c r="J19" i="6"/>
  <c r="L19" i="6"/>
  <c r="J18" i="6"/>
  <c r="L18" i="6"/>
  <c r="J17" i="6"/>
  <c r="L17" i="6"/>
  <c r="J16" i="6"/>
  <c r="L16" i="6"/>
  <c r="J15" i="6"/>
  <c r="L15" i="6"/>
  <c r="J14" i="6"/>
  <c r="L14" i="6"/>
  <c r="J13" i="6"/>
  <c r="L13" i="6"/>
  <c r="J12" i="6"/>
  <c r="L12" i="6"/>
  <c r="J11" i="6"/>
  <c r="L11" i="6"/>
  <c r="C89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75" i="5"/>
  <c r="I88" i="5"/>
  <c r="K15" i="5"/>
  <c r="K74" i="5"/>
  <c r="H88" i="5"/>
  <c r="K14" i="5"/>
  <c r="K73" i="5"/>
  <c r="G88" i="5"/>
  <c r="K13" i="5"/>
  <c r="K72" i="5"/>
  <c r="F88" i="5"/>
  <c r="K12" i="5"/>
  <c r="K71" i="5"/>
  <c r="E88" i="5"/>
  <c r="K11" i="5"/>
  <c r="K70" i="5"/>
  <c r="D88" i="5"/>
  <c r="J84" i="5"/>
  <c r="J83" i="5"/>
  <c r="J82" i="5"/>
  <c r="J81" i="5"/>
  <c r="J80" i="5"/>
  <c r="J79" i="5"/>
  <c r="I74" i="5"/>
  <c r="I71" i="5"/>
  <c r="I76" i="5"/>
  <c r="H74" i="5"/>
  <c r="H71" i="5"/>
  <c r="H76" i="5"/>
  <c r="G74" i="5"/>
  <c r="G71" i="5"/>
  <c r="G76" i="5"/>
  <c r="F74" i="5"/>
  <c r="F71" i="5"/>
  <c r="F76" i="5"/>
  <c r="E74" i="5"/>
  <c r="E71" i="5"/>
  <c r="E76" i="5"/>
  <c r="D74" i="5"/>
  <c r="D71" i="5"/>
  <c r="D76" i="5"/>
  <c r="I75" i="5"/>
  <c r="H75" i="5"/>
  <c r="G75" i="5"/>
  <c r="F75" i="5"/>
  <c r="E75" i="5"/>
  <c r="D75" i="5"/>
  <c r="I73" i="5"/>
  <c r="H73" i="5"/>
  <c r="G73" i="5"/>
  <c r="F73" i="5"/>
  <c r="E73" i="5"/>
  <c r="D73" i="5"/>
  <c r="I72" i="5"/>
  <c r="H72" i="5"/>
  <c r="G72" i="5"/>
  <c r="F72" i="5"/>
  <c r="E72" i="5"/>
  <c r="D72" i="5"/>
  <c r="L70" i="5"/>
  <c r="J66" i="5"/>
  <c r="L66" i="5"/>
  <c r="J65" i="5"/>
  <c r="L65" i="5"/>
  <c r="J64" i="5"/>
  <c r="L64" i="5"/>
  <c r="J63" i="5"/>
  <c r="L63" i="5"/>
  <c r="J62" i="5"/>
  <c r="L62" i="5"/>
  <c r="J61" i="5"/>
  <c r="L61" i="5"/>
  <c r="J60" i="5"/>
  <c r="L60" i="5"/>
  <c r="J59" i="5"/>
  <c r="L59" i="5"/>
  <c r="J58" i="5"/>
  <c r="L58" i="5"/>
  <c r="J57" i="5"/>
  <c r="L57" i="5"/>
  <c r="J56" i="5"/>
  <c r="L56" i="5"/>
  <c r="J55" i="5"/>
  <c r="L55" i="5"/>
  <c r="J54" i="5"/>
  <c r="L54" i="5"/>
  <c r="J53" i="5"/>
  <c r="L53" i="5"/>
  <c r="J52" i="5"/>
  <c r="L52" i="5"/>
  <c r="J51" i="5"/>
  <c r="L51" i="5"/>
  <c r="J50" i="5"/>
  <c r="L50" i="5"/>
  <c r="J49" i="5"/>
  <c r="L49" i="5"/>
  <c r="J48" i="5"/>
  <c r="L48" i="5"/>
  <c r="J47" i="5"/>
  <c r="L47" i="5"/>
  <c r="J46" i="5"/>
  <c r="L46" i="5"/>
  <c r="J45" i="5"/>
  <c r="L45" i="5"/>
  <c r="J44" i="5"/>
  <c r="L44" i="5"/>
  <c r="J43" i="5"/>
  <c r="L43" i="5"/>
  <c r="J42" i="5"/>
  <c r="L42" i="5"/>
  <c r="J41" i="5"/>
  <c r="L41" i="5"/>
  <c r="J40" i="5"/>
  <c r="L40" i="5"/>
  <c r="J39" i="5"/>
  <c r="L39" i="5"/>
  <c r="J38" i="5"/>
  <c r="L38" i="5"/>
  <c r="J37" i="5"/>
  <c r="L37" i="5"/>
  <c r="J36" i="5"/>
  <c r="L36" i="5"/>
  <c r="J35" i="5"/>
  <c r="L35" i="5"/>
  <c r="J34" i="5"/>
  <c r="L34" i="5"/>
  <c r="J33" i="5"/>
  <c r="L33" i="5"/>
  <c r="J32" i="5"/>
  <c r="L32" i="5"/>
  <c r="J31" i="5"/>
  <c r="L31" i="5"/>
  <c r="J30" i="5"/>
  <c r="L30" i="5"/>
  <c r="J29" i="5"/>
  <c r="L29" i="5"/>
  <c r="J28" i="5"/>
  <c r="L28" i="5"/>
  <c r="J27" i="5"/>
  <c r="L27" i="5"/>
  <c r="J26" i="5"/>
  <c r="L26" i="5"/>
  <c r="J25" i="5"/>
  <c r="L25" i="5"/>
  <c r="J24" i="5"/>
  <c r="L24" i="5"/>
  <c r="J23" i="5"/>
  <c r="L23" i="5"/>
  <c r="J22" i="5"/>
  <c r="L22" i="5"/>
  <c r="J21" i="5"/>
  <c r="L21" i="5"/>
  <c r="J20" i="5"/>
  <c r="L20" i="5"/>
  <c r="J19" i="5"/>
  <c r="L19" i="5"/>
  <c r="J18" i="5"/>
  <c r="L18" i="5"/>
  <c r="J17" i="5"/>
  <c r="L17" i="5"/>
  <c r="J16" i="5"/>
  <c r="L16" i="5"/>
  <c r="J15" i="5"/>
  <c r="L15" i="5"/>
  <c r="J14" i="5"/>
  <c r="L14" i="5"/>
  <c r="J13" i="5"/>
  <c r="L13" i="5"/>
  <c r="J12" i="5"/>
  <c r="L12" i="5"/>
  <c r="J11" i="5"/>
  <c r="L11" i="5"/>
  <c r="J88" i="4"/>
  <c r="J87" i="4"/>
  <c r="J86" i="4"/>
  <c r="J85" i="4"/>
  <c r="J84" i="4"/>
  <c r="H80" i="4"/>
  <c r="H77" i="4"/>
  <c r="H82" i="4"/>
  <c r="G80" i="4"/>
  <c r="G77" i="4"/>
  <c r="G82" i="4"/>
  <c r="F80" i="4"/>
  <c r="F77" i="4"/>
  <c r="F82" i="4"/>
  <c r="E80" i="4"/>
  <c r="E77" i="4"/>
  <c r="E82" i="4"/>
  <c r="D80" i="4"/>
  <c r="D77" i="4"/>
  <c r="D82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81" i="4"/>
  <c r="H81" i="4"/>
  <c r="G81" i="4"/>
  <c r="F81" i="4"/>
  <c r="E81" i="4"/>
  <c r="D81" i="4"/>
  <c r="J15" i="4"/>
  <c r="J80" i="4"/>
  <c r="J14" i="4"/>
  <c r="J79" i="4"/>
  <c r="H79" i="4"/>
  <c r="G79" i="4"/>
  <c r="F79" i="4"/>
  <c r="E79" i="4"/>
  <c r="D79" i="4"/>
  <c r="J13" i="4"/>
  <c r="J78" i="4"/>
  <c r="H78" i="4"/>
  <c r="G78" i="4"/>
  <c r="F78" i="4"/>
  <c r="E78" i="4"/>
  <c r="D78" i="4"/>
  <c r="J12" i="4"/>
  <c r="J77" i="4"/>
  <c r="J11" i="4"/>
  <c r="J76" i="4"/>
  <c r="I74" i="4"/>
  <c r="K74" i="4"/>
  <c r="J74" i="4"/>
  <c r="I73" i="4"/>
  <c r="K73" i="4"/>
  <c r="J73" i="4"/>
  <c r="I72" i="4"/>
  <c r="K72" i="4"/>
  <c r="J72" i="4"/>
  <c r="I71" i="4"/>
  <c r="K71" i="4"/>
  <c r="J71" i="4"/>
  <c r="I70" i="4"/>
  <c r="K70" i="4"/>
  <c r="I69" i="4"/>
  <c r="K69" i="4"/>
  <c r="I68" i="4"/>
  <c r="K68" i="4"/>
  <c r="I67" i="4"/>
  <c r="K67" i="4"/>
  <c r="I66" i="4"/>
  <c r="K66" i="4"/>
  <c r="I65" i="4"/>
  <c r="K65" i="4"/>
  <c r="I64" i="4"/>
  <c r="K64" i="4"/>
  <c r="I63" i="4"/>
  <c r="K63" i="4"/>
  <c r="I62" i="4"/>
  <c r="K62" i="4"/>
  <c r="I61" i="4"/>
  <c r="K61" i="4"/>
  <c r="I60" i="4"/>
  <c r="K60" i="4"/>
  <c r="I59" i="4"/>
  <c r="K59" i="4"/>
  <c r="I58" i="4"/>
  <c r="K58" i="4"/>
  <c r="I57" i="4"/>
  <c r="K57" i="4"/>
  <c r="I56" i="4"/>
  <c r="K56" i="4"/>
  <c r="I55" i="4"/>
  <c r="K55" i="4"/>
  <c r="I54" i="4"/>
  <c r="K54" i="4"/>
  <c r="I53" i="4"/>
  <c r="K53" i="4"/>
  <c r="I52" i="4"/>
  <c r="K52" i="4"/>
  <c r="I51" i="4"/>
  <c r="K51" i="4"/>
  <c r="I50" i="4"/>
  <c r="K50" i="4"/>
  <c r="I49" i="4"/>
  <c r="K49" i="4"/>
  <c r="I48" i="4"/>
  <c r="K48" i="4"/>
  <c r="I47" i="4"/>
  <c r="K47" i="4"/>
  <c r="I46" i="4"/>
  <c r="K46" i="4"/>
  <c r="I45" i="4"/>
  <c r="K45" i="4"/>
  <c r="I44" i="4"/>
  <c r="K44" i="4"/>
  <c r="I43" i="4"/>
  <c r="K43" i="4"/>
  <c r="I42" i="4"/>
  <c r="K42" i="4"/>
  <c r="I41" i="4"/>
  <c r="K41" i="4"/>
  <c r="I40" i="4"/>
  <c r="K40" i="4"/>
  <c r="I39" i="4"/>
  <c r="K39" i="4"/>
  <c r="I38" i="4"/>
  <c r="K38" i="4"/>
  <c r="I37" i="4"/>
  <c r="K37" i="4"/>
  <c r="I36" i="4"/>
  <c r="K36" i="4"/>
  <c r="I35" i="4"/>
  <c r="K35" i="4"/>
  <c r="I34" i="4"/>
  <c r="K34" i="4"/>
  <c r="I33" i="4"/>
  <c r="K33" i="4"/>
  <c r="I32" i="4"/>
  <c r="K32" i="4"/>
  <c r="I31" i="4"/>
  <c r="K31" i="4"/>
  <c r="I30" i="4"/>
  <c r="K30" i="4"/>
  <c r="I29" i="4"/>
  <c r="K29" i="4"/>
  <c r="I28" i="4"/>
  <c r="K28" i="4"/>
  <c r="I27" i="4"/>
  <c r="K27" i="4"/>
  <c r="I26" i="4"/>
  <c r="K26" i="4"/>
  <c r="I25" i="4"/>
  <c r="K25" i="4"/>
  <c r="I24" i="4"/>
  <c r="K24" i="4"/>
  <c r="I23" i="4"/>
  <c r="K23" i="4"/>
  <c r="I22" i="4"/>
  <c r="K22" i="4"/>
  <c r="I21" i="4"/>
  <c r="K21" i="4"/>
  <c r="I20" i="4"/>
  <c r="K20" i="4"/>
  <c r="I19" i="4"/>
  <c r="K19" i="4"/>
  <c r="I18" i="4"/>
  <c r="K18" i="4"/>
  <c r="I17" i="4"/>
  <c r="K17" i="4"/>
  <c r="I16" i="4"/>
  <c r="K16" i="4"/>
  <c r="I15" i="4"/>
  <c r="K15" i="4"/>
  <c r="I14" i="4"/>
  <c r="K14" i="4"/>
  <c r="I13" i="4"/>
  <c r="K13" i="4"/>
  <c r="I12" i="4"/>
  <c r="K12" i="4"/>
  <c r="I11" i="4"/>
  <c r="K11" i="4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J78" i="3"/>
  <c r="C93" i="3"/>
  <c r="C95" i="3"/>
  <c r="G94" i="3"/>
  <c r="F94" i="3"/>
  <c r="I79" i="3"/>
  <c r="E94" i="3"/>
  <c r="I78" i="3"/>
  <c r="D94" i="3"/>
  <c r="G82" i="3"/>
  <c r="F90" i="3"/>
  <c r="I90" i="3"/>
  <c r="G80" i="3"/>
  <c r="E90" i="3"/>
  <c r="F82" i="3"/>
  <c r="F89" i="3"/>
  <c r="I89" i="3"/>
  <c r="F80" i="3"/>
  <c r="E89" i="3"/>
  <c r="E82" i="3"/>
  <c r="F88" i="3"/>
  <c r="I88" i="3"/>
  <c r="E80" i="3"/>
  <c r="E88" i="3"/>
  <c r="D82" i="3"/>
  <c r="F87" i="3"/>
  <c r="I87" i="3"/>
  <c r="D80" i="3"/>
  <c r="E87" i="3"/>
  <c r="G79" i="3"/>
  <c r="G84" i="3"/>
  <c r="F79" i="3"/>
  <c r="F84" i="3"/>
  <c r="E79" i="3"/>
  <c r="E84" i="3"/>
  <c r="D79" i="3"/>
  <c r="D84" i="3"/>
  <c r="I83" i="3"/>
  <c r="G83" i="3"/>
  <c r="F83" i="3"/>
  <c r="E83" i="3"/>
  <c r="D83" i="3"/>
  <c r="I82" i="3"/>
  <c r="G81" i="3"/>
  <c r="F81" i="3"/>
  <c r="E81" i="3"/>
  <c r="D81" i="3"/>
  <c r="G78" i="3"/>
  <c r="E78" i="3"/>
  <c r="D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I79" i="2"/>
  <c r="G91" i="2"/>
  <c r="I76" i="2"/>
  <c r="E91" i="2"/>
  <c r="H91" i="2"/>
  <c r="I77" i="2"/>
  <c r="F91" i="2"/>
  <c r="H79" i="2"/>
  <c r="G90" i="2"/>
  <c r="H76" i="2"/>
  <c r="E90" i="2"/>
  <c r="H90" i="2"/>
  <c r="H77" i="2"/>
  <c r="F90" i="2"/>
  <c r="G79" i="2"/>
  <c r="G89" i="2"/>
  <c r="G76" i="2"/>
  <c r="E89" i="2"/>
  <c r="H89" i="2"/>
  <c r="G77" i="2"/>
  <c r="F89" i="2"/>
  <c r="F76" i="2"/>
  <c r="E88" i="2"/>
  <c r="H88" i="2"/>
  <c r="E79" i="2"/>
  <c r="G87" i="2"/>
  <c r="E76" i="2"/>
  <c r="E87" i="2"/>
  <c r="H87" i="2"/>
  <c r="E77" i="2"/>
  <c r="F87" i="2"/>
  <c r="D79" i="2"/>
  <c r="G86" i="2"/>
  <c r="D76" i="2"/>
  <c r="E86" i="2"/>
  <c r="H86" i="2"/>
  <c r="D77" i="2"/>
  <c r="F86" i="2"/>
  <c r="I81" i="2"/>
  <c r="H81" i="2"/>
  <c r="G81" i="2"/>
  <c r="F79" i="2"/>
  <c r="F81" i="2"/>
  <c r="E81" i="2"/>
  <c r="D81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80" i="2"/>
  <c r="I80" i="2"/>
  <c r="H80" i="2"/>
  <c r="G80" i="2"/>
  <c r="F80" i="2"/>
  <c r="E80" i="2"/>
  <c r="D80" i="2"/>
  <c r="K15" i="2"/>
  <c r="K79" i="2"/>
  <c r="K14" i="2"/>
  <c r="K78" i="2"/>
  <c r="I78" i="2"/>
  <c r="H78" i="2"/>
  <c r="G78" i="2"/>
  <c r="F78" i="2"/>
  <c r="E78" i="2"/>
  <c r="D78" i="2"/>
  <c r="K13" i="2"/>
  <c r="K77" i="2"/>
  <c r="F77" i="2"/>
  <c r="K12" i="2"/>
  <c r="K76" i="2"/>
  <c r="K11" i="2"/>
  <c r="K75" i="2"/>
  <c r="J73" i="2"/>
  <c r="L73" i="2"/>
  <c r="K73" i="2"/>
  <c r="J72" i="2"/>
  <c r="L72" i="2"/>
  <c r="K72" i="2"/>
  <c r="J71" i="2"/>
  <c r="L71" i="2"/>
  <c r="K71" i="2"/>
  <c r="J70" i="2"/>
  <c r="L70" i="2"/>
  <c r="J69" i="2"/>
  <c r="L69" i="2"/>
  <c r="J68" i="2"/>
  <c r="L68" i="2"/>
  <c r="J67" i="2"/>
  <c r="L67" i="2"/>
  <c r="J66" i="2"/>
  <c r="L66" i="2"/>
  <c r="J65" i="2"/>
  <c r="L65" i="2"/>
  <c r="J64" i="2"/>
  <c r="L64" i="2"/>
  <c r="J63" i="2"/>
  <c r="L63" i="2"/>
  <c r="J62" i="2"/>
  <c r="L62" i="2"/>
  <c r="J61" i="2"/>
  <c r="L61" i="2"/>
  <c r="J60" i="2"/>
  <c r="L60" i="2"/>
  <c r="J59" i="2"/>
  <c r="L59" i="2"/>
  <c r="J58" i="2"/>
  <c r="L58" i="2"/>
  <c r="J57" i="2"/>
  <c r="L57" i="2"/>
  <c r="J56" i="2"/>
  <c r="L56" i="2"/>
  <c r="J55" i="2"/>
  <c r="L55" i="2"/>
  <c r="J54" i="2"/>
  <c r="L54" i="2"/>
  <c r="J53" i="2"/>
  <c r="L53" i="2"/>
  <c r="J52" i="2"/>
  <c r="L52" i="2"/>
  <c r="J51" i="2"/>
  <c r="L51" i="2"/>
  <c r="J50" i="2"/>
  <c r="L50" i="2"/>
  <c r="J49" i="2"/>
  <c r="L49" i="2"/>
  <c r="J48" i="2"/>
  <c r="L48" i="2"/>
  <c r="J47" i="2"/>
  <c r="L47" i="2"/>
  <c r="J46" i="2"/>
  <c r="L46" i="2"/>
  <c r="J45" i="2"/>
  <c r="L45" i="2"/>
  <c r="J44" i="2"/>
  <c r="L44" i="2"/>
  <c r="J43" i="2"/>
  <c r="L43" i="2"/>
  <c r="J42" i="2"/>
  <c r="L42" i="2"/>
  <c r="J41" i="2"/>
  <c r="L41" i="2"/>
  <c r="J40" i="2"/>
  <c r="L40" i="2"/>
  <c r="J39" i="2"/>
  <c r="L39" i="2"/>
  <c r="J38" i="2"/>
  <c r="L38" i="2"/>
  <c r="J37" i="2"/>
  <c r="L37" i="2"/>
  <c r="J36" i="2"/>
  <c r="L36" i="2"/>
  <c r="J35" i="2"/>
  <c r="L35" i="2"/>
  <c r="J34" i="2"/>
  <c r="L34" i="2"/>
  <c r="J33" i="2"/>
  <c r="L33" i="2"/>
  <c r="J32" i="2"/>
  <c r="L32" i="2"/>
  <c r="J31" i="2"/>
  <c r="L31" i="2"/>
  <c r="J30" i="2"/>
  <c r="L30" i="2"/>
  <c r="J29" i="2"/>
  <c r="L29" i="2"/>
  <c r="J28" i="2"/>
  <c r="L28" i="2"/>
  <c r="J27" i="2"/>
  <c r="L27" i="2"/>
  <c r="J26" i="2"/>
  <c r="L26" i="2"/>
  <c r="J25" i="2"/>
  <c r="L25" i="2"/>
  <c r="J24" i="2"/>
  <c r="L24" i="2"/>
  <c r="J23" i="2"/>
  <c r="L23" i="2"/>
  <c r="J22" i="2"/>
  <c r="L22" i="2"/>
  <c r="J21" i="2"/>
  <c r="L21" i="2"/>
  <c r="J20" i="2"/>
  <c r="L20" i="2"/>
  <c r="J19" i="2"/>
  <c r="L19" i="2"/>
  <c r="J18" i="2"/>
  <c r="L18" i="2"/>
  <c r="J17" i="2"/>
  <c r="L17" i="2"/>
  <c r="J16" i="2"/>
  <c r="L16" i="2"/>
  <c r="J15" i="2"/>
  <c r="L15" i="2"/>
  <c r="J14" i="2"/>
  <c r="L14" i="2"/>
  <c r="J13" i="2"/>
  <c r="L13" i="2"/>
  <c r="J12" i="2"/>
  <c r="L12" i="2"/>
  <c r="J11" i="2"/>
  <c r="L11" i="2"/>
  <c r="J84" i="1"/>
  <c r="J83" i="1"/>
  <c r="J82" i="1"/>
  <c r="J81" i="1"/>
  <c r="D76" i="1"/>
  <c r="H80" i="1"/>
  <c r="D73" i="1"/>
  <c r="D80" i="1"/>
  <c r="J80" i="1"/>
  <c r="D74" i="1"/>
  <c r="F80" i="1"/>
  <c r="H76" i="1"/>
  <c r="H73" i="1"/>
  <c r="H78" i="1"/>
  <c r="G76" i="1"/>
  <c r="G73" i="1"/>
  <c r="G78" i="1"/>
  <c r="F76" i="1"/>
  <c r="F73" i="1"/>
  <c r="F78" i="1"/>
  <c r="E76" i="1"/>
  <c r="E73" i="1"/>
  <c r="E78" i="1"/>
  <c r="D78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7" i="1"/>
  <c r="H77" i="1"/>
  <c r="G77" i="1"/>
  <c r="F77" i="1"/>
  <c r="E77" i="1"/>
  <c r="D77" i="1"/>
  <c r="J15" i="1"/>
  <c r="J76" i="1"/>
  <c r="J14" i="1"/>
  <c r="J75" i="1"/>
  <c r="H75" i="1"/>
  <c r="G75" i="1"/>
  <c r="F75" i="1"/>
  <c r="E75" i="1"/>
  <c r="D75" i="1"/>
  <c r="J13" i="1"/>
  <c r="J74" i="1"/>
  <c r="H74" i="1"/>
  <c r="G74" i="1"/>
  <c r="F74" i="1"/>
  <c r="E74" i="1"/>
  <c r="J12" i="1"/>
  <c r="J73" i="1"/>
  <c r="J11" i="1"/>
  <c r="K72" i="1"/>
  <c r="J72" i="1"/>
  <c r="I70" i="1"/>
  <c r="K70" i="1"/>
  <c r="I69" i="1"/>
  <c r="K69" i="1"/>
  <c r="I68" i="1"/>
  <c r="K68" i="1"/>
  <c r="I67" i="1"/>
  <c r="K67" i="1"/>
  <c r="I66" i="1"/>
  <c r="K66" i="1"/>
  <c r="I65" i="1"/>
  <c r="K65" i="1"/>
  <c r="I64" i="1"/>
  <c r="K64" i="1"/>
  <c r="I63" i="1"/>
  <c r="K63" i="1"/>
  <c r="I62" i="1"/>
  <c r="K62" i="1"/>
  <c r="I61" i="1"/>
  <c r="K61" i="1"/>
  <c r="I60" i="1"/>
  <c r="K60" i="1"/>
  <c r="I59" i="1"/>
  <c r="K59" i="1"/>
  <c r="I58" i="1"/>
  <c r="K58" i="1"/>
  <c r="I57" i="1"/>
  <c r="K57" i="1"/>
  <c r="I56" i="1"/>
  <c r="K56" i="1"/>
  <c r="I55" i="1"/>
  <c r="K55" i="1"/>
  <c r="I54" i="1"/>
  <c r="K54" i="1"/>
  <c r="I53" i="1"/>
  <c r="K53" i="1"/>
  <c r="I52" i="1"/>
  <c r="K52" i="1"/>
  <c r="I51" i="1"/>
  <c r="K51" i="1"/>
  <c r="I50" i="1"/>
  <c r="K50" i="1"/>
  <c r="I49" i="1"/>
  <c r="K49" i="1"/>
  <c r="I48" i="1"/>
  <c r="K48" i="1"/>
  <c r="I47" i="1"/>
  <c r="K47" i="1"/>
  <c r="I46" i="1"/>
  <c r="K46" i="1"/>
  <c r="I45" i="1"/>
  <c r="K45" i="1"/>
  <c r="I44" i="1"/>
  <c r="K44" i="1"/>
  <c r="I43" i="1"/>
  <c r="K43" i="1"/>
  <c r="I42" i="1"/>
  <c r="K42" i="1"/>
  <c r="I41" i="1"/>
  <c r="K41" i="1"/>
  <c r="I40" i="1"/>
  <c r="K40" i="1"/>
  <c r="I39" i="1"/>
  <c r="K39" i="1"/>
  <c r="I38" i="1"/>
  <c r="K38" i="1"/>
  <c r="I37" i="1"/>
  <c r="K37" i="1"/>
  <c r="I36" i="1"/>
  <c r="K36" i="1"/>
  <c r="I35" i="1"/>
  <c r="K35" i="1"/>
  <c r="I34" i="1"/>
  <c r="K34" i="1"/>
  <c r="I33" i="1"/>
  <c r="K33" i="1"/>
  <c r="I32" i="1"/>
  <c r="K32" i="1"/>
  <c r="I31" i="1"/>
  <c r="K31" i="1"/>
  <c r="I30" i="1"/>
  <c r="K30" i="1"/>
  <c r="I29" i="1"/>
  <c r="K29" i="1"/>
  <c r="I28" i="1"/>
  <c r="K28" i="1"/>
  <c r="I27" i="1"/>
  <c r="K27" i="1"/>
  <c r="I26" i="1"/>
  <c r="K26" i="1"/>
  <c r="I25" i="1"/>
  <c r="K25" i="1"/>
  <c r="I24" i="1"/>
  <c r="K24" i="1"/>
  <c r="I23" i="1"/>
  <c r="K23" i="1"/>
  <c r="I22" i="1"/>
  <c r="K22" i="1"/>
  <c r="I21" i="1"/>
  <c r="K21" i="1"/>
  <c r="I20" i="1"/>
  <c r="K20" i="1"/>
  <c r="I19" i="1"/>
  <c r="K19" i="1"/>
  <c r="I18" i="1"/>
  <c r="K18" i="1"/>
  <c r="I17" i="1"/>
  <c r="K17" i="1"/>
  <c r="I16" i="1"/>
  <c r="K16" i="1"/>
  <c r="I15" i="1"/>
  <c r="K15" i="1"/>
  <c r="I14" i="1"/>
  <c r="K14" i="1"/>
  <c r="I13" i="1"/>
  <c r="K13" i="1"/>
  <c r="I12" i="1"/>
  <c r="K12" i="1"/>
  <c r="I11" i="1"/>
  <c r="K11" i="1"/>
</calcChain>
</file>

<file path=xl/sharedStrings.xml><?xml version="1.0" encoding="utf-8"?>
<sst xmlns="http://schemas.openxmlformats.org/spreadsheetml/2006/main" count="807" uniqueCount="496">
  <si>
    <t>DEPARTMENT OF COMPUTER SCIENCE AND ENGINEERING</t>
  </si>
  <si>
    <t xml:space="preserve">Academic year 2024-25(ODD  Semester)                                                         </t>
  </si>
  <si>
    <t>IAT -2</t>
  </si>
  <si>
    <t>II YEAR (CSE)</t>
  </si>
  <si>
    <t>Sl.
 No.</t>
  </si>
  <si>
    <t>Reg. No.</t>
  </si>
  <si>
    <t>Name of the students</t>
  </si>
  <si>
    <t>Total Marks</t>
  </si>
  <si>
    <t>Total Arrears</t>
  </si>
  <si>
    <t>Number of Absent</t>
  </si>
  <si>
    <t>CS3351-Digital Principles and Computer Organization</t>
  </si>
  <si>
    <t>CS3352 - Foundation of Data Science</t>
  </si>
  <si>
    <t>CS3301-Data Structures</t>
  </si>
  <si>
    <t>CS3391 - Object Oriented Programming</t>
  </si>
  <si>
    <t>MA3354 - Discrete Mathematics</t>
  </si>
  <si>
    <t>Aarthi V</t>
  </si>
  <si>
    <t>Abinaya N</t>
  </si>
  <si>
    <t>Abinaya V</t>
  </si>
  <si>
    <t>Anantharaj A</t>
  </si>
  <si>
    <t>Anbuselvan S</t>
  </si>
  <si>
    <t>Bharathi K</t>
  </si>
  <si>
    <t>Boomika S</t>
  </si>
  <si>
    <t>Brath E G</t>
  </si>
  <si>
    <t>Deepan chandru M</t>
  </si>
  <si>
    <t>Gayathri A</t>
  </si>
  <si>
    <t>Gopi P</t>
  </si>
  <si>
    <t>Gowtham S</t>
  </si>
  <si>
    <t>Gughan K</t>
  </si>
  <si>
    <t>Harini S</t>
  </si>
  <si>
    <t>Harithbaran G</t>
  </si>
  <si>
    <t>Jananapriya T</t>
  </si>
  <si>
    <t>Janani M</t>
  </si>
  <si>
    <t>Janani R</t>
  </si>
  <si>
    <t>Kavitha S</t>
  </si>
  <si>
    <t>Kaviya S</t>
  </si>
  <si>
    <t>Keerthana deepam M</t>
  </si>
  <si>
    <t>Krishnaveni K</t>
  </si>
  <si>
    <t>Kumaravel M</t>
  </si>
  <si>
    <t>Lavanya S</t>
  </si>
  <si>
    <t>Madhimalar V</t>
  </si>
  <si>
    <t>Manojkumar P</t>
  </si>
  <si>
    <t>Mathiyazhagan R</t>
  </si>
  <si>
    <t>Muthamizhselvan M</t>
  </si>
  <si>
    <t>Nikhil P</t>
  </si>
  <si>
    <t>Pavithra D</t>
  </si>
  <si>
    <t>Pavithra R</t>
  </si>
  <si>
    <t>Poonkuzhali A</t>
  </si>
  <si>
    <t>Pushpalatha M</t>
  </si>
  <si>
    <t>Rajalakshmi V</t>
  </si>
  <si>
    <t>Rajani R</t>
  </si>
  <si>
    <t>Rajeshwari S</t>
  </si>
  <si>
    <t>Rishitha G</t>
  </si>
  <si>
    <t>AB</t>
  </si>
  <si>
    <t>Sanjai P</t>
  </si>
  <si>
    <t>Sasidhar E</t>
  </si>
  <si>
    <t>Sasidharan V</t>
  </si>
  <si>
    <t>Sathiyamoorthi G</t>
  </si>
  <si>
    <t>Sengeniyammal K</t>
  </si>
  <si>
    <t>Shalini G</t>
  </si>
  <si>
    <t>Sharmila L</t>
  </si>
  <si>
    <t>Shayinsha A</t>
  </si>
  <si>
    <t>Silambarasan S</t>
  </si>
  <si>
    <t>Siranjeevini K</t>
  </si>
  <si>
    <t>Sivakumar S</t>
  </si>
  <si>
    <t>Sudhakar S</t>
  </si>
  <si>
    <t>Surya S</t>
  </si>
  <si>
    <t>Suvalakshmi D</t>
  </si>
  <si>
    <t>Swetha K</t>
  </si>
  <si>
    <t>Thrisha D</t>
  </si>
  <si>
    <t>Vaishnavi S</t>
  </si>
  <si>
    <t>Veermani A</t>
  </si>
  <si>
    <t>Vishnu R</t>
  </si>
  <si>
    <t>Vishva R</t>
  </si>
  <si>
    <t>Yuvashri S</t>
  </si>
  <si>
    <t>Dinesh kumar</t>
  </si>
  <si>
    <t>Yuvashree P</t>
  </si>
  <si>
    <t>All  Sub. Passed Students</t>
  </si>
  <si>
    <t>Total No. of Students</t>
  </si>
  <si>
    <t xml:space="preserve">1 Sub Fail </t>
  </si>
  <si>
    <t>Total No. of Students Appeared</t>
  </si>
  <si>
    <t>2 Sub Fail</t>
  </si>
  <si>
    <t>Total No. of Students Absent</t>
  </si>
  <si>
    <t>3 Sub Fail</t>
  </si>
  <si>
    <t>Total No. of Students Onduty</t>
  </si>
  <si>
    <t>4 sub Fail</t>
  </si>
  <si>
    <t>Total No. of Students Pass</t>
  </si>
  <si>
    <t>5 Sub Fail</t>
  </si>
  <si>
    <t>Total No. of Students Fail</t>
  </si>
  <si>
    <t>6 Sub  fail</t>
  </si>
  <si>
    <t>Total No. of Students Pass %</t>
  </si>
  <si>
    <r>
      <rPr>
        <b/>
        <sz val="12"/>
        <color rgb="FF000000"/>
        <rFont val="&quot;Times New Roman&quot;"/>
      </rPr>
      <t>S. No.</t>
    </r>
  </si>
  <si>
    <t>Subject code and Name</t>
  </si>
  <si>
    <t>Name of the Staff Member &amp; Department</t>
  </si>
  <si>
    <t>No of students attended</t>
  </si>
  <si>
    <t>No of students absent</t>
  </si>
  <si>
    <t>No of students Passed</t>
  </si>
  <si>
    <t>Percentage of Passes (%)</t>
  </si>
  <si>
    <t>S.Prabakaran, AP/ECE</t>
  </si>
  <si>
    <t>Mrs. R.Rajalakshmi, AP/IT</t>
  </si>
  <si>
    <t xml:space="preserve"> Mrs. R. Leelavathi, AP/IT</t>
  </si>
  <si>
    <t xml:space="preserve"> Mr.S. Ganesan,AP/CSE</t>
  </si>
  <si>
    <t>Mr.R. Jayamani, AP/Maths</t>
  </si>
  <si>
    <t>CLASS INCHARGE</t>
  </si>
  <si>
    <t>HOD</t>
  </si>
  <si>
    <t>PRINCIPAL</t>
  </si>
  <si>
    <t xml:space="preserve">Academic year 2024-2025(ODD  Semester)                                                         </t>
  </si>
  <si>
    <t xml:space="preserve">III YEAR </t>
  </si>
  <si>
    <t xml:space="preserve">V SEMESTER </t>
  </si>
  <si>
    <t>ATT%</t>
  </si>
  <si>
    <t>CS3591- COMPUTER NETWORKS</t>
  </si>
  <si>
    <t>CS3501 - COMPILER DESIGN</t>
  </si>
  <si>
    <t>CB3491 - CRYPTOGRAPHY AND CYBER SECURITY</t>
  </si>
  <si>
    <t>CCS375 - WEB TECHNOLOGIES</t>
  </si>
  <si>
    <t>CCS366 - SOFTWERE TESTING AND AUTOMATION</t>
  </si>
  <si>
    <t>CS3551 - DISTRIBUTED COMPUTING</t>
  </si>
  <si>
    <t>ABIMANYU A</t>
  </si>
  <si>
    <t>ABINAYA. M</t>
  </si>
  <si>
    <t>ABINAYA S</t>
  </si>
  <si>
    <t>AISHWARYA. B</t>
  </si>
  <si>
    <t>AKSHAYA M</t>
  </si>
  <si>
    <t>BARATH RAJ G</t>
  </si>
  <si>
    <t>DAYASRI K</t>
  </si>
  <si>
    <t>DEENATHAYALAN S</t>
  </si>
  <si>
    <t>DEVAGI C S</t>
  </si>
  <si>
    <t>DHANUSH KUMAR A</t>
  </si>
  <si>
    <t>DHARANI KUMAR. R</t>
  </si>
  <si>
    <t>DHARSHINIPRIYA N</t>
  </si>
  <si>
    <t>DILLIBABU N</t>
  </si>
  <si>
    <t>DIVAKAR G</t>
  </si>
  <si>
    <t>ELANGO S</t>
  </si>
  <si>
    <t>GOKULASEKARAN G</t>
  </si>
  <si>
    <t>GOKULGANESH. J</t>
  </si>
  <si>
    <t>OD</t>
  </si>
  <si>
    <t>GOWTHAM.V</t>
  </si>
  <si>
    <t>-</t>
  </si>
  <si>
    <t>JAGADEESHWARAN C</t>
  </si>
  <si>
    <t>JAWAHAR M</t>
  </si>
  <si>
    <t>JAYAPRIYA. P</t>
  </si>
  <si>
    <t>KANAGA DURGA V</t>
  </si>
  <si>
    <t>KIRUTHIKA S</t>
  </si>
  <si>
    <t>LATHASHREE N</t>
  </si>
  <si>
    <t>LAVANYA. K</t>
  </si>
  <si>
    <t>MAHESHWARAN M</t>
  </si>
  <si>
    <t>MANIKANDAN V</t>
  </si>
  <si>
    <t>MOHAN N</t>
  </si>
  <si>
    <t>MOHAN KUMAR. S</t>
  </si>
  <si>
    <t>MUTHUKUMAR M</t>
  </si>
  <si>
    <t>NADHIYA R</t>
  </si>
  <si>
    <t>NAVEEN S</t>
  </si>
  <si>
    <t>POOJA D</t>
  </si>
  <si>
    <t>POOJA. S</t>
  </si>
  <si>
    <t>PRIYADHARSHINI. M</t>
  </si>
  <si>
    <t>PUGAZHENTHI S</t>
  </si>
  <si>
    <t>RAJESH R</t>
  </si>
  <si>
    <t>RAMKUMAR M</t>
  </si>
  <si>
    <t>RESHMA K</t>
  </si>
  <si>
    <t>RISHI KUMAR A</t>
  </si>
  <si>
    <t>ROHITH R</t>
  </si>
  <si>
    <t>SADHANA L</t>
  </si>
  <si>
    <t>SAKTHIVEL R</t>
  </si>
  <si>
    <t>SANTHOSHKUMAR. R</t>
  </si>
  <si>
    <t>SATHISHKUMAR. M</t>
  </si>
  <si>
    <t>SAVITHA S</t>
  </si>
  <si>
    <t>SETHUPATHY</t>
  </si>
  <si>
    <t>SHAJITHA A</t>
  </si>
  <si>
    <t>SHARANKUMAR. R</t>
  </si>
  <si>
    <t>SHEELA V</t>
  </si>
  <si>
    <t>SIBIRAJ R</t>
  </si>
  <si>
    <t>SRIMATHI S</t>
  </si>
  <si>
    <t>SRIRAM. R</t>
  </si>
  <si>
    <t>SUBASH. G.S</t>
  </si>
  <si>
    <t>SUJITH KUMAR M</t>
  </si>
  <si>
    <t>THAMIZHARASI V</t>
  </si>
  <si>
    <t>THARUN N</t>
  </si>
  <si>
    <t>VIGNESH K</t>
  </si>
  <si>
    <t>VINOTHKUMAR. P</t>
  </si>
  <si>
    <t>YUVAN SANKAR S</t>
  </si>
  <si>
    <t>MANOJ KUMAR S</t>
  </si>
  <si>
    <t>ROGITH S</t>
  </si>
  <si>
    <t>SANTHOSH B</t>
  </si>
  <si>
    <t>S. No.</t>
  </si>
  <si>
    <t>Mr. E. Kamalanathan, AP/CSE</t>
  </si>
  <si>
    <t>Mrs. V. Anitha, AP/CSE</t>
  </si>
  <si>
    <t xml:space="preserve"> Mrs. M. Indrakumari, AP/CSE</t>
  </si>
  <si>
    <t xml:space="preserve"> Mr.M.Muralikrishnan,AP/CSE</t>
  </si>
  <si>
    <t>Mrs.P.Kanchanamala AP/CSE</t>
  </si>
  <si>
    <t>Mrs Arunlakshmi AP/CSE</t>
  </si>
  <si>
    <t>Arrear Position</t>
  </si>
  <si>
    <t>Description</t>
  </si>
  <si>
    <t>All pass</t>
  </si>
  <si>
    <t>No of arrears</t>
  </si>
  <si>
    <t>One</t>
  </si>
  <si>
    <t>Two</t>
  </si>
  <si>
    <t>Three</t>
  </si>
  <si>
    <t>Four</t>
  </si>
  <si>
    <t>Five</t>
  </si>
  <si>
    <t>Six</t>
  </si>
  <si>
    <t>No of students</t>
  </si>
  <si>
    <t>% of pass</t>
  </si>
  <si>
    <t xml:space="preserve">IIIrd Year  -IAT-1 RA </t>
  </si>
  <si>
    <t xml:space="preserve">Academic year 2024-25(Odd  Semester)                                                         </t>
  </si>
  <si>
    <t xml:space="preserve">IV YEAR </t>
  </si>
  <si>
    <t xml:space="preserve">7th semester </t>
  </si>
  <si>
    <t xml:space="preserve">GE3791 Human values &amp;Ethics </t>
  </si>
  <si>
    <t>GE3751 Principles of Management</t>
  </si>
  <si>
    <t>OMR353 Sensors</t>
  </si>
  <si>
    <t>OEN 351 Drinking water and supple and Treatment</t>
  </si>
  <si>
    <t>AKASH D</t>
  </si>
  <si>
    <t>ANISHKUMAR A</t>
  </si>
  <si>
    <t>ARAVINDHAN M</t>
  </si>
  <si>
    <t>ARUN KUMAR C P</t>
  </si>
  <si>
    <t>BALAJI M P</t>
  </si>
  <si>
    <t>BALAKUMARAN V</t>
  </si>
  <si>
    <t>DHAMODARAN V</t>
  </si>
  <si>
    <t>DHIVYA V</t>
  </si>
  <si>
    <t>GOKULAVASAN H</t>
  </si>
  <si>
    <t>GUGAN K</t>
  </si>
  <si>
    <t>GURUBALAN K</t>
  </si>
  <si>
    <t>HARIHARAN R</t>
  </si>
  <si>
    <t>HEMAMALINI S</t>
  </si>
  <si>
    <t>JAGAN M</t>
  </si>
  <si>
    <t>JAISANDRESH S</t>
  </si>
  <si>
    <t>JANANI G</t>
  </si>
  <si>
    <t>JAYASAKTHI S</t>
  </si>
  <si>
    <t>JEEVA JYOTHI A</t>
  </si>
  <si>
    <t>KEERTHIVASAN M</t>
  </si>
  <si>
    <t>KISHORE P</t>
  </si>
  <si>
    <t>KUGAN KUMAR N</t>
  </si>
  <si>
    <t>LOGESHWARI S</t>
  </si>
  <si>
    <t>LOGESWARAN S</t>
  </si>
  <si>
    <t>LOKESH S</t>
  </si>
  <si>
    <t>MAHALAKSHMI S</t>
  </si>
  <si>
    <t>MANIKANDAN R</t>
  </si>
  <si>
    <t>MANIKKANDAN M</t>
  </si>
  <si>
    <t>MOHANPRASATH R</t>
  </si>
  <si>
    <t>MUKESH M K</t>
  </si>
  <si>
    <t>MURALIDHARAN S</t>
  </si>
  <si>
    <t>NANDHINI  H</t>
  </si>
  <si>
    <t>NEMALA A</t>
  </si>
  <si>
    <t>NIVETHASRI S</t>
  </si>
  <si>
    <t>PACHAIYAPPAN A</t>
  </si>
  <si>
    <t>PAVITHRA A</t>
  </si>
  <si>
    <t>PRAVEEN KUMAR A K</t>
  </si>
  <si>
    <t>PRAVEEN KUMAR R J</t>
  </si>
  <si>
    <t>RAMPRAKASH M</t>
  </si>
  <si>
    <t>REVATHI V</t>
  </si>
  <si>
    <t>ROHINI S</t>
  </si>
  <si>
    <t>ROSHINI I</t>
  </si>
  <si>
    <t>SANJAY M</t>
  </si>
  <si>
    <t>SANTHANAM C</t>
  </si>
  <si>
    <t>SANTHIYA G</t>
  </si>
  <si>
    <t>SANTHOSH D</t>
  </si>
  <si>
    <t>SANTHOSH K K</t>
  </si>
  <si>
    <t>SANTHOSH R</t>
  </si>
  <si>
    <t>SATHISH P</t>
  </si>
  <si>
    <t>SELLAPPAN M</t>
  </si>
  <si>
    <t>SHARMILA R</t>
  </si>
  <si>
    <t>SIVARANJANI G</t>
  </si>
  <si>
    <t>SUNDAR S</t>
  </si>
  <si>
    <t>THAMIZHKODI K</t>
  </si>
  <si>
    <t>THIRUMAL V</t>
  </si>
  <si>
    <t>THIVAHAR P</t>
  </si>
  <si>
    <t>VIGNESHWAR S</t>
  </si>
  <si>
    <t>VIJAYALAKSHMI V</t>
  </si>
  <si>
    <t>VINITHA A</t>
  </si>
  <si>
    <t>AAKASH S</t>
  </si>
  <si>
    <t>ARUN .S</t>
  </si>
  <si>
    <t>JAGAN KUMAR.B</t>
  </si>
  <si>
    <t>KANDEEBAN V</t>
  </si>
  <si>
    <t>NANDHA L</t>
  </si>
  <si>
    <t>NAVEEN KUMAR P</t>
  </si>
  <si>
    <t>VINOTH K</t>
  </si>
  <si>
    <t>AJAY M</t>
  </si>
  <si>
    <t>5115CSD2</t>
  </si>
  <si>
    <t>JEEVANANTHAM A</t>
  </si>
  <si>
    <t xml:space="preserve">GE3791  Human Values and Ethics </t>
  </si>
  <si>
    <t>Dr.C.Ragupathy AP/EEE</t>
  </si>
  <si>
    <t xml:space="preserve">GE3751 Principles of Management </t>
  </si>
  <si>
    <t>Mr.K.Anbumani AP/MECH</t>
  </si>
  <si>
    <t>OMR 353 Sensors</t>
  </si>
  <si>
    <t>Dr.JAYANTHI AOP / EEE</t>
  </si>
  <si>
    <t>OEN 351 Drinking water supply and treatment</t>
  </si>
  <si>
    <t>Mrs.K.GOMATHI AP/EEE</t>
  </si>
  <si>
    <t>DEPARTMENT OF INFORMATION TECHNOLOGY</t>
  </si>
  <si>
    <t>II YEAR (IT)</t>
  </si>
  <si>
    <t>Total Mark</t>
  </si>
  <si>
    <t>CD3291-Data Structures and Algorithm</t>
  </si>
  <si>
    <t>Aasaimani T</t>
  </si>
  <si>
    <t>Aathi S</t>
  </si>
  <si>
    <t>Abi P</t>
  </si>
  <si>
    <t>Abirami M</t>
  </si>
  <si>
    <t>Adhithya A</t>
  </si>
  <si>
    <t>Anandharaman M</t>
  </si>
  <si>
    <t>Arish S</t>
  </si>
  <si>
    <t>Arulirasan G</t>
  </si>
  <si>
    <t>Ashwin G</t>
  </si>
  <si>
    <t>Aswini V</t>
  </si>
  <si>
    <t>Dhanalakshmi R</t>
  </si>
  <si>
    <t>Dhanapriya P</t>
  </si>
  <si>
    <t>Divagaran M</t>
  </si>
  <si>
    <t>Divya R</t>
  </si>
  <si>
    <t>Divya S</t>
  </si>
  <si>
    <t>Gopi M</t>
  </si>
  <si>
    <t>Harish K</t>
  </si>
  <si>
    <t>Harisharan PS</t>
  </si>
  <si>
    <t>Hemalatha M</t>
  </si>
  <si>
    <t>Jagan S</t>
  </si>
  <si>
    <t>Janani J</t>
  </si>
  <si>
    <t>Jayanthi K</t>
  </si>
  <si>
    <t>Keerthana M</t>
  </si>
  <si>
    <t>Keerthana R</t>
  </si>
  <si>
    <t>Keerthivasan V</t>
  </si>
  <si>
    <t>Kowsalya B</t>
  </si>
  <si>
    <t>Lakshmi priya S K</t>
  </si>
  <si>
    <t>Loseya V</t>
  </si>
  <si>
    <t>Madhankumar R</t>
  </si>
  <si>
    <t>Madhumitha V</t>
  </si>
  <si>
    <t>Mahalakshmi S</t>
  </si>
  <si>
    <t>Mohanapriya S</t>
  </si>
  <si>
    <t>Monica U</t>
  </si>
  <si>
    <t>Nitheeswari S</t>
  </si>
  <si>
    <t>Nithya priya C</t>
  </si>
  <si>
    <t>Prasanth P</t>
  </si>
  <si>
    <t>Priyadharshan A</t>
  </si>
  <si>
    <t>Ragulgandhi K</t>
  </si>
  <si>
    <t>Raguram R</t>
  </si>
  <si>
    <t>Ramya N</t>
  </si>
  <si>
    <t>Reethika K</t>
  </si>
  <si>
    <t>Rithik K</t>
  </si>
  <si>
    <t>Sachin S</t>
  </si>
  <si>
    <t>Sagunthala K</t>
  </si>
  <si>
    <t>Sakthivel R</t>
  </si>
  <si>
    <t>Samuvel M</t>
  </si>
  <si>
    <t>Sandhiya L</t>
  </si>
  <si>
    <t>Sangeetha V</t>
  </si>
  <si>
    <t>Sankar ganesh J</t>
  </si>
  <si>
    <t>Santhaseelan R</t>
  </si>
  <si>
    <t>Santhosh R</t>
  </si>
  <si>
    <t>Sharmila B</t>
  </si>
  <si>
    <t>Sivapriya S</t>
  </si>
  <si>
    <t>Srimanoj C</t>
  </si>
  <si>
    <t>Srinivasan N</t>
  </si>
  <si>
    <t>Tamilselvan J</t>
  </si>
  <si>
    <t>Thamizhvani S</t>
  </si>
  <si>
    <t>Udhayachandhar H</t>
  </si>
  <si>
    <t>Ugendran R</t>
  </si>
  <si>
    <t>Vicknesh D</t>
  </si>
  <si>
    <t>Vimalraj R</t>
  </si>
  <si>
    <t>Yogibala V</t>
  </si>
  <si>
    <t>Somasundaram P</t>
  </si>
  <si>
    <t>Thiruneelakandan M</t>
  </si>
  <si>
    <t>Dr. A.K. Gnanasekar, HOD/CSE</t>
  </si>
  <si>
    <t>CD3291-Data Structures and Algorithms</t>
  </si>
  <si>
    <t>Mrs.C.Arunmozhi Devi, ASP/Maths</t>
  </si>
  <si>
    <t xml:space="preserve">Academic year 2023-24(EVEN  Semester)                                                         </t>
  </si>
  <si>
    <t xml:space="preserve">II YEAR </t>
  </si>
  <si>
    <t xml:space="preserve">IV SEMESTER </t>
  </si>
  <si>
    <t>CS3691 - EMBEDDED SYSYEMS AND IOT</t>
  </si>
  <si>
    <t>CCS346 - PROFESSIONAL ELECTIVE 1 EXPLORATORY DATA ANALYTICS</t>
  </si>
  <si>
    <t>CCS346 - PROFESSIONAL ELECTIVE II BIG DATA ANALYTICS</t>
  </si>
  <si>
    <t>IT3501 - FULL STOCK WEB DEVELOPEMENT</t>
  </si>
  <si>
    <t>Aakash K</t>
  </si>
  <si>
    <t>Abinash B</t>
  </si>
  <si>
    <t>Abinaya K</t>
  </si>
  <si>
    <t>Abirami S</t>
  </si>
  <si>
    <t>Arivumathi K</t>
  </si>
  <si>
    <t>Barath P</t>
  </si>
  <si>
    <t>Barathkumar P</t>
  </si>
  <si>
    <t>Bhavana V</t>
  </si>
  <si>
    <t>Deepika B</t>
  </si>
  <si>
    <t>Dhanyasri M</t>
  </si>
  <si>
    <t>Dharshini R</t>
  </si>
  <si>
    <t>Dhivakar D</t>
  </si>
  <si>
    <t>Dhivyadharshini S</t>
  </si>
  <si>
    <t>Divya G</t>
  </si>
  <si>
    <t>Gowsalya M</t>
  </si>
  <si>
    <t>Gowtham A</t>
  </si>
  <si>
    <t>Gowtham R</t>
  </si>
  <si>
    <t>Hariharan K</t>
  </si>
  <si>
    <t>Indumathi Y</t>
  </si>
  <si>
    <t>Jayaprakash V</t>
  </si>
  <si>
    <t>Jenitha M</t>
  </si>
  <si>
    <t>Kamesh S</t>
  </si>
  <si>
    <t>Kanimozhi M</t>
  </si>
  <si>
    <t>Kavitha K</t>
  </si>
  <si>
    <t>Lakshana K</t>
  </si>
  <si>
    <t>Loganathan R</t>
  </si>
  <si>
    <t>Loganathan T</t>
  </si>
  <si>
    <t>Logesh K</t>
  </si>
  <si>
    <t>Madana raj A K</t>
  </si>
  <si>
    <t>Madhan kumar V</t>
  </si>
  <si>
    <t>Magesh R</t>
  </si>
  <si>
    <t>Mahimadhan K</t>
  </si>
  <si>
    <t>Mohan A</t>
  </si>
  <si>
    <t>Naveenkumar M</t>
  </si>
  <si>
    <t>Pradeep R</t>
  </si>
  <si>
    <t>Priya darshinee S</t>
  </si>
  <si>
    <t>Raja M</t>
  </si>
  <si>
    <t>Ramkumar R</t>
  </si>
  <si>
    <t>Rishikumar U</t>
  </si>
  <si>
    <t>Sanjay M</t>
  </si>
  <si>
    <t>Santhiya E</t>
  </si>
  <si>
    <t>Sarathi K</t>
  </si>
  <si>
    <t>Sasidharan A</t>
  </si>
  <si>
    <t>Sivaranjani S</t>
  </si>
  <si>
    <t>Sridharan S</t>
  </si>
  <si>
    <t>Srimathi B</t>
  </si>
  <si>
    <t>Swathi S</t>
  </si>
  <si>
    <t>Tamilselvi D</t>
  </si>
  <si>
    <t>Thamizhilakkiya R</t>
  </si>
  <si>
    <t>Udhaya suriya P</t>
  </si>
  <si>
    <t>Valaiselvan P</t>
  </si>
  <si>
    <t>Varunraj P</t>
  </si>
  <si>
    <t>Vimalraj E</t>
  </si>
  <si>
    <t>Jayashree.D</t>
  </si>
  <si>
    <t>Chellapan</t>
  </si>
  <si>
    <t>Janani.V</t>
  </si>
  <si>
    <t>Kanagavalli.R</t>
  </si>
  <si>
    <t>1Sub Fail</t>
  </si>
  <si>
    <t>Dr.S.Parasuraman HOD/ECE</t>
  </si>
  <si>
    <t xml:space="preserve"> Mrs. R.Rajalakshmi, AP/CSE</t>
  </si>
  <si>
    <t>Mr.Rathinavel AP/IT</t>
  </si>
  <si>
    <t>Mrs.R.Arunlakshmi AP/CSE</t>
  </si>
  <si>
    <t>DEPARTMENT OF ARTIFICIAL INTELLIGENCE AND DATA SCIENCE</t>
  </si>
  <si>
    <t>II YEAR (AI&amp;DS)</t>
  </si>
  <si>
    <t>AD3391 - Database Design and Management</t>
  </si>
  <si>
    <t>AD3351 - Design and Analysis of Algorithm</t>
  </si>
  <si>
    <t>AD3301-Data Exploration and Visualization</t>
  </si>
  <si>
    <t>AL3391 - Artificial Intelligence</t>
  </si>
  <si>
    <t>Ajai deva A</t>
  </si>
  <si>
    <t>Akash A</t>
  </si>
  <si>
    <t>Bhavadharani S</t>
  </si>
  <si>
    <t>Bhuvanesh T</t>
  </si>
  <si>
    <t>Buvaneshwari V</t>
  </si>
  <si>
    <t>Dhanush D</t>
  </si>
  <si>
    <t>Dhanush M M</t>
  </si>
  <si>
    <t>Ganeshkumar R</t>
  </si>
  <si>
    <t>Gokulraj K</t>
  </si>
  <si>
    <t>Gokulraj S</t>
  </si>
  <si>
    <t>Gopikasri N</t>
  </si>
  <si>
    <t>Gurusharan M S</t>
  </si>
  <si>
    <t>Heemavarshini N</t>
  </si>
  <si>
    <t>Hemaprabha S</t>
  </si>
  <si>
    <t>Hemavathi S</t>
  </si>
  <si>
    <t>Indra priyadharshini M</t>
  </si>
  <si>
    <t>Janani S</t>
  </si>
  <si>
    <t>Kanimozhi K</t>
  </si>
  <si>
    <t>Kathirone VS</t>
  </si>
  <si>
    <t>Kaviya G</t>
  </si>
  <si>
    <t>Kishore S</t>
  </si>
  <si>
    <t>Kishorekumar KD</t>
  </si>
  <si>
    <t>Kokila G</t>
  </si>
  <si>
    <t>Kousik M</t>
  </si>
  <si>
    <t>Madesh R</t>
  </si>
  <si>
    <t>Maheswaran C</t>
  </si>
  <si>
    <t>Meenu T R</t>
  </si>
  <si>
    <t>Muthubharathi E</t>
  </si>
  <si>
    <t>Naveen kumar M</t>
  </si>
  <si>
    <t>Niranchan V</t>
  </si>
  <si>
    <t>Nirmal S</t>
  </si>
  <si>
    <t>Pasupathi V</t>
  </si>
  <si>
    <t>Prathap K</t>
  </si>
  <si>
    <t>Praveen M</t>
  </si>
  <si>
    <t>Raghul S</t>
  </si>
  <si>
    <t>Ramanan D</t>
  </si>
  <si>
    <t>Rokeshbala K</t>
  </si>
  <si>
    <t>Rubaselvan A</t>
  </si>
  <si>
    <t>Sanjay S</t>
  </si>
  <si>
    <t>Santhosh V</t>
  </si>
  <si>
    <t>Sethupathy D</t>
  </si>
  <si>
    <t>Shanmathi B</t>
  </si>
  <si>
    <t>Sivaranjani J</t>
  </si>
  <si>
    <t>Subash B</t>
  </si>
  <si>
    <t>Suthan V</t>
  </si>
  <si>
    <t>Suvathi S</t>
  </si>
  <si>
    <t>Thileep T</t>
  </si>
  <si>
    <t>Thiravidan E</t>
  </si>
  <si>
    <t>Thisha G</t>
  </si>
  <si>
    <t>Thulasi E</t>
  </si>
  <si>
    <t>Vasu S</t>
  </si>
  <si>
    <t>Venu aravindh D R</t>
  </si>
  <si>
    <t>Vijaya sarathi M</t>
  </si>
  <si>
    <t>Vimalkushanth B</t>
  </si>
  <si>
    <t>Vinitha D</t>
  </si>
  <si>
    <t>Aakash V</t>
  </si>
  <si>
    <t>Gokulan 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</si>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</sst>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\-dd\-yyyy"/>
    <numFmt numFmtId="165" formatCode="0.0"/>
  </numFmts>
  <fonts count="37" x14ac:knownFonts="1">
    <font>
      <sz val="10"/>
      <name val="Arial"/>
    </font>
    <font>
      <sz val="10"/>
      <color rgb="FF000000"/>
      <name val="Arial"/>
    </font>
    <font>
      <b/>
      <sz val="14"/>
      <color rgb="FF000000"/>
      <name val="Times New Roman"/>
    </font>
    <font>
      <sz val="10"/>
      <color rgb="FF000000"/>
      <name val="Arial"/>
    </font>
    <font>
      <b/>
      <sz val="14"/>
      <color rgb="FF000000"/>
      <name val="Inconsolata"/>
    </font>
    <font>
      <b/>
      <sz val="12"/>
      <color rgb="FF000000"/>
      <name val="Calibri"/>
    </font>
    <font>
      <sz val="12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1"/>
      <color rgb="FF000000"/>
      <name val="Calibri"/>
    </font>
    <font>
      <sz val="12"/>
      <color rgb="FF000000"/>
      <name val="Times New Roman"/>
    </font>
    <font>
      <sz val="11"/>
      <color rgb="FF000000"/>
      <name val="Bookman Old Style"/>
    </font>
    <font>
      <b/>
      <sz val="10"/>
      <color rgb="FF000000"/>
      <name val="Calibri"/>
    </font>
    <font>
      <sz val="10"/>
      <color rgb="FF4386F4"/>
      <name val="Calibri"/>
    </font>
    <font>
      <sz val="10"/>
      <color rgb="FF000000"/>
      <name val="Calibri"/>
    </font>
    <font>
      <sz val="11"/>
      <color rgb="FF000000"/>
      <name val="Bookman Old Style"/>
    </font>
    <font>
      <b/>
      <sz val="14"/>
      <color rgb="FF000000"/>
      <name val="Times New Roman"/>
    </font>
    <font>
      <b/>
      <sz val="18"/>
      <color rgb="FF000000"/>
      <name val="Times New Roman"/>
    </font>
    <font>
      <sz val="10"/>
      <color rgb="FF000000"/>
      <name val="Arial"/>
    </font>
    <font>
      <b/>
      <sz val="12"/>
      <color rgb="FF000000"/>
      <name val="Times New Roman"/>
    </font>
    <font>
      <sz val="10"/>
      <color rgb="FF000000"/>
      <name val="Arial"/>
    </font>
    <font>
      <b/>
      <sz val="12"/>
      <color rgb="FF000000"/>
      <name val="Times New Roman"/>
    </font>
    <font>
      <b/>
      <sz val="12"/>
      <color rgb="FF000000"/>
      <name val="Arial"/>
    </font>
    <font>
      <sz val="14"/>
      <color rgb="FF595959"/>
      <name val="Arial"/>
    </font>
    <font>
      <b/>
      <sz val="12"/>
      <color rgb="FF000000"/>
      <name val="Calibri"/>
    </font>
    <font>
      <sz val="12"/>
      <color rgb="FF000000"/>
      <name val="Arial"/>
    </font>
    <font>
      <b/>
      <sz val="10"/>
      <color rgb="FF000000"/>
      <name val="Arial"/>
    </font>
    <font>
      <b/>
      <sz val="11"/>
      <color rgb="FF000000"/>
      <name val="Calibri"/>
    </font>
    <font>
      <b/>
      <sz val="12"/>
      <color rgb="FFFF0000"/>
      <name val="Times New Roman"/>
    </font>
    <font>
      <sz val="12"/>
      <color rgb="FF000000"/>
      <name val="Calibri"/>
    </font>
    <font>
      <sz val="10"/>
      <color rgb="FF000000"/>
      <name val="Bookman Old Style"/>
    </font>
    <font>
      <sz val="11"/>
      <color rgb="FF000000"/>
      <name val="Arial"/>
    </font>
    <font>
      <sz val="12"/>
      <color rgb="FFFF0000"/>
      <name val="Arial"/>
    </font>
    <font>
      <sz val="9"/>
      <color rgb="FF000000"/>
      <name val="Bookman Old Style"/>
    </font>
    <font>
      <sz val="12"/>
      <color rgb="FF000000"/>
      <name val="Bookman Old Style"/>
    </font>
    <font>
      <b/>
      <sz val="12"/>
      <color rgb="FF000000"/>
      <name val="&quot;Times New Roman&quot;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A752"/>
        <bgColor rgb="FF33A752"/>
      </patternFill>
    </fill>
    <fill>
      <patternFill patternType="solid">
        <fgColor rgb="FFA6E3B6"/>
        <bgColor rgb="FFA6E3B6"/>
      </patternFill>
    </fill>
    <fill>
      <patternFill patternType="solid">
        <fgColor rgb="FFD2F1DA"/>
        <bgColor rgb="FFD2F1DA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1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4" fillId="2" borderId="0" xfId="0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left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5" xfId="0" applyFont="1" applyBorder="1" applyAlignment="1"/>
    <xf numFmtId="0" fontId="6" fillId="0" borderId="5" xfId="0" applyFont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/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11" fillId="0" borderId="3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9" xfId="0" applyFont="1" applyBorder="1" applyAlignment="1"/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1" xfId="0" applyFont="1" applyBorder="1" applyAlignment="1"/>
    <xf numFmtId="0" fontId="20" fillId="0" borderId="3" xfId="0" applyFont="1" applyBorder="1" applyAlignment="1">
      <alignment vertical="center" wrapText="1"/>
    </xf>
    <xf numFmtId="1" fontId="11" fillId="0" borderId="0" xfId="0" applyNumberFormat="1" applyFont="1" applyAlignment="1">
      <alignment vertical="center" wrapText="1"/>
    </xf>
    <xf numFmtId="0" fontId="22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21" fillId="0" borderId="8" xfId="0" applyFont="1" applyBorder="1" applyAlignment="1"/>
    <xf numFmtId="0" fontId="11" fillId="0" borderId="6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1" fontId="11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0" xfId="0" applyFont="1" applyAlignment="1"/>
    <xf numFmtId="0" fontId="11" fillId="0" borderId="0" xfId="0" applyFont="1" applyAlignment="1">
      <alignment horizontal="left"/>
    </xf>
    <xf numFmtId="0" fontId="23" fillId="0" borderId="0" xfId="0" applyFont="1" applyAlignment="1"/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2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/>
    <xf numFmtId="0" fontId="19" fillId="0" borderId="3" xfId="0" applyFont="1" applyBorder="1" applyAlignment="1"/>
    <xf numFmtId="0" fontId="11" fillId="0" borderId="3" xfId="0" applyFont="1" applyBorder="1" applyAlignment="1"/>
    <xf numFmtId="0" fontId="24" fillId="0" borderId="0" xfId="0" applyFont="1" applyAlignment="1">
      <alignment horizontal="center" vertical="center" readingOrder="1"/>
    </xf>
    <xf numFmtId="0" fontId="19" fillId="0" borderId="0" xfId="0" applyFont="1" applyAlignment="1"/>
    <xf numFmtId="0" fontId="19" fillId="0" borderId="0" xfId="0" applyFont="1" applyAlignment="1"/>
    <xf numFmtId="0" fontId="19" fillId="2" borderId="0" xfId="0" applyFont="1" applyFill="1" applyBorder="1" applyAlignment="1"/>
    <xf numFmtId="0" fontId="25" fillId="0" borderId="1" xfId="0" applyFont="1" applyBorder="1" applyAlignment="1"/>
    <xf numFmtId="0" fontId="19" fillId="0" borderId="1" xfId="0" applyFont="1" applyBorder="1" applyAlignment="1"/>
    <xf numFmtId="0" fontId="23" fillId="0" borderId="0" xfId="0" applyFont="1" applyAlignment="1"/>
    <xf numFmtId="0" fontId="23" fillId="0" borderId="0" xfId="0" applyFont="1" applyAlignment="1"/>
    <xf numFmtId="0" fontId="26" fillId="0" borderId="0" xfId="0" applyFont="1" applyAlignment="1"/>
    <xf numFmtId="164" fontId="17" fillId="0" borderId="3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0" fontId="11" fillId="0" borderId="3" xfId="0" applyFont="1" applyBorder="1" applyAlignment="1"/>
    <xf numFmtId="0" fontId="26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0" fontId="11" fillId="0" borderId="1" xfId="0" applyFont="1" applyBorder="1" applyAlignment="1"/>
    <xf numFmtId="0" fontId="29" fillId="0" borderId="3" xfId="0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0" fontId="11" fillId="0" borderId="1" xfId="0" applyFont="1" applyBorder="1" applyAlignment="1"/>
    <xf numFmtId="1" fontId="19" fillId="0" borderId="0" xfId="0" applyNumberFormat="1" applyFont="1" applyAlignment="1"/>
    <xf numFmtId="0" fontId="11" fillId="0" borderId="0" xfId="0" applyFont="1" applyAlignment="1"/>
    <xf numFmtId="0" fontId="26" fillId="0" borderId="4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30" fillId="0" borderId="3" xfId="0" applyFont="1" applyBorder="1" applyAlignment="1"/>
    <xf numFmtId="0" fontId="11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9" fillId="0" borderId="3" xfId="0" applyFont="1" applyBorder="1" applyAlignment="1"/>
    <xf numFmtId="0" fontId="19" fillId="0" borderId="2" xfId="0" applyFont="1" applyBorder="1" applyAlignment="1"/>
    <xf numFmtId="10" fontId="26" fillId="0" borderId="3" xfId="0" applyNumberFormat="1" applyFont="1" applyBorder="1" applyAlignment="1">
      <alignment horizontal="center"/>
    </xf>
    <xf numFmtId="10" fontId="19" fillId="0" borderId="3" xfId="0" applyNumberFormat="1" applyFont="1" applyBorder="1" applyAlignment="1"/>
    <xf numFmtId="0" fontId="19" fillId="0" borderId="9" xfId="0" applyFont="1" applyBorder="1" applyAlignment="1"/>
    <xf numFmtId="0" fontId="19" fillId="3" borderId="9" xfId="0" applyFont="1" applyFill="1" applyBorder="1" applyAlignment="1"/>
    <xf numFmtId="0" fontId="19" fillId="3" borderId="2" xfId="0" applyFont="1" applyFill="1" applyBorder="1" applyAlignment="1"/>
    <xf numFmtId="0" fontId="19" fillId="3" borderId="10" xfId="0" applyFont="1" applyFill="1" applyBorder="1" applyAlignment="1"/>
    <xf numFmtId="0" fontId="19" fillId="3" borderId="9" xfId="0" applyFont="1" applyFill="1" applyBorder="1" applyAlignment="1"/>
    <xf numFmtId="0" fontId="19" fillId="3" borderId="11" xfId="0" applyFont="1" applyFill="1" applyBorder="1" applyAlignment="1"/>
    <xf numFmtId="0" fontId="19" fillId="3" borderId="6" xfId="0" applyFont="1" applyFill="1" applyBorder="1" applyAlignment="1"/>
    <xf numFmtId="0" fontId="19" fillId="3" borderId="3" xfId="0" applyFont="1" applyFill="1" applyBorder="1" applyAlignment="1"/>
    <xf numFmtId="0" fontId="19" fillId="3" borderId="8" xfId="0" applyFont="1" applyFill="1" applyBorder="1" applyAlignment="1"/>
    <xf numFmtId="0" fontId="20" fillId="2" borderId="3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 wrapText="1"/>
    </xf>
    <xf numFmtId="0" fontId="20" fillId="4" borderId="2" xfId="0" applyFont="1" applyFill="1" applyBorder="1" applyAlignment="1">
      <alignment horizontal="center" wrapText="1"/>
    </xf>
    <xf numFmtId="0" fontId="20" fillId="4" borderId="10" xfId="0" applyFont="1" applyFill="1" applyBorder="1" applyAlignment="1">
      <alignment horizontal="center" wrapText="1"/>
    </xf>
    <xf numFmtId="0" fontId="20" fillId="4" borderId="11" xfId="0" applyFont="1" applyFill="1" applyBorder="1" applyAlignment="1">
      <alignment horizontal="center" wrapText="1"/>
    </xf>
    <xf numFmtId="0" fontId="20" fillId="4" borderId="3" xfId="0" applyFont="1" applyFill="1" applyBorder="1" applyAlignment="1">
      <alignment horizontal="center" wrapText="1"/>
    </xf>
    <xf numFmtId="0" fontId="19" fillId="4" borderId="3" xfId="0" applyFont="1" applyFill="1" applyBorder="1" applyAlignment="1"/>
    <xf numFmtId="0" fontId="19" fillId="4" borderId="3" xfId="0" applyFont="1" applyFill="1" applyBorder="1" applyAlignment="1"/>
    <xf numFmtId="0" fontId="20" fillId="4" borderId="3" xfId="0" applyFont="1" applyFill="1" applyBorder="1" applyAlignment="1">
      <alignment wrapText="1"/>
    </xf>
    <xf numFmtId="1" fontId="19" fillId="0" borderId="0" xfId="0" applyNumberFormat="1" applyFont="1" applyAlignment="1"/>
    <xf numFmtId="0" fontId="20" fillId="2" borderId="3" xfId="0" applyFont="1" applyFill="1" applyBorder="1" applyAlignment="1">
      <alignment horizontal="center"/>
    </xf>
    <xf numFmtId="0" fontId="28" fillId="5" borderId="8" xfId="0" applyFont="1" applyFill="1" applyBorder="1" applyAlignment="1">
      <alignment horizontal="center" wrapText="1"/>
    </xf>
    <xf numFmtId="0" fontId="28" fillId="5" borderId="3" xfId="0" applyFont="1" applyFill="1" applyBorder="1" applyAlignment="1">
      <alignment wrapText="1"/>
    </xf>
    <xf numFmtId="0" fontId="11" fillId="5" borderId="7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9" fillId="5" borderId="3" xfId="0" applyFont="1" applyFill="1" applyBorder="1" applyAlignment="1"/>
    <xf numFmtId="0" fontId="19" fillId="5" borderId="3" xfId="0" applyFont="1" applyFill="1" applyBorder="1" applyAlignment="1"/>
    <xf numFmtId="1" fontId="11" fillId="5" borderId="5" xfId="0" applyNumberFormat="1" applyFont="1" applyFill="1" applyBorder="1" applyAlignment="1">
      <alignment horizontal="center" wrapText="1"/>
    </xf>
    <xf numFmtId="0" fontId="28" fillId="4" borderId="8" xfId="0" applyFont="1" applyFill="1" applyBorder="1" applyAlignment="1">
      <alignment horizontal="center" wrapText="1"/>
    </xf>
    <xf numFmtId="0" fontId="28" fillId="4" borderId="3" xfId="0" applyFont="1" applyFill="1" applyBorder="1" applyAlignment="1">
      <alignment wrapText="1"/>
    </xf>
    <xf numFmtId="0" fontId="11" fillId="4" borderId="7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" fontId="11" fillId="4" borderId="3" xfId="0" applyNumberFormat="1" applyFont="1" applyFill="1" applyBorder="1" applyAlignment="1">
      <alignment horizontal="center" wrapText="1"/>
    </xf>
    <xf numFmtId="1" fontId="11" fillId="5" borderId="3" xfId="0" applyNumberFormat="1" applyFont="1" applyFill="1" applyBorder="1" applyAlignment="1">
      <alignment horizontal="center" wrapText="1"/>
    </xf>
    <xf numFmtId="0" fontId="20" fillId="0" borderId="3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3" xfId="0" applyFont="1" applyBorder="1" applyAlignment="1"/>
    <xf numFmtId="165" fontId="20" fillId="0" borderId="3" xfId="0" applyNumberFormat="1" applyFont="1" applyBorder="1" applyAlignment="1">
      <alignment horizontal="center"/>
    </xf>
    <xf numFmtId="0" fontId="19" fillId="0" borderId="3" xfId="0" applyFont="1" applyBorder="1" applyAlignment="1"/>
    <xf numFmtId="0" fontId="12" fillId="0" borderId="3" xfId="0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12" fillId="2" borderId="5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center"/>
    </xf>
    <xf numFmtId="0" fontId="31" fillId="0" borderId="5" xfId="0" applyFont="1" applyBorder="1" applyAlignment="1"/>
    <xf numFmtId="0" fontId="11" fillId="0" borderId="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right"/>
    </xf>
    <xf numFmtId="0" fontId="12" fillId="0" borderId="12" xfId="0" applyFont="1" applyBorder="1" applyAlignment="1"/>
    <xf numFmtId="0" fontId="32" fillId="0" borderId="0" xfId="0" applyFont="1" applyAlignment="1">
      <alignment horizontal="center"/>
    </xf>
    <xf numFmtId="0" fontId="1" fillId="2" borderId="0" xfId="0" applyFont="1" applyFill="1" applyAlignment="1"/>
    <xf numFmtId="0" fontId="6" fillId="2" borderId="0" xfId="0" applyFont="1" applyFill="1" applyAlignment="1"/>
    <xf numFmtId="0" fontId="10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8" fillId="0" borderId="3" xfId="0" applyFont="1" applyBorder="1" applyAlignment="1">
      <alignment horizontal="left" wrapText="1"/>
    </xf>
    <xf numFmtId="0" fontId="28" fillId="0" borderId="3" xfId="0" applyFont="1" applyBorder="1" applyAlignment="1">
      <alignment wrapText="1"/>
    </xf>
    <xf numFmtId="0" fontId="11" fillId="0" borderId="7" xfId="0" applyFont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vertical="center" wrapText="1"/>
    </xf>
    <xf numFmtId="1" fontId="11" fillId="2" borderId="0" xfId="0" applyNumberFormat="1" applyFont="1" applyFill="1" applyAlignment="1">
      <alignment vertical="center" wrapText="1"/>
    </xf>
    <xf numFmtId="0" fontId="22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 wrapText="1"/>
    </xf>
    <xf numFmtId="1" fontId="11" fillId="2" borderId="3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165" fontId="20" fillId="0" borderId="3" xfId="0" applyNumberFormat="1" applyFont="1" applyBorder="1" applyAlignment="1">
      <alignment horizontal="center" vertical="center"/>
    </xf>
    <xf numFmtId="0" fontId="11" fillId="2" borderId="3" xfId="0" applyFont="1" applyFill="1" applyBorder="1" applyAlignment="1"/>
    <xf numFmtId="0" fontId="11" fillId="2" borderId="0" xfId="0" applyFont="1" applyFill="1" applyAlignment="1"/>
    <xf numFmtId="0" fontId="2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34" fillId="0" borderId="5" xfId="0" applyFont="1" applyBorder="1" applyAlignment="1"/>
    <xf numFmtId="10" fontId="6" fillId="0" borderId="6" xfId="0" applyNumberFormat="1" applyFont="1" applyBorder="1" applyAlignment="1">
      <alignment horizontal="center" vertical="center"/>
    </xf>
    <xf numFmtId="0" fontId="21" fillId="0" borderId="7" xfId="0" applyFont="1" applyBorder="1" applyAlignment="1"/>
    <xf numFmtId="0" fontId="21" fillId="0" borderId="3" xfId="0" applyFont="1" applyBorder="1" applyAlignment="1"/>
    <xf numFmtId="0" fontId="20" fillId="0" borderId="8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1" fillId="0" borderId="10" xfId="0" applyFont="1" applyBorder="1" applyAlignment="1"/>
    <xf numFmtId="1" fontId="11" fillId="0" borderId="2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9" fillId="0" borderId="5" xfId="0" applyFont="1" applyBorder="1" applyAlignment="1"/>
    <xf numFmtId="0" fontId="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9" fillId="0" borderId="4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" fillId="0" borderId="0" xfId="0" applyFont="1" applyAlignment="1"/>
    <xf numFmtId="0" fontId="5" fillId="0" borderId="6" xfId="0" applyFont="1" applyBorder="1" applyAlignment="1">
      <alignment horizontal="center" vertical="center"/>
    </xf>
    <xf numFmtId="0" fontId="9" fillId="0" borderId="7" xfId="0" applyFont="1" applyBorder="1" applyAlignment="1"/>
    <xf numFmtId="0" fontId="9" fillId="0" borderId="8" xfId="0" applyFont="1" applyBorder="1" applyAlignme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center"/>
    </xf>
    <xf numFmtId="0" fontId="5" fillId="0" borderId="6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9" fillId="0" borderId="1" xfId="0" applyFont="1" applyBorder="1" applyAlignment="1"/>
    <xf numFmtId="0" fontId="9" fillId="0" borderId="13" xfId="0" applyFont="1" applyBorder="1" applyAlignment="1"/>
    <xf numFmtId="0" fontId="20" fillId="0" borderId="6" xfId="0" applyFont="1" applyBorder="1" applyAlignment="1">
      <alignment horizontal="center" vertical="top" wrapText="1"/>
    </xf>
    <xf numFmtId="2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top" wrapText="1"/>
    </xf>
    <xf numFmtId="0" fontId="25" fillId="0" borderId="6" xfId="0" applyFont="1" applyBorder="1" applyAlignment="1">
      <alignment horizontal="center"/>
    </xf>
    <xf numFmtId="0" fontId="25" fillId="0" borderId="6" xfId="0" applyFont="1" applyBorder="1" applyAlignment="1">
      <alignment horizontal="right"/>
    </xf>
    <xf numFmtId="0" fontId="26" fillId="0" borderId="2" xfId="0" applyFont="1" applyBorder="1" applyAlignment="1">
      <alignment horizontal="center" wrapText="1"/>
    </xf>
    <xf numFmtId="0" fontId="27" fillId="0" borderId="2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/>
    <xf numFmtId="0" fontId="25" fillId="0" borderId="2" xfId="0" applyFont="1" applyBorder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10" fillId="2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/>
    <xf numFmtId="0" fontId="9" fillId="5" borderId="8" xfId="0" applyFont="1" applyFill="1" applyBorder="1" applyAlignment="1"/>
    <xf numFmtId="0" fontId="20" fillId="2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/>
    <xf numFmtId="0" fontId="9" fillId="3" borderId="9" xfId="0" applyFont="1" applyFill="1" applyBorder="1" applyAlignment="1"/>
    <xf numFmtId="0" fontId="9" fillId="4" borderId="7" xfId="0" applyFont="1" applyFill="1" applyBorder="1" applyAlignment="1"/>
    <xf numFmtId="0" fontId="9" fillId="5" borderId="7" xfId="0" applyFont="1" applyFill="1" applyBorder="1" applyAlignment="1"/>
    <xf numFmtId="0" fontId="28" fillId="2" borderId="6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/>
    <xf numFmtId="0" fontId="20" fillId="2" borderId="6" xfId="0" applyFont="1" applyFill="1" applyBorder="1" applyAlignment="1">
      <alignment horizontal="center" vertical="top" wrapText="1"/>
    </xf>
    <xf numFmtId="0" fontId="20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A6E3B6"/>
          <bgColor rgb="FFA6E3B6"/>
        </patternFill>
      </fill>
    </dxf>
    <dxf>
      <fill>
        <patternFill patternType="solid">
          <fgColor rgb="FF33A752"/>
          <bgColor rgb="FF33A752"/>
        </patternFill>
      </fill>
    </dxf>
    <dxf>
      <fill>
        <patternFill patternType="solid">
          <fgColor rgb="FFA6E3B6"/>
          <bgColor rgb="FFA6E3B6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A6E3B6"/>
          <bgColor rgb="FFA6E3B6"/>
        </patternFill>
      </fill>
    </dxf>
    <dxf>
      <fill>
        <patternFill patternType="solid">
          <fgColor rgb="FF33A752"/>
          <bgColor rgb="FF33A752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A6E3B6"/>
          <bgColor rgb="FFA6E3B6"/>
        </patternFill>
      </fill>
    </dxf>
    <dxf>
      <fill>
        <patternFill patternType="solid">
          <fgColor rgb="FF33A752"/>
          <bgColor rgb="FF33A752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A6E3B6"/>
          <bgColor rgb="FFA6E3B6"/>
        </patternFill>
      </fill>
    </dxf>
    <dxf>
      <fill>
        <patternFill patternType="solid">
          <fgColor rgb="FF33A752"/>
          <bgColor rgb="FF33A752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A6E3B6"/>
          <bgColor rgb="FFA6E3B6"/>
        </patternFill>
      </fill>
    </dxf>
    <dxf>
      <fill>
        <patternFill patternType="solid">
          <fgColor rgb="FF33A752"/>
          <bgColor rgb="FF33A752"/>
        </patternFill>
      </fill>
    </dxf>
  </dxfs>
  <tableStyles count="6">
    <tableStyle name="II CSE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III CSE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IV CSE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II IT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III IT-style" pivot="0" count="2" xr9:uid="{00000000-0011-0000-FFFF-FFFF04000000}">
      <tableStyleElement type="firstRowStripe" dxfId="14"/>
      <tableStyleElement type="secondRowStripe" dxfId="13"/>
    </tableStyle>
    <tableStyle name="II AI&amp;DS-style" pivot="0" count="3" xr9:uid="{00000000-0011-0000-FFFF-FFFF05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www.wps.cn/officeDocument/2020/cellImage" Target="NUL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'II CSE'!$C$79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CSE'!$C$80:$C$84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CD-F047-A31F-AFC00718DE02}"/>
            </c:ext>
          </c:extLst>
        </c:ser>
        <c:ser>
          <c:idx val="1"/>
          <c:order val="1"/>
          <c:tx>
            <c:strRef>
              <c:f>'II CSE'!$D$79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CSE'!$D$80:$D$84</c:f>
              <c:numCache>
                <c:formatCode>General</c:formatCode>
                <c:ptCount val="5"/>
                <c:pt idx="0">
                  <c:v>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CD-F047-A31F-AFC00718DE02}"/>
            </c:ext>
          </c:extLst>
        </c:ser>
        <c:ser>
          <c:idx val="2"/>
          <c:order val="2"/>
          <c:tx>
            <c:strRef>
              <c:f>'II CSE'!$E$79</c:f>
              <c:strCache>
                <c:ptCount val="1"/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CSE'!$E$80:$E$84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0CD-F047-A31F-AFC00718DE02}"/>
            </c:ext>
          </c:extLst>
        </c:ser>
        <c:ser>
          <c:idx val="3"/>
          <c:order val="3"/>
          <c:tx>
            <c:strRef>
              <c:f>'II CSE'!$F$79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CSE'!$F$80:$F$84</c:f>
              <c:numCache>
                <c:formatCode>General</c:formatCode>
                <c:ptCount val="5"/>
                <c:pt idx="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0CD-F047-A31F-AFC00718DE02}"/>
            </c:ext>
          </c:extLst>
        </c:ser>
        <c:ser>
          <c:idx val="4"/>
          <c:order val="4"/>
          <c:tx>
            <c:strRef>
              <c:f>'II CSE'!$G$79</c:f>
              <c:strCache>
                <c:ptCount val="1"/>
              </c:strCache>
            </c:strRef>
          </c:tx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CSE'!$G$80:$G$84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C0CD-F047-A31F-AFC00718DE02}"/>
            </c:ext>
          </c:extLst>
        </c:ser>
        <c:ser>
          <c:idx val="5"/>
          <c:order val="5"/>
          <c:tx>
            <c:strRef>
              <c:f>'II CSE'!$H$79</c:f>
              <c:strCache>
                <c:ptCount val="1"/>
                <c:pt idx="0">
                  <c:v>No of students Passed</c:v>
                </c:pt>
              </c:strCache>
            </c:strRef>
          </c:tx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CSE'!$H$80:$H$84</c:f>
              <c:numCache>
                <c:formatCode>General</c:formatCode>
                <c:ptCount val="5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D-F047-A31F-AFC00718DE02}"/>
            </c:ext>
          </c:extLst>
        </c:ser>
        <c:ser>
          <c:idx val="6"/>
          <c:order val="6"/>
          <c:tx>
            <c:strRef>
              <c:f>'II CSE'!$I$79</c:f>
              <c:strCache>
                <c:ptCount val="1"/>
              </c:strCache>
            </c:strRef>
          </c:tx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CSE'!$I$80:$I$84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C0CD-F047-A31F-AFC00718DE02}"/>
            </c:ext>
          </c:extLst>
        </c:ser>
        <c:ser>
          <c:idx val="7"/>
          <c:order val="7"/>
          <c:tx>
            <c:strRef>
              <c:f>'II CSE'!$J$79</c:f>
              <c:strCache>
                <c:ptCount val="1"/>
                <c:pt idx="0">
                  <c:v>Percentage of Passes (%)</c:v>
                </c:pt>
              </c:strCache>
            </c:strRef>
          </c:tx>
          <c:invertIfNegative val="1"/>
          <c:cat>
            <c:strRef>
              <c:f>'II CSE'!$B$80:$B$84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CS3301-Data Structures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CSE'!$J$80:$J$84</c:f>
              <c:numCache>
                <c:formatCode>0</c:formatCode>
                <c:ptCount val="5"/>
                <c:pt idx="0">
                  <c:v>43.859649122807014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CD-F047-A31F-AFC00718D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2347071"/>
        <c:axId val="1992229831"/>
      </c:barChart>
      <c:catAx>
        <c:axId val="211234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2229831"/>
        <c:crosses val="autoZero"/>
        <c:auto val="1"/>
        <c:lblAlgn val="ctr"/>
        <c:lblOffset val="100"/>
        <c:noMultiLvlLbl val="1"/>
      </c:catAx>
      <c:valAx>
        <c:axId val="1992229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23470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'III CSE'!$D$86</c:f>
              <c:strCache>
                <c:ptCount val="1"/>
                <c:pt idx="0">
                  <c:v>Mr. E. Kamalanathan, AP/CSE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CSE'!$C$87:$C$91</c:f>
              <c:strCache>
                <c:ptCount val="5"/>
                <c:pt idx="0">
                  <c:v>CS3501 - COMPILER DESIGN</c:v>
                </c:pt>
                <c:pt idx="1">
                  <c:v>CB3491 - CRYPTOGRAPHY AND CYBER SECURITY</c:v>
                </c:pt>
                <c:pt idx="2">
                  <c:v>CCS375 - WEB TECHNOLOGIES</c:v>
                </c:pt>
                <c:pt idx="3">
                  <c:v>CCS366 - SOFTWERE TESTING AND AUTOMATION</c:v>
                </c:pt>
                <c:pt idx="4">
                  <c:v>CS3551 - DISTRIBUTED COMPUTING</c:v>
                </c:pt>
              </c:strCache>
            </c:strRef>
          </c:cat>
          <c:val>
            <c:numRef>
              <c:f>'III CSE'!$D$87:$D$91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D5-5648-A097-BFED98D4B8F7}"/>
            </c:ext>
          </c:extLst>
        </c:ser>
        <c:ser>
          <c:idx val="1"/>
          <c:order val="1"/>
          <c:tx>
            <c:strRef>
              <c:f>'III CSE'!$E$86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CSE'!$C$87:$C$91</c:f>
              <c:strCache>
                <c:ptCount val="5"/>
                <c:pt idx="0">
                  <c:v>CS3501 - COMPILER DESIGN</c:v>
                </c:pt>
                <c:pt idx="1">
                  <c:v>CB3491 - CRYPTOGRAPHY AND CYBER SECURITY</c:v>
                </c:pt>
                <c:pt idx="2">
                  <c:v>CCS375 - WEB TECHNOLOGIES</c:v>
                </c:pt>
                <c:pt idx="3">
                  <c:v>CCS366 - SOFTWERE TESTING AND AUTOMATION</c:v>
                </c:pt>
                <c:pt idx="4">
                  <c:v>CS3551 - DISTRIBUTED COMPUTING</c:v>
                </c:pt>
              </c:strCache>
            </c:strRef>
          </c:cat>
          <c:val>
            <c:numRef>
              <c:f>'III CSE'!$E$87:$E$91</c:f>
              <c:numCache>
                <c:formatCode>General</c:formatCode>
                <c:ptCount val="5"/>
                <c:pt idx="0">
                  <c:v>54</c:v>
                </c:pt>
                <c:pt idx="1">
                  <c:v>54</c:v>
                </c:pt>
                <c:pt idx="2">
                  <c:v>0</c:v>
                </c:pt>
                <c:pt idx="3">
                  <c:v>55</c:v>
                </c:pt>
                <c:pt idx="4">
                  <c:v>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D5-5648-A097-BFED98D4B8F7}"/>
            </c:ext>
          </c:extLst>
        </c:ser>
        <c:ser>
          <c:idx val="2"/>
          <c:order val="2"/>
          <c:tx>
            <c:strRef>
              <c:f>'III CSE'!$F$86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CSE'!$C$87:$C$91</c:f>
              <c:strCache>
                <c:ptCount val="5"/>
                <c:pt idx="0">
                  <c:v>CS3501 - COMPILER DESIGN</c:v>
                </c:pt>
                <c:pt idx="1">
                  <c:v>CB3491 - CRYPTOGRAPHY AND CYBER SECURITY</c:v>
                </c:pt>
                <c:pt idx="2">
                  <c:v>CCS375 - WEB TECHNOLOGIES</c:v>
                </c:pt>
                <c:pt idx="3">
                  <c:v>CCS366 - SOFTWERE TESTING AND AUTOMATION</c:v>
                </c:pt>
                <c:pt idx="4">
                  <c:v>CS3551 - DISTRIBUTED COMPUTING</c:v>
                </c:pt>
              </c:strCache>
            </c:strRef>
          </c:cat>
          <c:val>
            <c:numRef>
              <c:f>'III CSE'!$F$87:$F$91</c:f>
              <c:numCache>
                <c:formatCode>General</c:formatCode>
                <c:ptCount val="5"/>
                <c:pt idx="0">
                  <c:v>7</c:v>
                </c:pt>
                <c:pt idx="2">
                  <c:v>0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ED5-5648-A097-BFED98D4B8F7}"/>
            </c:ext>
          </c:extLst>
        </c:ser>
        <c:ser>
          <c:idx val="3"/>
          <c:order val="3"/>
          <c:tx>
            <c:strRef>
              <c:f>'III CSE'!$G$86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CSE'!$C$87:$C$91</c:f>
              <c:strCache>
                <c:ptCount val="5"/>
                <c:pt idx="0">
                  <c:v>CS3501 - COMPILER DESIGN</c:v>
                </c:pt>
                <c:pt idx="1">
                  <c:v>CB3491 - CRYPTOGRAPHY AND CYBER SECURITY</c:v>
                </c:pt>
                <c:pt idx="2">
                  <c:v>CCS375 - WEB TECHNOLOGIES</c:v>
                </c:pt>
                <c:pt idx="3">
                  <c:v>CCS366 - SOFTWERE TESTING AND AUTOMATION</c:v>
                </c:pt>
                <c:pt idx="4">
                  <c:v>CS3551 - DISTRIBUTED COMPUTING</c:v>
                </c:pt>
              </c:strCache>
            </c:strRef>
          </c:cat>
          <c:val>
            <c:numRef>
              <c:f>'III CSE'!$G$87:$G$91</c:f>
              <c:numCache>
                <c:formatCode>General</c:formatCode>
                <c:ptCount val="5"/>
                <c:pt idx="0">
                  <c:v>8</c:v>
                </c:pt>
                <c:pt idx="2">
                  <c:v>0</c:v>
                </c:pt>
                <c:pt idx="3">
                  <c:v>27</c:v>
                </c:pt>
                <c:pt idx="4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ED5-5648-A097-BFED98D4B8F7}"/>
            </c:ext>
          </c:extLst>
        </c:ser>
        <c:ser>
          <c:idx val="4"/>
          <c:order val="4"/>
          <c:tx>
            <c:strRef>
              <c:f>'III CSE'!$H$86</c:f>
              <c:strCache>
                <c:ptCount val="1"/>
                <c:pt idx="0">
                  <c:v>#DIV/0!</c:v>
                </c:pt>
              </c:strCache>
            </c:strRef>
          </c:tx>
          <c:invertIfNegative val="1"/>
          <c:cat>
            <c:strRef>
              <c:f>'III CSE'!$C$87:$C$91</c:f>
              <c:strCache>
                <c:ptCount val="5"/>
                <c:pt idx="0">
                  <c:v>CS3501 - COMPILER DESIGN</c:v>
                </c:pt>
                <c:pt idx="1">
                  <c:v>CB3491 - CRYPTOGRAPHY AND CYBER SECURITY</c:v>
                </c:pt>
                <c:pt idx="2">
                  <c:v>CCS375 - WEB TECHNOLOGIES</c:v>
                </c:pt>
                <c:pt idx="3">
                  <c:v>CCS366 - SOFTWERE TESTING AND AUTOMATION</c:v>
                </c:pt>
                <c:pt idx="4">
                  <c:v>CS3551 - DISTRIBUTED COMPUTING</c:v>
                </c:pt>
              </c:strCache>
            </c:strRef>
          </c:cat>
          <c:val>
            <c:numRef>
              <c:f>'III CSE'!$H$87:$H$91</c:f>
              <c:numCache>
                <c:formatCode>0</c:formatCode>
                <c:ptCount val="5"/>
                <c:pt idx="0">
                  <c:v>14.814814814814813</c:v>
                </c:pt>
                <c:pt idx="1">
                  <c:v>0</c:v>
                </c:pt>
                <c:pt idx="2">
                  <c:v>0</c:v>
                </c:pt>
                <c:pt idx="3">
                  <c:v>49.090909090909093</c:v>
                </c:pt>
                <c:pt idx="4">
                  <c:v>41.509433962264154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5-5648-A097-BFED98D4B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735460"/>
        <c:axId val="430393170"/>
      </c:barChart>
      <c:catAx>
        <c:axId val="1657735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0393170"/>
        <c:crosses val="autoZero"/>
        <c:auto val="1"/>
        <c:lblAlgn val="ctr"/>
        <c:lblOffset val="100"/>
        <c:noMultiLvlLbl val="1"/>
      </c:catAx>
      <c:valAx>
        <c:axId val="43039317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7354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'II IT'!$C$83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IT'!$C$84:$C$88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8-F142-AAF3-965D8FEBF25D}"/>
            </c:ext>
          </c:extLst>
        </c:ser>
        <c:ser>
          <c:idx val="1"/>
          <c:order val="1"/>
          <c:tx>
            <c:strRef>
              <c:f>'II IT'!$D$83</c:f>
              <c:strCache>
                <c:ptCount val="1"/>
                <c:pt idx="0">
                  <c:v>No of students attended</c:v>
                </c:pt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IT'!$D$84:$D$88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5698-F142-AAF3-965D8FEBF25D}"/>
            </c:ext>
          </c:extLst>
        </c:ser>
        <c:ser>
          <c:idx val="2"/>
          <c:order val="2"/>
          <c:tx>
            <c:strRef>
              <c:f>'II IT'!$E$83</c:f>
              <c:strCache>
                <c:ptCount val="1"/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IT'!$E$84:$E$88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5698-F142-AAF3-965D8FEBF25D}"/>
            </c:ext>
          </c:extLst>
        </c:ser>
        <c:ser>
          <c:idx val="3"/>
          <c:order val="3"/>
          <c:tx>
            <c:strRef>
              <c:f>'II IT'!$F$83</c:f>
              <c:strCache>
                <c:ptCount val="1"/>
                <c:pt idx="0">
                  <c:v>No of students absent</c:v>
                </c:pt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IT'!$F$84:$F$88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5698-F142-AAF3-965D8FEBF25D}"/>
            </c:ext>
          </c:extLst>
        </c:ser>
        <c:ser>
          <c:idx val="4"/>
          <c:order val="4"/>
          <c:tx>
            <c:strRef>
              <c:f>'II IT'!$G$83</c:f>
              <c:strCache>
                <c:ptCount val="1"/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IT'!$G$84:$G$88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5698-F142-AAF3-965D8FEBF25D}"/>
            </c:ext>
          </c:extLst>
        </c:ser>
        <c:ser>
          <c:idx val="5"/>
          <c:order val="5"/>
          <c:tx>
            <c:strRef>
              <c:f>'II IT'!$H$83</c:f>
              <c:strCache>
                <c:ptCount val="1"/>
                <c:pt idx="0">
                  <c:v>No of students Passed</c:v>
                </c:pt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IT'!$H$84:$H$88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5698-F142-AAF3-965D8FEBF25D}"/>
            </c:ext>
          </c:extLst>
        </c:ser>
        <c:ser>
          <c:idx val="6"/>
          <c:order val="6"/>
          <c:tx>
            <c:strRef>
              <c:f>'II IT'!$I$83</c:f>
              <c:strCache>
                <c:ptCount val="1"/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IT'!$I$84:$I$88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5698-F142-AAF3-965D8FEBF25D}"/>
            </c:ext>
          </c:extLst>
        </c:ser>
        <c:ser>
          <c:idx val="7"/>
          <c:order val="7"/>
          <c:tx>
            <c:strRef>
              <c:f>'II IT'!$J$83</c:f>
              <c:strCache>
                <c:ptCount val="1"/>
                <c:pt idx="0">
                  <c:v>Percentage of Passes (%)</c:v>
                </c:pt>
              </c:strCache>
            </c:strRef>
          </c:tx>
          <c:invertIfNegative val="1"/>
          <c:cat>
            <c:strRef>
              <c:f>'II IT'!$B$84:$B$88</c:f>
              <c:strCache>
                <c:ptCount val="5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</c:strCache>
            </c:strRef>
          </c:cat>
          <c:val>
            <c:numRef>
              <c:f>'II IT'!$J$84:$J$88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98-F142-AAF3-965D8FEBF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6081503"/>
        <c:axId val="184867044"/>
      </c:barChart>
      <c:catAx>
        <c:axId val="1596081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867044"/>
        <c:crosses val="autoZero"/>
        <c:auto val="1"/>
        <c:lblAlgn val="ctr"/>
        <c:lblOffset val="100"/>
        <c:noMultiLvlLbl val="1"/>
      </c:catAx>
      <c:valAx>
        <c:axId val="1848670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5960815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'III IT'!$C$78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IT'!$C$79:$C$84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AC-6F43-86F0-AC5DD2C03161}"/>
            </c:ext>
          </c:extLst>
        </c:ser>
        <c:ser>
          <c:idx val="1"/>
          <c:order val="1"/>
          <c:tx>
            <c:strRef>
              <c:f>'III IT'!$D$78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IT'!$D$79:$D$84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0AC-6F43-86F0-AC5DD2C03161}"/>
            </c:ext>
          </c:extLst>
        </c:ser>
        <c:ser>
          <c:idx val="2"/>
          <c:order val="2"/>
          <c:tx>
            <c:strRef>
              <c:f>'III IT'!$E$78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IT'!$E$79:$E$84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0AC-6F43-86F0-AC5DD2C03161}"/>
            </c:ext>
          </c:extLst>
        </c:ser>
        <c:ser>
          <c:idx val="3"/>
          <c:order val="3"/>
          <c:tx>
            <c:strRef>
              <c:f>'III IT'!$F$78</c:f>
              <c:strCache>
                <c:ptCount val="1"/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IT'!$F$79:$F$84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0AC-6F43-86F0-AC5DD2C03161}"/>
            </c:ext>
          </c:extLst>
        </c:ser>
        <c:ser>
          <c:idx val="4"/>
          <c:order val="4"/>
          <c:tx>
            <c:strRef>
              <c:f>'III IT'!$G$78</c:f>
              <c:strCache>
                <c:ptCount val="1"/>
                <c:pt idx="0">
                  <c:v>No of students attended</c:v>
                </c:pt>
              </c:strCache>
            </c:strRef>
          </c:tx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IT'!$G$79:$G$84</c:f>
              <c:numCache>
                <c:formatCode>General</c:formatCode>
                <c:ptCount val="6"/>
                <c:pt idx="0">
                  <c:v>53</c:v>
                </c:pt>
                <c:pt idx="1">
                  <c:v>52</c:v>
                </c:pt>
                <c:pt idx="2">
                  <c:v>51</c:v>
                </c:pt>
                <c:pt idx="3">
                  <c:v>52</c:v>
                </c:pt>
                <c:pt idx="4">
                  <c:v>52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AC-6F43-86F0-AC5DD2C03161}"/>
            </c:ext>
          </c:extLst>
        </c:ser>
        <c:ser>
          <c:idx val="5"/>
          <c:order val="5"/>
          <c:tx>
            <c:strRef>
              <c:f>'III IT'!$H$78</c:f>
              <c:strCache>
                <c:ptCount val="1"/>
                <c:pt idx="0">
                  <c:v>No of students absent</c:v>
                </c:pt>
              </c:strCache>
            </c:strRef>
          </c:tx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IT'!$H$79:$H$84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AC-6F43-86F0-AC5DD2C03161}"/>
            </c:ext>
          </c:extLst>
        </c:ser>
        <c:ser>
          <c:idx val="6"/>
          <c:order val="6"/>
          <c:tx>
            <c:strRef>
              <c:f>'III IT'!$I$78</c:f>
              <c:strCache>
                <c:ptCount val="1"/>
                <c:pt idx="0">
                  <c:v>No of students Passed</c:v>
                </c:pt>
              </c:strCache>
            </c:strRef>
          </c:tx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IT'!$I$79:$I$84</c:f>
              <c:numCache>
                <c:formatCode>General</c:formatCode>
                <c:ptCount val="6"/>
                <c:pt idx="0">
                  <c:v>9</c:v>
                </c:pt>
                <c:pt idx="1">
                  <c:v>28</c:v>
                </c:pt>
                <c:pt idx="2">
                  <c:v>32</c:v>
                </c:pt>
                <c:pt idx="3">
                  <c:v>32</c:v>
                </c:pt>
                <c:pt idx="4">
                  <c:v>39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AC-6F43-86F0-AC5DD2C03161}"/>
            </c:ext>
          </c:extLst>
        </c:ser>
        <c:ser>
          <c:idx val="7"/>
          <c:order val="7"/>
          <c:tx>
            <c:strRef>
              <c:f>'III IT'!$J$78</c:f>
              <c:strCache>
                <c:ptCount val="1"/>
                <c:pt idx="0">
                  <c:v>Percentage of Passes (%)</c:v>
                </c:pt>
              </c:strCache>
            </c:strRef>
          </c:tx>
          <c:invertIfNegative val="1"/>
          <c:cat>
            <c:strRef>
              <c:f>'III IT'!$B$79:$B$84</c:f>
              <c:strCache>
                <c:ptCount val="6"/>
                <c:pt idx="0">
                  <c:v>CS3591- COMPUTER NETWORKS</c:v>
                </c:pt>
                <c:pt idx="1">
                  <c:v>CS3691 - EMBEDDED SYSYEMS AND IOT</c:v>
                </c:pt>
                <c:pt idx="2">
                  <c:v>CCS346 - PROFESSIONAL ELECTIVE 1 EXPLORATORY DATA ANALYTICS</c:v>
                </c:pt>
                <c:pt idx="3">
                  <c:v>CCS346 - PROFESSIONAL ELECTIVE II BIG DATA ANALYTICS</c:v>
                </c:pt>
                <c:pt idx="4">
                  <c:v>IT3501 - FULL STOCK WEB DEVELOPEMENT</c:v>
                </c:pt>
                <c:pt idx="5">
                  <c:v>CS3551 - DISTRIBUTED COMPUTING</c:v>
                </c:pt>
              </c:strCache>
            </c:strRef>
          </c:cat>
          <c:val>
            <c:numRef>
              <c:f>'III IT'!$J$79:$J$84</c:f>
              <c:numCache>
                <c:formatCode>0</c:formatCode>
                <c:ptCount val="6"/>
                <c:pt idx="0">
                  <c:v>16.981132075471699</c:v>
                </c:pt>
                <c:pt idx="1">
                  <c:v>53.846153846153847</c:v>
                </c:pt>
                <c:pt idx="2">
                  <c:v>62.745098039215684</c:v>
                </c:pt>
                <c:pt idx="3">
                  <c:v>61.53846153846154</c:v>
                </c:pt>
                <c:pt idx="4">
                  <c:v>75</c:v>
                </c:pt>
                <c:pt idx="5">
                  <c:v>47.058823529411761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AC-6F43-86F0-AC5DD2C03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4882578"/>
        <c:axId val="574895520"/>
      </c:barChart>
      <c:catAx>
        <c:axId val="1954882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4895520"/>
        <c:crosses val="autoZero"/>
        <c:auto val="1"/>
        <c:lblAlgn val="ctr"/>
        <c:lblOffset val="100"/>
        <c:noMultiLvlLbl val="1"/>
      </c:catAx>
      <c:valAx>
        <c:axId val="574895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48825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'II AI&amp;DS'!$C$76:$C$77</c:f>
              <c:strCache>
                <c:ptCount val="2"/>
                <c:pt idx="0">
                  <c:v>Column2</c:v>
                </c:pt>
                <c:pt idx="1">
                  <c:v>Name of the Staff Member &amp; Department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AI&amp;DS'!$C$78:$C$83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9-2B4F-B559-D2B81CC91ECB}"/>
            </c:ext>
          </c:extLst>
        </c:ser>
        <c:ser>
          <c:idx val="1"/>
          <c:order val="1"/>
          <c:tx>
            <c:strRef>
              <c:f>'II AI&amp;DS'!$D$76:$D$77</c:f>
              <c:strCache>
                <c:ptCount val="2"/>
                <c:pt idx="0">
                  <c:v>Column3</c:v>
                </c:pt>
                <c:pt idx="1">
                  <c:v>No of students attended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AI&amp;DS'!$D$78:$D$83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79D9-2B4F-B559-D2B81CC91ECB}"/>
            </c:ext>
          </c:extLst>
        </c:ser>
        <c:ser>
          <c:idx val="2"/>
          <c:order val="2"/>
          <c:tx>
            <c:strRef>
              <c:f>'II AI&amp;DS'!$E$76:$E$77</c:f>
              <c:strCache>
                <c:ptCount val="2"/>
                <c:pt idx="0">
                  <c:v>Column4</c:v>
                </c:pt>
                <c:pt idx="1">
                  <c:v>No of students attended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AI&amp;DS'!$E$78:$E$83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79D9-2B4F-B559-D2B81CC91ECB}"/>
            </c:ext>
          </c:extLst>
        </c:ser>
        <c:ser>
          <c:idx val="3"/>
          <c:order val="3"/>
          <c:tx>
            <c:strRef>
              <c:f>'II AI&amp;DS'!$F$76:$F$77</c:f>
              <c:strCache>
                <c:ptCount val="2"/>
                <c:pt idx="0">
                  <c:v>Column5</c:v>
                </c:pt>
                <c:pt idx="1">
                  <c:v>No of students absent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AI&amp;DS'!$F$78:$F$83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79D9-2B4F-B559-D2B81CC91ECB}"/>
            </c:ext>
          </c:extLst>
        </c:ser>
        <c:ser>
          <c:idx val="4"/>
          <c:order val="4"/>
          <c:tx>
            <c:strRef>
              <c:f>'II AI&amp;DS'!$G$76:$G$77</c:f>
              <c:strCache>
                <c:ptCount val="2"/>
                <c:pt idx="0">
                  <c:v>Column6</c:v>
                </c:pt>
                <c:pt idx="1">
                  <c:v>No of students absent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AI&amp;DS'!$G$78:$G$83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79D9-2B4F-B559-D2B81CC91ECB}"/>
            </c:ext>
          </c:extLst>
        </c:ser>
        <c:ser>
          <c:idx val="5"/>
          <c:order val="5"/>
          <c:tx>
            <c:strRef>
              <c:f>'II AI&amp;DS'!$H$76:$H$77</c:f>
              <c:strCache>
                <c:ptCount val="2"/>
                <c:pt idx="0">
                  <c:v>Column7</c:v>
                </c:pt>
                <c:pt idx="1">
                  <c:v>No of students Passed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AI&amp;DS'!$H$78:$H$83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79D9-2B4F-B559-D2B81CC91ECB}"/>
            </c:ext>
          </c:extLst>
        </c:ser>
        <c:ser>
          <c:idx val="6"/>
          <c:order val="6"/>
          <c:tx>
            <c:strRef>
              <c:f>'II AI&amp;DS'!$I$76:$I$77</c:f>
              <c:strCache>
                <c:ptCount val="2"/>
                <c:pt idx="0">
                  <c:v>Column8</c:v>
                </c:pt>
                <c:pt idx="1">
                  <c:v>No of students Passed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AI&amp;DS'!$I$78:$I$83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79D9-2B4F-B559-D2B81CC91ECB}"/>
            </c:ext>
          </c:extLst>
        </c:ser>
        <c:ser>
          <c:idx val="7"/>
          <c:order val="7"/>
          <c:tx>
            <c:strRef>
              <c:f>'II AI&amp;DS'!$J$76:$J$77</c:f>
              <c:strCache>
                <c:ptCount val="2"/>
                <c:pt idx="0">
                  <c:v>Column9</c:v>
                </c:pt>
                <c:pt idx="1">
                  <c:v>No of students Passed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AI&amp;DS'!$J$78:$J$83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79D9-2B4F-B559-D2B81CC91ECB}"/>
            </c:ext>
          </c:extLst>
        </c:ser>
        <c:ser>
          <c:idx val="8"/>
          <c:order val="8"/>
          <c:tx>
            <c:strRef>
              <c:f>'II AI&amp;DS'!$K$76:$K$77</c:f>
              <c:strCache>
                <c:ptCount val="2"/>
                <c:pt idx="0">
                  <c:v>Column10</c:v>
                </c:pt>
                <c:pt idx="1">
                  <c:v>Percentage of Passes (%)</c:v>
                </c:pt>
              </c:strCache>
            </c:strRef>
          </c:tx>
          <c:invertIfNegative val="1"/>
          <c:cat>
            <c:strRef>
              <c:f>'II AI&amp;DS'!$B$78:$B$83</c:f>
              <c:strCache>
                <c:ptCount val="6"/>
                <c:pt idx="0">
                  <c:v>CS3351-Digital Principles and Computer Organization</c:v>
                </c:pt>
                <c:pt idx="1">
                  <c:v>AD3391 - Database Design and Management</c:v>
                </c:pt>
                <c:pt idx="2">
                  <c:v>AD3351 - Design and Analysis of Algorithm</c:v>
                </c:pt>
                <c:pt idx="3">
                  <c:v>AD3301-Data Exploration and Visualization</c:v>
                </c:pt>
                <c:pt idx="4">
                  <c:v>AL3391 - Artificial Intelligence</c:v>
                </c:pt>
                <c:pt idx="5">
                  <c:v>MA3354 - Discrete Mathematics</c:v>
                </c:pt>
              </c:strCache>
            </c:strRef>
          </c:cat>
          <c:val>
            <c:numRef>
              <c:f>'II AI&amp;DS'!$K$78:$K$83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D9-2B4F-B559-D2B81CC91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433586"/>
        <c:axId val="1283681551"/>
      </c:barChart>
      <c:catAx>
        <c:axId val="373433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3681551"/>
        <c:crosses val="autoZero"/>
        <c:auto val="1"/>
        <c:lblAlgn val="ctr"/>
        <c:lblOffset val="100"/>
        <c:noMultiLvlLbl val="1"/>
      </c:catAx>
      <c:valAx>
        <c:axId val="128368155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734335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3.xml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4.xml" 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514091</xdr:colOff>
      <xdr:row>87</xdr:row>
      <xdr:rowOff>126578</xdr:rowOff>
    </xdr:from>
    <xdr:to>
      <xdr:col>7</xdr:col>
      <xdr:colOff>838588</xdr:colOff>
      <xdr:row>105</xdr:row>
      <xdr:rowOff>59382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75592</xdr:colOff>
      <xdr:row>0</xdr:row>
      <xdr:rowOff>75790</xdr:rowOff>
    </xdr:from>
    <xdr:to>
      <xdr:col>12</xdr:col>
      <xdr:colOff>239620</xdr:colOff>
      <xdr:row>5</xdr:row>
      <xdr:rowOff>103919</xdr:rowOff>
    </xdr:to>
    <xdr:pic>
      <xdr:nvPicPr>
        <xdr:cNvPr id="3" name="image1.png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5555" y="75781"/>
          <a:ext cx="12498400" cy="102812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837776</xdr:colOff>
      <xdr:row>104</xdr:row>
      <xdr:rowOff>189867</xdr:rowOff>
    </xdr:from>
    <xdr:to>
      <xdr:col>10</xdr:col>
      <xdr:colOff>623563</xdr:colOff>
      <xdr:row>129</xdr:row>
      <xdr:rowOff>170333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66627</xdr:colOff>
      <xdr:row>0</xdr:row>
      <xdr:rowOff>25003</xdr:rowOff>
    </xdr:from>
    <xdr:to>
      <xdr:col>14</xdr:col>
      <xdr:colOff>140409</xdr:colOff>
      <xdr:row>5</xdr:row>
      <xdr:rowOff>157832</xdr:rowOff>
    </xdr:to>
    <xdr:pic>
      <xdr:nvPicPr>
        <xdr:cNvPr id="3" name="image1.pn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6666" y="24999"/>
          <a:ext cx="11933957" cy="113281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84918</xdr:colOff>
      <xdr:row>0</xdr:row>
      <xdr:rowOff>0</xdr:rowOff>
    </xdr:from>
    <xdr:to>
      <xdr:col>11</xdr:col>
      <xdr:colOff>254754</xdr:colOff>
      <xdr:row>6</xdr:row>
      <xdr:rowOff>161627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5079" y="0"/>
          <a:ext cx="10655862" cy="1133034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952074</xdr:colOff>
      <xdr:row>88</xdr:row>
      <xdr:rowOff>164864</xdr:rowOff>
    </xdr:from>
    <xdr:to>
      <xdr:col>8</xdr:col>
      <xdr:colOff>285624</xdr:colOff>
      <xdr:row>106</xdr:row>
      <xdr:rowOff>97668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75592</xdr:colOff>
      <xdr:row>0</xdr:row>
      <xdr:rowOff>75790</xdr:rowOff>
    </xdr:from>
    <xdr:to>
      <xdr:col>12</xdr:col>
      <xdr:colOff>239620</xdr:colOff>
      <xdr:row>5</xdr:row>
      <xdr:rowOff>103919</xdr:rowOff>
    </xdr:to>
    <xdr:pic>
      <xdr:nvPicPr>
        <xdr:cNvPr id="3" name="image1.png" descr=" 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5555" y="75781"/>
          <a:ext cx="12498400" cy="102812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141950</xdr:colOff>
      <xdr:row>104</xdr:row>
      <xdr:rowOff>114076</xdr:rowOff>
    </xdr:from>
    <xdr:to>
      <xdr:col>10</xdr:col>
      <xdr:colOff>103415</xdr:colOff>
      <xdr:row>130</xdr:row>
      <xdr:rowOff>199243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85367</xdr:colOff>
      <xdr:row>0</xdr:row>
      <xdr:rowOff>0</xdr:rowOff>
    </xdr:from>
    <xdr:to>
      <xdr:col>13</xdr:col>
      <xdr:colOff>293429</xdr:colOff>
      <xdr:row>5</xdr:row>
      <xdr:rowOff>132829</xdr:rowOff>
    </xdr:to>
    <xdr:pic>
      <xdr:nvPicPr>
        <xdr:cNvPr id="3" name="image1.png" descr=" 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5079" y="0"/>
          <a:ext cx="13616494" cy="113281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637588</xdr:colOff>
      <xdr:row>84</xdr:row>
      <xdr:rowOff>75790</xdr:rowOff>
    </xdr:from>
    <xdr:to>
      <xdr:col>7</xdr:col>
      <xdr:colOff>967976</xdr:colOff>
      <xdr:row>102</xdr:row>
      <xdr:rowOff>8594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66469</xdr:colOff>
      <xdr:row>0</xdr:row>
      <xdr:rowOff>25003</xdr:rowOff>
    </xdr:from>
    <xdr:to>
      <xdr:col>13</xdr:col>
      <xdr:colOff>413660</xdr:colOff>
      <xdr:row>5</xdr:row>
      <xdr:rowOff>157832</xdr:rowOff>
    </xdr:to>
    <xdr:pic>
      <xdr:nvPicPr>
        <xdr:cNvPr id="3" name="image1.png" descr=" 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6666" y="24999"/>
          <a:ext cx="13832367" cy="113281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_1" displayName="Table_1" ref="B79:J84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II C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_2" displayName="Table_2" ref="C85:H91">
  <tableColumns count="6">
    <tableColumn id="1" xr3:uid="{00000000-0010-0000-0100-000001000000}" name="Subject code and Name"/>
    <tableColumn id="2" xr3:uid="{00000000-0010-0000-0100-000002000000}" name="Name of the Staff Member &amp; Department"/>
    <tableColumn id="3" xr3:uid="{00000000-0010-0000-0100-000003000000}" name="No of students attended"/>
    <tableColumn id="4" xr3:uid="{00000000-0010-0000-0100-000004000000}" name="No of students absent"/>
    <tableColumn id="5" xr3:uid="{00000000-0010-0000-0100-000005000000}" name="No of students Passed"/>
    <tableColumn id="6" xr3:uid="{00000000-0010-0000-0100-000006000000}" name="Percentage of Passes (%)"/>
  </tableColumns>
  <tableStyleInfo name="III CS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85:I90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name="IV CS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83:J88" headerRowCount="0">
  <tableColumns count="9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</tableColumns>
  <tableStyleInfo name="II I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_5" displayName="Table_5" ref="D10:D68" headerRowCount="0">
  <tableColumns count="1">
    <tableColumn id="1" xr3:uid="{00000000-0010-0000-0400-000001000000}" name="Column1"/>
  </tableColumns>
  <tableStyleInfo name="III I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_6" displayName="Table_6" ref="B76:K83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II AI&amp;D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 /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 /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79"/>
  <sheetViews>
    <sheetView workbookViewId="0"/>
  </sheetViews>
  <sheetFormatPr defaultColWidth="12" defaultRowHeight="15" customHeight="1" x14ac:dyDescent="0.15"/>
  <cols>
    <col min="1" max="1" width="9.3046875" customWidth="1"/>
    <col min="2" max="2" width="17.93359375" customWidth="1"/>
    <col min="3" max="3" width="20.49609375" customWidth="1"/>
    <col min="4" max="4" width="15.640625" customWidth="1"/>
    <col min="5" max="5" width="14.5625" customWidth="1"/>
    <col min="6" max="6" width="14.0234375" customWidth="1"/>
    <col min="7" max="8" width="13.88671875" customWidth="1"/>
    <col min="9" max="9" width="16.1796875" customWidth="1"/>
  </cols>
  <sheetData>
    <row r="1" spans="1:25" ht="15.75" customHeight="1" x14ac:dyDescent="0.1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">
      <c r="A7" s="250" t="s">
        <v>0</v>
      </c>
      <c r="B7" s="242"/>
      <c r="C7" s="242"/>
      <c r="D7" s="242"/>
      <c r="E7" s="242"/>
      <c r="F7" s="242"/>
      <c r="G7" s="242"/>
      <c r="H7" s="242"/>
      <c r="I7" s="24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">
      <c r="A8" s="5" t="s">
        <v>1</v>
      </c>
      <c r="B8" s="5"/>
      <c r="C8" s="6"/>
      <c r="D8" s="7"/>
      <c r="E8" s="8" t="s">
        <v>2</v>
      </c>
      <c r="F8" s="9"/>
      <c r="G8" s="9"/>
      <c r="H8" s="10" t="s">
        <v>3</v>
      </c>
      <c r="I8" s="11"/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1.75" customHeight="1" x14ac:dyDescent="0.15">
      <c r="A9" s="246" t="s">
        <v>4</v>
      </c>
      <c r="B9" s="246" t="s">
        <v>5</v>
      </c>
      <c r="C9" s="247" t="s">
        <v>6</v>
      </c>
      <c r="D9" s="12"/>
      <c r="E9" s="12"/>
      <c r="F9" s="12"/>
      <c r="G9" s="12"/>
      <c r="H9" s="12"/>
      <c r="I9" s="240" t="s">
        <v>7</v>
      </c>
      <c r="J9" s="235" t="s">
        <v>8</v>
      </c>
      <c r="K9" s="237" t="s">
        <v>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0" customHeight="1" x14ac:dyDescent="0.2">
      <c r="A10" s="239"/>
      <c r="B10" s="239"/>
      <c r="C10" s="239"/>
      <c r="D10" s="13" t="s">
        <v>10</v>
      </c>
      <c r="E10" s="13" t="s">
        <v>11</v>
      </c>
      <c r="F10" s="13" t="s">
        <v>12</v>
      </c>
      <c r="G10" s="14" t="s">
        <v>13</v>
      </c>
      <c r="H10" s="13" t="s">
        <v>14</v>
      </c>
      <c r="I10" s="236"/>
      <c r="J10" s="236"/>
      <c r="K10" s="23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4.75" customHeight="1" x14ac:dyDescent="0.15">
      <c r="A11" s="15">
        <v>1</v>
      </c>
      <c r="B11" s="13">
        <v>511523104001</v>
      </c>
      <c r="C11" s="16" t="s">
        <v>15</v>
      </c>
      <c r="D11" s="17">
        <v>54</v>
      </c>
      <c r="E11" s="18">
        <v>80</v>
      </c>
      <c r="F11" s="19"/>
      <c r="G11" s="19"/>
      <c r="H11" s="20"/>
      <c r="I11" s="21">
        <f t="shared" ref="I11:I70" si="0">SUM(D11:H11)</f>
        <v>134</v>
      </c>
      <c r="J11" s="21">
        <f t="shared" ref="J11:J70" si="1">COUNTIF(D11:H11,"&lt;=49")</f>
        <v>0</v>
      </c>
      <c r="K11" s="21">
        <f>COUNTIF(C11:I11,"AB")</f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4.75" customHeight="1" x14ac:dyDescent="0.15">
      <c r="A12" s="15">
        <v>2</v>
      </c>
      <c r="B12" s="13">
        <v>511523104002</v>
      </c>
      <c r="C12" s="22" t="s">
        <v>16</v>
      </c>
      <c r="D12" s="23">
        <v>64</v>
      </c>
      <c r="E12" s="18">
        <v>94</v>
      </c>
      <c r="F12" s="19"/>
      <c r="G12" s="20"/>
      <c r="H12" s="20"/>
      <c r="I12" s="21">
        <f t="shared" si="0"/>
        <v>158</v>
      </c>
      <c r="J12" s="21">
        <f t="shared" si="1"/>
        <v>0</v>
      </c>
      <c r="K12" s="21">
        <f t="shared" ref="K12:K70" si="2">COUNTIF(E12:I12,"AB")</f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4.75" customHeight="1" x14ac:dyDescent="0.15">
      <c r="A13" s="15">
        <v>3</v>
      </c>
      <c r="B13" s="13">
        <v>511523104003</v>
      </c>
      <c r="C13" s="22" t="s">
        <v>17</v>
      </c>
      <c r="D13" s="23">
        <v>50</v>
      </c>
      <c r="E13" s="18">
        <v>76</v>
      </c>
      <c r="F13" s="19"/>
      <c r="G13" s="19"/>
      <c r="H13" s="20"/>
      <c r="I13" s="21">
        <f t="shared" si="0"/>
        <v>126</v>
      </c>
      <c r="J13" s="21">
        <f t="shared" si="1"/>
        <v>0</v>
      </c>
      <c r="K13" s="21">
        <f t="shared" si="2"/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4.75" customHeight="1" x14ac:dyDescent="0.15">
      <c r="A14" s="15">
        <v>4</v>
      </c>
      <c r="B14" s="13">
        <v>511523104004</v>
      </c>
      <c r="C14" s="22" t="s">
        <v>18</v>
      </c>
      <c r="D14" s="23">
        <v>34</v>
      </c>
      <c r="E14" s="18">
        <v>56</v>
      </c>
      <c r="F14" s="19"/>
      <c r="G14" s="19"/>
      <c r="H14" s="20"/>
      <c r="I14" s="21">
        <f t="shared" si="0"/>
        <v>90</v>
      </c>
      <c r="J14" s="21">
        <f t="shared" si="1"/>
        <v>1</v>
      </c>
      <c r="K14" s="21">
        <f t="shared" si="2"/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4.75" customHeight="1" x14ac:dyDescent="0.15">
      <c r="A15" s="15">
        <v>5</v>
      </c>
      <c r="B15" s="13">
        <v>511523104005</v>
      </c>
      <c r="C15" s="22" t="s">
        <v>19</v>
      </c>
      <c r="D15" s="23">
        <v>8</v>
      </c>
      <c r="E15" s="18">
        <v>36</v>
      </c>
      <c r="F15" s="19"/>
      <c r="G15" s="20"/>
      <c r="H15" s="20"/>
      <c r="I15" s="21">
        <f t="shared" si="0"/>
        <v>44</v>
      </c>
      <c r="J15" s="21">
        <f t="shared" si="1"/>
        <v>2</v>
      </c>
      <c r="K15" s="21">
        <f t="shared" si="2"/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4.75" customHeight="1" x14ac:dyDescent="0.15">
      <c r="A16" s="15">
        <v>6</v>
      </c>
      <c r="B16" s="13">
        <v>511523104006</v>
      </c>
      <c r="C16" s="22" t="s">
        <v>20</v>
      </c>
      <c r="D16" s="23">
        <v>58</v>
      </c>
      <c r="E16" s="18">
        <v>76</v>
      </c>
      <c r="F16" s="19"/>
      <c r="G16" s="20"/>
      <c r="H16" s="20"/>
      <c r="I16" s="21">
        <f t="shared" si="0"/>
        <v>134</v>
      </c>
      <c r="J16" s="21">
        <f t="shared" si="1"/>
        <v>0</v>
      </c>
      <c r="K16" s="21">
        <f t="shared" si="2"/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4.75" customHeight="1" x14ac:dyDescent="0.15">
      <c r="A17" s="15">
        <v>7</v>
      </c>
      <c r="B17" s="13">
        <v>511523104007</v>
      </c>
      <c r="C17" s="22" t="s">
        <v>21</v>
      </c>
      <c r="D17" s="23">
        <v>54</v>
      </c>
      <c r="E17" s="18">
        <v>78</v>
      </c>
      <c r="F17" s="19"/>
      <c r="G17" s="20"/>
      <c r="H17" s="20"/>
      <c r="I17" s="21">
        <f t="shared" si="0"/>
        <v>132</v>
      </c>
      <c r="J17" s="21">
        <f t="shared" si="1"/>
        <v>0</v>
      </c>
      <c r="K17" s="21">
        <f t="shared" si="2"/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.75" customHeight="1" x14ac:dyDescent="0.15">
      <c r="A18" s="15">
        <v>8</v>
      </c>
      <c r="B18" s="13">
        <v>511523104008</v>
      </c>
      <c r="C18" s="22" t="s">
        <v>22</v>
      </c>
      <c r="D18" s="23">
        <v>2</v>
      </c>
      <c r="E18" s="18">
        <v>34</v>
      </c>
      <c r="F18" s="19"/>
      <c r="G18" s="19"/>
      <c r="H18" s="19"/>
      <c r="I18" s="21">
        <f t="shared" si="0"/>
        <v>36</v>
      </c>
      <c r="J18" s="21">
        <f t="shared" si="1"/>
        <v>2</v>
      </c>
      <c r="K18" s="21">
        <f t="shared" si="2"/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4.75" customHeight="1" x14ac:dyDescent="0.15">
      <c r="A19" s="15">
        <v>9</v>
      </c>
      <c r="B19" s="13">
        <v>511523104010</v>
      </c>
      <c r="C19" s="22" t="s">
        <v>23</v>
      </c>
      <c r="D19" s="23">
        <v>40</v>
      </c>
      <c r="E19" s="18">
        <v>36</v>
      </c>
      <c r="F19" s="19"/>
      <c r="G19" s="19"/>
      <c r="H19" s="20"/>
      <c r="I19" s="21">
        <f t="shared" si="0"/>
        <v>76</v>
      </c>
      <c r="J19" s="21">
        <f t="shared" si="1"/>
        <v>2</v>
      </c>
      <c r="K19" s="21">
        <f t="shared" si="2"/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4.75" customHeight="1" x14ac:dyDescent="0.15">
      <c r="A20" s="15">
        <v>10</v>
      </c>
      <c r="B20" s="13">
        <v>511523104012</v>
      </c>
      <c r="C20" s="22" t="s">
        <v>24</v>
      </c>
      <c r="D20" s="23">
        <v>76</v>
      </c>
      <c r="E20" s="18">
        <v>84</v>
      </c>
      <c r="F20" s="19"/>
      <c r="G20" s="19"/>
      <c r="H20" s="20"/>
      <c r="I20" s="21">
        <f t="shared" si="0"/>
        <v>160</v>
      </c>
      <c r="J20" s="21">
        <f t="shared" si="1"/>
        <v>0</v>
      </c>
      <c r="K20" s="21">
        <f t="shared" si="2"/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4.75" customHeight="1" x14ac:dyDescent="0.15">
      <c r="A21" s="15">
        <v>11</v>
      </c>
      <c r="B21" s="13">
        <v>511523104013</v>
      </c>
      <c r="C21" s="22" t="s">
        <v>25</v>
      </c>
      <c r="D21" s="23">
        <v>20</v>
      </c>
      <c r="E21" s="18">
        <v>44</v>
      </c>
      <c r="F21" s="19"/>
      <c r="G21" s="19"/>
      <c r="H21" s="20"/>
      <c r="I21" s="21">
        <f t="shared" si="0"/>
        <v>64</v>
      </c>
      <c r="J21" s="21">
        <f t="shared" si="1"/>
        <v>2</v>
      </c>
      <c r="K21" s="21">
        <f t="shared" si="2"/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4.75" customHeight="1" x14ac:dyDescent="0.15">
      <c r="A22" s="15">
        <v>12</v>
      </c>
      <c r="B22" s="13">
        <v>511523104014</v>
      </c>
      <c r="C22" s="22" t="s">
        <v>26</v>
      </c>
      <c r="D22" s="23">
        <v>18</v>
      </c>
      <c r="E22" s="18">
        <v>50</v>
      </c>
      <c r="F22" s="19"/>
      <c r="G22" s="19"/>
      <c r="H22" s="19"/>
      <c r="I22" s="21">
        <f t="shared" si="0"/>
        <v>68</v>
      </c>
      <c r="J22" s="21">
        <f t="shared" si="1"/>
        <v>1</v>
      </c>
      <c r="K22" s="21">
        <f t="shared" si="2"/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4.75" customHeight="1" x14ac:dyDescent="0.15">
      <c r="A23" s="15">
        <v>13</v>
      </c>
      <c r="B23" s="13">
        <v>511523104015</v>
      </c>
      <c r="C23" s="22" t="s">
        <v>27</v>
      </c>
      <c r="D23" s="23">
        <v>50</v>
      </c>
      <c r="E23" s="18">
        <v>52</v>
      </c>
      <c r="F23" s="19"/>
      <c r="G23" s="19"/>
      <c r="H23" s="19"/>
      <c r="I23" s="21">
        <f t="shared" si="0"/>
        <v>102</v>
      </c>
      <c r="J23" s="21">
        <f t="shared" si="1"/>
        <v>0</v>
      </c>
      <c r="K23" s="21">
        <f t="shared" si="2"/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4.75" customHeight="1" x14ac:dyDescent="0.15">
      <c r="A24" s="15">
        <v>14</v>
      </c>
      <c r="B24" s="13">
        <v>511523104016</v>
      </c>
      <c r="C24" s="22" t="s">
        <v>28</v>
      </c>
      <c r="D24" s="23">
        <v>58</v>
      </c>
      <c r="E24" s="18">
        <v>70</v>
      </c>
      <c r="F24" s="19"/>
      <c r="G24" s="19"/>
      <c r="H24" s="19"/>
      <c r="I24" s="21">
        <f t="shared" si="0"/>
        <v>128</v>
      </c>
      <c r="J24" s="21">
        <f t="shared" si="1"/>
        <v>0</v>
      </c>
      <c r="K24" s="21">
        <f t="shared" si="2"/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4.75" customHeight="1" x14ac:dyDescent="0.15">
      <c r="A25" s="15">
        <v>15</v>
      </c>
      <c r="B25" s="13">
        <v>511523104017</v>
      </c>
      <c r="C25" s="22" t="s">
        <v>29</v>
      </c>
      <c r="D25" s="23">
        <v>2</v>
      </c>
      <c r="E25" s="18">
        <v>0</v>
      </c>
      <c r="F25" s="19"/>
      <c r="G25" s="19"/>
      <c r="H25" s="19"/>
      <c r="I25" s="21">
        <f t="shared" si="0"/>
        <v>2</v>
      </c>
      <c r="J25" s="21">
        <f t="shared" si="1"/>
        <v>2</v>
      </c>
      <c r="K25" s="21">
        <f t="shared" si="2"/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4.75" customHeight="1" x14ac:dyDescent="0.15">
      <c r="A26" s="15">
        <v>16</v>
      </c>
      <c r="B26" s="13">
        <v>511523104018</v>
      </c>
      <c r="C26" s="22" t="s">
        <v>30</v>
      </c>
      <c r="D26" s="23">
        <v>66</v>
      </c>
      <c r="E26" s="18">
        <v>58</v>
      </c>
      <c r="F26" s="19"/>
      <c r="G26" s="19"/>
      <c r="H26" s="19"/>
      <c r="I26" s="21">
        <f t="shared" si="0"/>
        <v>124</v>
      </c>
      <c r="J26" s="21">
        <f t="shared" si="1"/>
        <v>0</v>
      </c>
      <c r="K26" s="21">
        <f t="shared" si="2"/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4.75" customHeight="1" x14ac:dyDescent="0.15">
      <c r="A27" s="15">
        <v>17</v>
      </c>
      <c r="B27" s="13">
        <v>511523104019</v>
      </c>
      <c r="C27" s="22" t="s">
        <v>31</v>
      </c>
      <c r="D27" s="23">
        <v>36</v>
      </c>
      <c r="E27" s="18">
        <v>50</v>
      </c>
      <c r="F27" s="19"/>
      <c r="G27" s="19"/>
      <c r="H27" s="19"/>
      <c r="I27" s="21">
        <f t="shared" si="0"/>
        <v>86</v>
      </c>
      <c r="J27" s="21">
        <f t="shared" si="1"/>
        <v>1</v>
      </c>
      <c r="K27" s="21">
        <f t="shared" si="2"/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4.75" customHeight="1" x14ac:dyDescent="0.15">
      <c r="A28" s="24">
        <v>18</v>
      </c>
      <c r="B28" s="25">
        <v>511523104020</v>
      </c>
      <c r="C28" s="26" t="s">
        <v>32</v>
      </c>
      <c r="D28" s="27">
        <v>78</v>
      </c>
      <c r="E28" s="28">
        <v>86</v>
      </c>
      <c r="F28" s="29"/>
      <c r="G28" s="29"/>
      <c r="H28" s="30"/>
      <c r="I28" s="21">
        <f t="shared" si="0"/>
        <v>164</v>
      </c>
      <c r="J28" s="21">
        <f t="shared" si="1"/>
        <v>0</v>
      </c>
      <c r="K28" s="21">
        <f t="shared" si="2"/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.75" customHeight="1" x14ac:dyDescent="0.15">
      <c r="A29" s="15">
        <v>19</v>
      </c>
      <c r="B29" s="13">
        <v>511523104021</v>
      </c>
      <c r="C29" s="22" t="s">
        <v>33</v>
      </c>
      <c r="D29" s="23">
        <v>58</v>
      </c>
      <c r="E29" s="18">
        <v>72</v>
      </c>
      <c r="F29" s="19"/>
      <c r="G29" s="19"/>
      <c r="H29" s="20"/>
      <c r="I29" s="21">
        <f t="shared" si="0"/>
        <v>130</v>
      </c>
      <c r="J29" s="21">
        <f t="shared" si="1"/>
        <v>0</v>
      </c>
      <c r="K29" s="21">
        <f t="shared" si="2"/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.75" customHeight="1" x14ac:dyDescent="0.15">
      <c r="A30" s="15">
        <v>20</v>
      </c>
      <c r="B30" s="13">
        <v>511523104022</v>
      </c>
      <c r="C30" s="22" t="s">
        <v>34</v>
      </c>
      <c r="D30" s="23">
        <v>46</v>
      </c>
      <c r="E30" s="18">
        <v>42</v>
      </c>
      <c r="F30" s="19"/>
      <c r="G30" s="19"/>
      <c r="H30" s="19"/>
      <c r="I30" s="21">
        <f t="shared" si="0"/>
        <v>88</v>
      </c>
      <c r="J30" s="21">
        <f t="shared" si="1"/>
        <v>2</v>
      </c>
      <c r="K30" s="21">
        <f t="shared" si="2"/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.75" customHeight="1" x14ac:dyDescent="0.15">
      <c r="A31" s="15">
        <v>21</v>
      </c>
      <c r="B31" s="13">
        <v>511523104023</v>
      </c>
      <c r="C31" s="22" t="s">
        <v>35</v>
      </c>
      <c r="D31" s="23">
        <v>32</v>
      </c>
      <c r="E31" s="18">
        <v>50</v>
      </c>
      <c r="F31" s="19"/>
      <c r="G31" s="19"/>
      <c r="H31" s="19"/>
      <c r="I31" s="21">
        <f t="shared" si="0"/>
        <v>82</v>
      </c>
      <c r="J31" s="21">
        <f t="shared" si="1"/>
        <v>1</v>
      </c>
      <c r="K31" s="21">
        <f t="shared" si="2"/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4.75" customHeight="1" x14ac:dyDescent="0.15">
      <c r="A32" s="15">
        <v>22</v>
      </c>
      <c r="B32" s="13">
        <v>511523104024</v>
      </c>
      <c r="C32" s="22" t="s">
        <v>36</v>
      </c>
      <c r="D32" s="23">
        <v>52</v>
      </c>
      <c r="E32" s="18">
        <v>66</v>
      </c>
      <c r="F32" s="19"/>
      <c r="G32" s="19"/>
      <c r="H32" s="20"/>
      <c r="I32" s="21">
        <f t="shared" si="0"/>
        <v>118</v>
      </c>
      <c r="J32" s="21">
        <f t="shared" si="1"/>
        <v>0</v>
      </c>
      <c r="K32" s="21">
        <f t="shared" si="2"/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4.75" customHeight="1" x14ac:dyDescent="0.15">
      <c r="A33" s="15">
        <v>23</v>
      </c>
      <c r="B33" s="13">
        <v>511523104025</v>
      </c>
      <c r="C33" s="22" t="s">
        <v>37</v>
      </c>
      <c r="D33" s="23">
        <v>50</v>
      </c>
      <c r="E33" s="18">
        <v>42</v>
      </c>
      <c r="F33" s="19"/>
      <c r="G33" s="19"/>
      <c r="H33" s="20"/>
      <c r="I33" s="21">
        <f t="shared" si="0"/>
        <v>92</v>
      </c>
      <c r="J33" s="21">
        <f t="shared" si="1"/>
        <v>1</v>
      </c>
      <c r="K33" s="21">
        <f t="shared" si="2"/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4.75" customHeight="1" x14ac:dyDescent="0.15">
      <c r="A34" s="15">
        <v>24</v>
      </c>
      <c r="B34" s="13">
        <v>511523104026</v>
      </c>
      <c r="C34" s="22" t="s">
        <v>38</v>
      </c>
      <c r="D34" s="23">
        <v>72</v>
      </c>
      <c r="E34" s="18">
        <v>74</v>
      </c>
      <c r="F34" s="19"/>
      <c r="G34" s="19"/>
      <c r="H34" s="19"/>
      <c r="I34" s="21">
        <f t="shared" si="0"/>
        <v>146</v>
      </c>
      <c r="J34" s="21">
        <f t="shared" si="1"/>
        <v>0</v>
      </c>
      <c r="K34" s="21">
        <f t="shared" si="2"/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4.75" customHeight="1" x14ac:dyDescent="0.15">
      <c r="A35" s="15">
        <v>25</v>
      </c>
      <c r="B35" s="13">
        <v>511523104027</v>
      </c>
      <c r="C35" s="22" t="s">
        <v>39</v>
      </c>
      <c r="D35" s="23">
        <v>32</v>
      </c>
      <c r="E35" s="18">
        <v>42</v>
      </c>
      <c r="F35" s="19"/>
      <c r="G35" s="19"/>
      <c r="H35" s="20"/>
      <c r="I35" s="21">
        <f t="shared" si="0"/>
        <v>74</v>
      </c>
      <c r="J35" s="21">
        <f t="shared" si="1"/>
        <v>2</v>
      </c>
      <c r="K35" s="21">
        <f t="shared" si="2"/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4.75" customHeight="1" x14ac:dyDescent="0.15">
      <c r="A36" s="15">
        <v>26</v>
      </c>
      <c r="B36" s="13">
        <v>511523104028</v>
      </c>
      <c r="C36" s="22" t="s">
        <v>40</v>
      </c>
      <c r="D36" s="23">
        <v>0</v>
      </c>
      <c r="E36" s="18">
        <v>34</v>
      </c>
      <c r="F36" s="19"/>
      <c r="G36" s="19"/>
      <c r="H36" s="19"/>
      <c r="I36" s="21">
        <f t="shared" si="0"/>
        <v>34</v>
      </c>
      <c r="J36" s="21">
        <f t="shared" si="1"/>
        <v>2</v>
      </c>
      <c r="K36" s="21">
        <f t="shared" si="2"/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4.75" customHeight="1" x14ac:dyDescent="0.15">
      <c r="A37" s="15">
        <v>27</v>
      </c>
      <c r="B37" s="13">
        <v>511523104029</v>
      </c>
      <c r="C37" s="22" t="s">
        <v>41</v>
      </c>
      <c r="D37" s="23">
        <v>40</v>
      </c>
      <c r="E37" s="18">
        <v>40</v>
      </c>
      <c r="F37" s="19"/>
      <c r="G37" s="19"/>
      <c r="H37" s="19"/>
      <c r="I37" s="21">
        <f t="shared" si="0"/>
        <v>80</v>
      </c>
      <c r="J37" s="21">
        <f t="shared" si="1"/>
        <v>2</v>
      </c>
      <c r="K37" s="21">
        <f t="shared" si="2"/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4.75" customHeight="1" x14ac:dyDescent="0.15">
      <c r="A38" s="15">
        <v>28</v>
      </c>
      <c r="B38" s="13">
        <v>511523104030</v>
      </c>
      <c r="C38" s="22" t="s">
        <v>42</v>
      </c>
      <c r="D38" s="23">
        <v>52</v>
      </c>
      <c r="E38" s="18">
        <v>54</v>
      </c>
      <c r="F38" s="19"/>
      <c r="G38" s="19"/>
      <c r="H38" s="20"/>
      <c r="I38" s="21">
        <f t="shared" si="0"/>
        <v>106</v>
      </c>
      <c r="J38" s="21">
        <f t="shared" si="1"/>
        <v>0</v>
      </c>
      <c r="K38" s="21">
        <f t="shared" si="2"/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4.75" customHeight="1" x14ac:dyDescent="0.15">
      <c r="A39" s="15">
        <v>29</v>
      </c>
      <c r="B39" s="13">
        <v>511523104031</v>
      </c>
      <c r="C39" s="22" t="s">
        <v>43</v>
      </c>
      <c r="D39" s="23">
        <v>4</v>
      </c>
      <c r="E39" s="18">
        <v>18</v>
      </c>
      <c r="F39" s="19"/>
      <c r="G39" s="19"/>
      <c r="H39" s="19"/>
      <c r="I39" s="21">
        <f t="shared" si="0"/>
        <v>22</v>
      </c>
      <c r="J39" s="21">
        <f t="shared" si="1"/>
        <v>2</v>
      </c>
      <c r="K39" s="21">
        <f t="shared" si="2"/>
        <v>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4.75" customHeight="1" x14ac:dyDescent="0.15">
      <c r="A40" s="15">
        <v>30</v>
      </c>
      <c r="B40" s="13">
        <v>511523104032</v>
      </c>
      <c r="C40" s="22" t="s">
        <v>44</v>
      </c>
      <c r="D40" s="23">
        <v>50</v>
      </c>
      <c r="E40" s="18">
        <v>50</v>
      </c>
      <c r="F40" s="19"/>
      <c r="G40" s="19"/>
      <c r="H40" s="20"/>
      <c r="I40" s="21">
        <f t="shared" si="0"/>
        <v>100</v>
      </c>
      <c r="J40" s="21">
        <f t="shared" si="1"/>
        <v>0</v>
      </c>
      <c r="K40" s="21">
        <f t="shared" si="2"/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4.75" customHeight="1" x14ac:dyDescent="0.15">
      <c r="A41" s="15">
        <v>31</v>
      </c>
      <c r="B41" s="13">
        <v>511523104033</v>
      </c>
      <c r="C41" s="22" t="s">
        <v>45</v>
      </c>
      <c r="D41" s="23">
        <v>58</v>
      </c>
      <c r="E41" s="18">
        <v>68</v>
      </c>
      <c r="F41" s="19"/>
      <c r="G41" s="19"/>
      <c r="H41" s="19"/>
      <c r="I41" s="21">
        <f t="shared" si="0"/>
        <v>126</v>
      </c>
      <c r="J41" s="21">
        <f t="shared" si="1"/>
        <v>0</v>
      </c>
      <c r="K41" s="21">
        <f t="shared" si="2"/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4.75" customHeight="1" x14ac:dyDescent="0.15">
      <c r="A42" s="15">
        <v>32</v>
      </c>
      <c r="B42" s="13">
        <v>511523104034</v>
      </c>
      <c r="C42" s="22" t="s">
        <v>46</v>
      </c>
      <c r="D42" s="23">
        <v>54</v>
      </c>
      <c r="E42" s="18">
        <v>74</v>
      </c>
      <c r="F42" s="19"/>
      <c r="G42" s="19"/>
      <c r="H42" s="19"/>
      <c r="I42" s="21">
        <f t="shared" si="0"/>
        <v>128</v>
      </c>
      <c r="J42" s="21">
        <f t="shared" si="1"/>
        <v>0</v>
      </c>
      <c r="K42" s="21">
        <f t="shared" si="2"/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4.75" customHeight="1" x14ac:dyDescent="0.15">
      <c r="A43" s="15">
        <v>33</v>
      </c>
      <c r="B43" s="13">
        <v>511523104037</v>
      </c>
      <c r="C43" s="22" t="s">
        <v>47</v>
      </c>
      <c r="D43" s="23">
        <v>80</v>
      </c>
      <c r="E43" s="18">
        <v>88</v>
      </c>
      <c r="F43" s="19"/>
      <c r="G43" s="19"/>
      <c r="H43" s="19"/>
      <c r="I43" s="21">
        <f t="shared" si="0"/>
        <v>168</v>
      </c>
      <c r="J43" s="21">
        <f t="shared" si="1"/>
        <v>0</v>
      </c>
      <c r="K43" s="21">
        <f t="shared" si="2"/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4.75" customHeight="1" x14ac:dyDescent="0.15">
      <c r="A44" s="15">
        <v>34</v>
      </c>
      <c r="B44" s="13">
        <v>511523104038</v>
      </c>
      <c r="C44" s="22" t="s">
        <v>48</v>
      </c>
      <c r="D44" s="23">
        <v>20</v>
      </c>
      <c r="E44" s="18">
        <v>52</v>
      </c>
      <c r="F44" s="19"/>
      <c r="G44" s="19"/>
      <c r="H44" s="20"/>
      <c r="I44" s="21">
        <f t="shared" si="0"/>
        <v>72</v>
      </c>
      <c r="J44" s="21">
        <f t="shared" si="1"/>
        <v>1</v>
      </c>
      <c r="K44" s="21">
        <f t="shared" si="2"/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4.75" customHeight="1" x14ac:dyDescent="0.15">
      <c r="A45" s="15">
        <v>35</v>
      </c>
      <c r="B45" s="13">
        <v>511523104039</v>
      </c>
      <c r="C45" s="22" t="s">
        <v>49</v>
      </c>
      <c r="D45" s="23">
        <v>50</v>
      </c>
      <c r="E45" s="18">
        <v>56</v>
      </c>
      <c r="F45" s="19"/>
      <c r="G45" s="19"/>
      <c r="H45" s="20"/>
      <c r="I45" s="21">
        <f t="shared" si="0"/>
        <v>106</v>
      </c>
      <c r="J45" s="21">
        <f t="shared" si="1"/>
        <v>0</v>
      </c>
      <c r="K45" s="21">
        <f t="shared" si="2"/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4.75" customHeight="1" x14ac:dyDescent="0.15">
      <c r="A46" s="15">
        <v>36</v>
      </c>
      <c r="B46" s="13">
        <v>511523104040</v>
      </c>
      <c r="C46" s="22" t="s">
        <v>50</v>
      </c>
      <c r="D46" s="23">
        <v>30</v>
      </c>
      <c r="E46" s="18">
        <v>20</v>
      </c>
      <c r="F46" s="19"/>
      <c r="G46" s="19"/>
      <c r="H46" s="19"/>
      <c r="I46" s="21">
        <f t="shared" si="0"/>
        <v>50</v>
      </c>
      <c r="J46" s="21">
        <f t="shared" si="1"/>
        <v>2</v>
      </c>
      <c r="K46" s="21">
        <f t="shared" si="2"/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4.75" customHeight="1" x14ac:dyDescent="0.15">
      <c r="A47" s="15">
        <v>37</v>
      </c>
      <c r="B47" s="13">
        <v>511523104041</v>
      </c>
      <c r="C47" s="22" t="s">
        <v>51</v>
      </c>
      <c r="D47" s="23" t="s">
        <v>52</v>
      </c>
      <c r="E47" s="18" t="s">
        <v>52</v>
      </c>
      <c r="F47" s="19"/>
      <c r="G47" s="19"/>
      <c r="H47" s="19"/>
      <c r="I47" s="21">
        <f t="shared" si="0"/>
        <v>0</v>
      </c>
      <c r="J47" s="21">
        <f t="shared" si="1"/>
        <v>0</v>
      </c>
      <c r="K47" s="21">
        <f t="shared" si="2"/>
        <v>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4.75" customHeight="1" x14ac:dyDescent="0.15">
      <c r="A48" s="15">
        <v>38</v>
      </c>
      <c r="B48" s="13">
        <v>511523104042</v>
      </c>
      <c r="C48" s="22" t="s">
        <v>53</v>
      </c>
      <c r="D48" s="23">
        <v>14</v>
      </c>
      <c r="E48" s="18">
        <v>16</v>
      </c>
      <c r="F48" s="19"/>
      <c r="G48" s="19"/>
      <c r="H48" s="20"/>
      <c r="I48" s="21">
        <f t="shared" si="0"/>
        <v>30</v>
      </c>
      <c r="J48" s="21">
        <f t="shared" si="1"/>
        <v>2</v>
      </c>
      <c r="K48" s="21">
        <f t="shared" si="2"/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4.75" customHeight="1" x14ac:dyDescent="0.15">
      <c r="A49" s="15">
        <v>39</v>
      </c>
      <c r="B49" s="13">
        <v>511523104043</v>
      </c>
      <c r="C49" s="22" t="s">
        <v>54</v>
      </c>
      <c r="D49" s="23">
        <v>4</v>
      </c>
      <c r="E49" s="18">
        <v>4</v>
      </c>
      <c r="F49" s="19"/>
      <c r="G49" s="19"/>
      <c r="H49" s="19"/>
      <c r="I49" s="21">
        <f t="shared" si="0"/>
        <v>8</v>
      </c>
      <c r="J49" s="21">
        <f t="shared" si="1"/>
        <v>2</v>
      </c>
      <c r="K49" s="21">
        <f t="shared" si="2"/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4.75" customHeight="1" x14ac:dyDescent="0.2">
      <c r="A50" s="15">
        <v>40</v>
      </c>
      <c r="B50" s="13">
        <v>511523104044</v>
      </c>
      <c r="C50" s="22" t="s">
        <v>55</v>
      </c>
      <c r="D50" s="23">
        <v>4</v>
      </c>
      <c r="E50" s="18">
        <v>8</v>
      </c>
      <c r="F50" s="19"/>
      <c r="G50" s="19"/>
      <c r="H50" s="19"/>
      <c r="I50" s="21">
        <f t="shared" si="0"/>
        <v>12</v>
      </c>
      <c r="J50" s="21">
        <f t="shared" si="1"/>
        <v>2</v>
      </c>
      <c r="K50" s="21">
        <f t="shared" si="2"/>
        <v>0</v>
      </c>
      <c r="L50" s="2"/>
      <c r="M50" s="31"/>
      <c r="N50" s="31"/>
      <c r="O50" s="31"/>
      <c r="P50" s="31"/>
      <c r="Q50" s="31"/>
      <c r="R50" s="31"/>
      <c r="S50" s="2"/>
      <c r="T50" s="2"/>
      <c r="U50" s="2"/>
      <c r="V50" s="2"/>
      <c r="W50" s="2"/>
      <c r="X50" s="2"/>
      <c r="Y50" s="2"/>
    </row>
    <row r="51" spans="1:25" ht="24.75" customHeight="1" x14ac:dyDescent="0.2">
      <c r="A51" s="15">
        <v>41</v>
      </c>
      <c r="B51" s="13">
        <v>511523104045</v>
      </c>
      <c r="C51" s="22" t="s">
        <v>56</v>
      </c>
      <c r="D51" s="23">
        <v>16</v>
      </c>
      <c r="E51" s="18">
        <v>10</v>
      </c>
      <c r="F51" s="19"/>
      <c r="G51" s="19"/>
      <c r="H51" s="19"/>
      <c r="I51" s="21">
        <f t="shared" si="0"/>
        <v>26</v>
      </c>
      <c r="J51" s="21">
        <f t="shared" si="1"/>
        <v>2</v>
      </c>
      <c r="K51" s="21">
        <f t="shared" si="2"/>
        <v>0</v>
      </c>
      <c r="L51" s="2"/>
      <c r="M51" s="32"/>
      <c r="N51" s="32"/>
      <c r="O51" s="32"/>
      <c r="P51" s="32"/>
      <c r="Q51" s="32"/>
      <c r="R51" s="32"/>
      <c r="S51" s="2"/>
      <c r="T51" s="2"/>
      <c r="U51" s="2"/>
      <c r="V51" s="2"/>
      <c r="W51" s="2"/>
      <c r="X51" s="2"/>
      <c r="Y51" s="2"/>
    </row>
    <row r="52" spans="1:25" ht="24.75" customHeight="1" x14ac:dyDescent="0.2">
      <c r="A52" s="15">
        <v>42</v>
      </c>
      <c r="B52" s="13">
        <v>511523104046</v>
      </c>
      <c r="C52" s="22" t="s">
        <v>57</v>
      </c>
      <c r="D52" s="23">
        <v>56</v>
      </c>
      <c r="E52" s="18">
        <v>58</v>
      </c>
      <c r="F52" s="19"/>
      <c r="G52" s="19"/>
      <c r="H52" s="19"/>
      <c r="I52" s="21">
        <f t="shared" si="0"/>
        <v>114</v>
      </c>
      <c r="J52" s="21">
        <f t="shared" si="1"/>
        <v>0</v>
      </c>
      <c r="K52" s="21">
        <f t="shared" si="2"/>
        <v>0</v>
      </c>
      <c r="L52" s="3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4.75" customHeight="1" x14ac:dyDescent="0.2">
      <c r="A53" s="15">
        <v>43</v>
      </c>
      <c r="B53" s="13">
        <v>511523104047</v>
      </c>
      <c r="C53" s="22" t="s">
        <v>58</v>
      </c>
      <c r="D53" s="23">
        <v>66</v>
      </c>
      <c r="E53" s="18">
        <v>68</v>
      </c>
      <c r="F53" s="19"/>
      <c r="G53" s="19"/>
      <c r="H53" s="19"/>
      <c r="I53" s="21">
        <f t="shared" si="0"/>
        <v>134</v>
      </c>
      <c r="J53" s="21">
        <f t="shared" si="1"/>
        <v>0</v>
      </c>
      <c r="K53" s="21">
        <f t="shared" si="2"/>
        <v>0</v>
      </c>
      <c r="L53" s="3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4.75" customHeight="1" x14ac:dyDescent="0.2">
      <c r="A54" s="15">
        <v>44</v>
      </c>
      <c r="B54" s="13">
        <v>511523104048</v>
      </c>
      <c r="C54" s="22" t="s">
        <v>59</v>
      </c>
      <c r="D54" s="23">
        <v>36</v>
      </c>
      <c r="E54" s="18">
        <v>14</v>
      </c>
      <c r="F54" s="19"/>
      <c r="G54" s="19"/>
      <c r="H54" s="19"/>
      <c r="I54" s="21">
        <f t="shared" si="0"/>
        <v>50</v>
      </c>
      <c r="J54" s="21">
        <f t="shared" si="1"/>
        <v>2</v>
      </c>
      <c r="K54" s="21">
        <f t="shared" si="2"/>
        <v>0</v>
      </c>
      <c r="L54" s="3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4.75" customHeight="1" x14ac:dyDescent="0.2">
      <c r="A55" s="15">
        <v>45</v>
      </c>
      <c r="B55" s="13">
        <v>511523104049</v>
      </c>
      <c r="C55" s="22" t="s">
        <v>60</v>
      </c>
      <c r="D55" s="23">
        <v>0</v>
      </c>
      <c r="E55" s="18">
        <v>10</v>
      </c>
      <c r="F55" s="19"/>
      <c r="G55" s="19"/>
      <c r="H55" s="19"/>
      <c r="I55" s="21">
        <f t="shared" si="0"/>
        <v>10</v>
      </c>
      <c r="J55" s="21">
        <f t="shared" si="1"/>
        <v>2</v>
      </c>
      <c r="K55" s="21">
        <f t="shared" si="2"/>
        <v>0</v>
      </c>
      <c r="L55" s="3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4.75" customHeight="1" x14ac:dyDescent="0.2">
      <c r="A56" s="15">
        <v>46</v>
      </c>
      <c r="B56" s="13">
        <v>511523104050</v>
      </c>
      <c r="C56" s="22" t="s">
        <v>61</v>
      </c>
      <c r="D56" s="23">
        <v>16</v>
      </c>
      <c r="E56" s="18">
        <v>22</v>
      </c>
      <c r="F56" s="19"/>
      <c r="G56" s="19"/>
      <c r="H56" s="19"/>
      <c r="I56" s="21">
        <f t="shared" si="0"/>
        <v>38</v>
      </c>
      <c r="J56" s="21">
        <f t="shared" si="1"/>
        <v>2</v>
      </c>
      <c r="K56" s="21">
        <f t="shared" si="2"/>
        <v>0</v>
      </c>
      <c r="L56" s="3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4.75" customHeight="1" x14ac:dyDescent="0.2">
      <c r="A57" s="15">
        <v>47</v>
      </c>
      <c r="B57" s="13">
        <v>511523104051</v>
      </c>
      <c r="C57" s="22" t="s">
        <v>62</v>
      </c>
      <c r="D57" s="23">
        <v>44</v>
      </c>
      <c r="E57" s="18">
        <v>70</v>
      </c>
      <c r="F57" s="19"/>
      <c r="G57" s="19"/>
      <c r="H57" s="19"/>
      <c r="I57" s="21">
        <f t="shared" si="0"/>
        <v>114</v>
      </c>
      <c r="J57" s="21">
        <f t="shared" si="1"/>
        <v>1</v>
      </c>
      <c r="K57" s="21">
        <f t="shared" si="2"/>
        <v>0</v>
      </c>
      <c r="L57" s="3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4.75" customHeight="1" x14ac:dyDescent="0.2">
      <c r="A58" s="15">
        <v>48</v>
      </c>
      <c r="B58" s="13">
        <v>511523104052</v>
      </c>
      <c r="C58" s="22" t="s">
        <v>63</v>
      </c>
      <c r="D58" s="23">
        <v>4</v>
      </c>
      <c r="E58" s="18">
        <v>36</v>
      </c>
      <c r="F58" s="19"/>
      <c r="G58" s="19"/>
      <c r="H58" s="20"/>
      <c r="I58" s="21">
        <f t="shared" si="0"/>
        <v>40</v>
      </c>
      <c r="J58" s="21">
        <f t="shared" si="1"/>
        <v>2</v>
      </c>
      <c r="K58" s="21">
        <f t="shared" si="2"/>
        <v>0</v>
      </c>
      <c r="L58" s="3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4.75" customHeight="1" x14ac:dyDescent="0.2">
      <c r="A59" s="15">
        <v>49</v>
      </c>
      <c r="B59" s="13">
        <v>511523104053</v>
      </c>
      <c r="C59" s="22" t="s">
        <v>64</v>
      </c>
      <c r="D59" s="23">
        <v>4</v>
      </c>
      <c r="E59" s="18">
        <v>26</v>
      </c>
      <c r="F59" s="19"/>
      <c r="G59" s="19"/>
      <c r="H59" s="19"/>
      <c r="I59" s="21">
        <f t="shared" si="0"/>
        <v>30</v>
      </c>
      <c r="J59" s="21">
        <f t="shared" si="1"/>
        <v>2</v>
      </c>
      <c r="K59" s="21">
        <f t="shared" si="2"/>
        <v>0</v>
      </c>
      <c r="L59" s="3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4.75" customHeight="1" x14ac:dyDescent="0.2">
      <c r="A60" s="15">
        <v>50</v>
      </c>
      <c r="B60" s="13">
        <v>511523104054</v>
      </c>
      <c r="C60" s="22" t="s">
        <v>65</v>
      </c>
      <c r="D60" s="23">
        <v>26</v>
      </c>
      <c r="E60" s="18">
        <v>44</v>
      </c>
      <c r="F60" s="19"/>
      <c r="G60" s="19"/>
      <c r="H60" s="19"/>
      <c r="I60" s="21">
        <f t="shared" si="0"/>
        <v>70</v>
      </c>
      <c r="J60" s="21">
        <f t="shared" si="1"/>
        <v>2</v>
      </c>
      <c r="K60" s="21">
        <f t="shared" si="2"/>
        <v>0</v>
      </c>
      <c r="L60" s="3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4.75" customHeight="1" x14ac:dyDescent="0.2">
      <c r="A61" s="15">
        <v>51</v>
      </c>
      <c r="B61" s="13">
        <v>511523104055</v>
      </c>
      <c r="C61" s="22" t="s">
        <v>66</v>
      </c>
      <c r="D61" s="23">
        <v>40</v>
      </c>
      <c r="E61" s="18">
        <v>34</v>
      </c>
      <c r="F61" s="19"/>
      <c r="G61" s="19"/>
      <c r="H61" s="19"/>
      <c r="I61" s="21">
        <f t="shared" si="0"/>
        <v>74</v>
      </c>
      <c r="J61" s="21">
        <f t="shared" si="1"/>
        <v>2</v>
      </c>
      <c r="K61" s="21">
        <f t="shared" si="2"/>
        <v>0</v>
      </c>
      <c r="L61" s="3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4.75" customHeight="1" x14ac:dyDescent="0.2">
      <c r="A62" s="15">
        <v>52</v>
      </c>
      <c r="B62" s="13">
        <v>511523104056</v>
      </c>
      <c r="C62" s="22" t="s">
        <v>67</v>
      </c>
      <c r="D62" s="23" t="s">
        <v>52</v>
      </c>
      <c r="E62" s="18">
        <v>0</v>
      </c>
      <c r="F62" s="19"/>
      <c r="G62" s="19"/>
      <c r="H62" s="19"/>
      <c r="I62" s="21">
        <f t="shared" si="0"/>
        <v>0</v>
      </c>
      <c r="J62" s="21">
        <f t="shared" si="1"/>
        <v>1</v>
      </c>
      <c r="K62" s="21">
        <f t="shared" si="2"/>
        <v>0</v>
      </c>
      <c r="L62" s="3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4.75" customHeight="1" x14ac:dyDescent="0.2">
      <c r="A63" s="15">
        <v>53</v>
      </c>
      <c r="B63" s="13">
        <v>511523104057</v>
      </c>
      <c r="C63" s="22" t="s">
        <v>68</v>
      </c>
      <c r="D63" s="23">
        <v>72</v>
      </c>
      <c r="E63" s="18">
        <v>94</v>
      </c>
      <c r="F63" s="19"/>
      <c r="G63" s="19"/>
      <c r="H63" s="19"/>
      <c r="I63" s="21">
        <f t="shared" si="0"/>
        <v>166</v>
      </c>
      <c r="J63" s="21">
        <f t="shared" si="1"/>
        <v>0</v>
      </c>
      <c r="K63" s="21">
        <f t="shared" si="2"/>
        <v>0</v>
      </c>
      <c r="L63" s="3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4.75" customHeight="1" x14ac:dyDescent="0.2">
      <c r="A64" s="15">
        <v>54</v>
      </c>
      <c r="B64" s="13">
        <v>511523104058</v>
      </c>
      <c r="C64" s="22" t="s">
        <v>69</v>
      </c>
      <c r="D64" s="23">
        <v>32</v>
      </c>
      <c r="E64" s="18">
        <v>68</v>
      </c>
      <c r="F64" s="19"/>
      <c r="G64" s="19"/>
      <c r="H64" s="19"/>
      <c r="I64" s="21">
        <f t="shared" si="0"/>
        <v>100</v>
      </c>
      <c r="J64" s="21">
        <f t="shared" si="1"/>
        <v>1</v>
      </c>
      <c r="K64" s="21">
        <f t="shared" si="2"/>
        <v>0</v>
      </c>
      <c r="L64" s="3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4.75" customHeight="1" x14ac:dyDescent="0.2">
      <c r="A65" s="15">
        <v>55</v>
      </c>
      <c r="B65" s="13">
        <v>511523104059</v>
      </c>
      <c r="C65" s="22" t="s">
        <v>70</v>
      </c>
      <c r="D65" s="23">
        <v>8</v>
      </c>
      <c r="E65" s="18">
        <v>2</v>
      </c>
      <c r="F65" s="19"/>
      <c r="G65" s="19"/>
      <c r="H65" s="19"/>
      <c r="I65" s="21">
        <f t="shared" si="0"/>
        <v>10</v>
      </c>
      <c r="J65" s="21">
        <f t="shared" si="1"/>
        <v>2</v>
      </c>
      <c r="K65" s="21">
        <f t="shared" si="2"/>
        <v>0</v>
      </c>
      <c r="L65" s="3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4.75" customHeight="1" x14ac:dyDescent="0.2">
      <c r="A66" s="15">
        <v>56</v>
      </c>
      <c r="B66" s="13">
        <v>511523104060</v>
      </c>
      <c r="C66" s="22" t="s">
        <v>71</v>
      </c>
      <c r="D66" s="23">
        <v>4</v>
      </c>
      <c r="E66" s="18">
        <v>6</v>
      </c>
      <c r="F66" s="19"/>
      <c r="G66" s="19"/>
      <c r="H66" s="19"/>
      <c r="I66" s="21">
        <f t="shared" si="0"/>
        <v>10</v>
      </c>
      <c r="J66" s="21">
        <f t="shared" si="1"/>
        <v>2</v>
      </c>
      <c r="K66" s="21">
        <f t="shared" si="2"/>
        <v>0</v>
      </c>
      <c r="L66" s="3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4.75" customHeight="1" x14ac:dyDescent="0.2">
      <c r="A67" s="15">
        <v>57</v>
      </c>
      <c r="B67" s="13">
        <v>511523104061</v>
      </c>
      <c r="C67" s="22" t="s">
        <v>72</v>
      </c>
      <c r="D67" s="23">
        <v>10</v>
      </c>
      <c r="E67" s="18">
        <v>0</v>
      </c>
      <c r="F67" s="19"/>
      <c r="G67" s="19"/>
      <c r="H67" s="19"/>
      <c r="I67" s="21">
        <f t="shared" si="0"/>
        <v>10</v>
      </c>
      <c r="J67" s="21">
        <f t="shared" si="1"/>
        <v>2</v>
      </c>
      <c r="K67" s="21">
        <f t="shared" si="2"/>
        <v>0</v>
      </c>
      <c r="L67" s="3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 customHeight="1" x14ac:dyDescent="0.15">
      <c r="A68" s="15">
        <v>58</v>
      </c>
      <c r="B68" s="13">
        <v>511523104062</v>
      </c>
      <c r="C68" s="22" t="s">
        <v>73</v>
      </c>
      <c r="D68" s="23">
        <v>54</v>
      </c>
      <c r="E68" s="18">
        <v>72</v>
      </c>
      <c r="F68" s="19"/>
      <c r="G68" s="19"/>
      <c r="H68" s="19"/>
      <c r="I68" s="21">
        <f t="shared" si="0"/>
        <v>126</v>
      </c>
      <c r="J68" s="21">
        <f t="shared" si="1"/>
        <v>0</v>
      </c>
      <c r="K68" s="21">
        <f t="shared" si="2"/>
        <v>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4.75" customHeight="1" x14ac:dyDescent="0.15">
      <c r="A69" s="15">
        <v>59</v>
      </c>
      <c r="B69" s="13"/>
      <c r="C69" s="34" t="s">
        <v>74</v>
      </c>
      <c r="D69" s="23" t="s">
        <v>52</v>
      </c>
      <c r="E69" s="18" t="s">
        <v>52</v>
      </c>
      <c r="F69" s="19"/>
      <c r="G69" s="19"/>
      <c r="H69" s="19"/>
      <c r="I69" s="21">
        <f t="shared" si="0"/>
        <v>0</v>
      </c>
      <c r="J69" s="21">
        <f t="shared" si="1"/>
        <v>0</v>
      </c>
      <c r="K69" s="21">
        <f t="shared" si="2"/>
        <v>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4.75" customHeight="1" x14ac:dyDescent="0.15">
      <c r="A70" s="15">
        <v>60</v>
      </c>
      <c r="B70" s="13"/>
      <c r="C70" s="34" t="s">
        <v>75</v>
      </c>
      <c r="D70" s="23">
        <v>66</v>
      </c>
      <c r="E70" s="18" t="s">
        <v>52</v>
      </c>
      <c r="F70" s="19"/>
      <c r="G70" s="19"/>
      <c r="H70" s="19"/>
      <c r="I70" s="21">
        <f t="shared" si="0"/>
        <v>66</v>
      </c>
      <c r="J70" s="21">
        <f t="shared" si="1"/>
        <v>0</v>
      </c>
      <c r="K70" s="21">
        <f t="shared" si="2"/>
        <v>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37.5" customHeight="1" x14ac:dyDescent="0.15">
      <c r="A71" s="248"/>
      <c r="B71" s="244"/>
      <c r="C71" s="244"/>
      <c r="D71" s="244"/>
      <c r="E71" s="244"/>
      <c r="F71" s="244"/>
      <c r="G71" s="244"/>
      <c r="H71" s="244"/>
      <c r="I71" s="244"/>
      <c r="J71" s="244"/>
      <c r="K71" s="35" t="s">
        <v>76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75" customHeight="1" x14ac:dyDescent="0.15">
      <c r="A72" s="243" t="s">
        <v>77</v>
      </c>
      <c r="B72" s="244"/>
      <c r="C72" s="245"/>
      <c r="D72" s="19">
        <v>60</v>
      </c>
      <c r="E72" s="19">
        <v>60</v>
      </c>
      <c r="F72" s="19">
        <v>60</v>
      </c>
      <c r="G72" s="19">
        <v>60</v>
      </c>
      <c r="H72" s="19">
        <v>60</v>
      </c>
      <c r="I72" s="36" t="s">
        <v>78</v>
      </c>
      <c r="J72" s="36">
        <f>COUNTIF(J11:J70,"1")</f>
        <v>9</v>
      </c>
      <c r="K72" s="238">
        <f>COUNTIF(J11:J70,"0")</f>
        <v>26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4.75" customHeight="1" x14ac:dyDescent="0.15">
      <c r="A73" s="249" t="s">
        <v>79</v>
      </c>
      <c r="B73" s="244"/>
      <c r="C73" s="245"/>
      <c r="D73" s="19">
        <f t="shared" ref="D73:H73" si="3">COUNT(D11:D70,"!AB")</f>
        <v>57</v>
      </c>
      <c r="E73" s="19">
        <f t="shared" si="3"/>
        <v>57</v>
      </c>
      <c r="F73" s="19">
        <f t="shared" si="3"/>
        <v>0</v>
      </c>
      <c r="G73" s="19">
        <f t="shared" si="3"/>
        <v>0</v>
      </c>
      <c r="H73" s="19">
        <f t="shared" si="3"/>
        <v>0</v>
      </c>
      <c r="I73" s="36" t="s">
        <v>80</v>
      </c>
      <c r="J73" s="36">
        <f>COUNTIF(J12:J70,"2")</f>
        <v>25</v>
      </c>
      <c r="K73" s="23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4.75" customHeight="1" x14ac:dyDescent="0.15">
      <c r="A74" s="249" t="s">
        <v>81</v>
      </c>
      <c r="B74" s="244"/>
      <c r="C74" s="245"/>
      <c r="D74" s="19">
        <f t="shared" ref="D74:H74" si="4">COUNTIF(D11:D70,"AB")</f>
        <v>3</v>
      </c>
      <c r="E74" s="19">
        <f t="shared" si="4"/>
        <v>3</v>
      </c>
      <c r="F74" s="19">
        <f t="shared" si="4"/>
        <v>0</v>
      </c>
      <c r="G74" s="19">
        <f t="shared" si="4"/>
        <v>0</v>
      </c>
      <c r="H74" s="19">
        <f t="shared" si="4"/>
        <v>0</v>
      </c>
      <c r="I74" s="36" t="s">
        <v>82</v>
      </c>
      <c r="J74" s="36">
        <f>COUNTIF(J13:J70,"3")</f>
        <v>0</v>
      </c>
      <c r="K74" s="23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4.75" customHeight="1" x14ac:dyDescent="0.15">
      <c r="A75" s="249" t="s">
        <v>83</v>
      </c>
      <c r="B75" s="244"/>
      <c r="C75" s="245"/>
      <c r="D75" s="19">
        <f t="shared" ref="D75:H75" si="5">COUNTIF(D11:D70,"OD")</f>
        <v>0</v>
      </c>
      <c r="E75" s="19">
        <f t="shared" si="5"/>
        <v>0</v>
      </c>
      <c r="F75" s="19">
        <f t="shared" si="5"/>
        <v>0</v>
      </c>
      <c r="G75" s="19">
        <f t="shared" si="5"/>
        <v>0</v>
      </c>
      <c r="H75" s="19">
        <f t="shared" si="5"/>
        <v>0</v>
      </c>
      <c r="I75" s="12" t="s">
        <v>84</v>
      </c>
      <c r="J75" s="36">
        <f>COUNTIF(J14:J70,"4")</f>
        <v>0</v>
      </c>
      <c r="K75" s="23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4.75" customHeight="1" x14ac:dyDescent="0.15">
      <c r="A76" s="249" t="s">
        <v>85</v>
      </c>
      <c r="B76" s="244"/>
      <c r="C76" s="245"/>
      <c r="D76" s="19">
        <f t="shared" ref="D76:H76" si="6">COUNTIF(D11:D70,"&gt;=50")</f>
        <v>25</v>
      </c>
      <c r="E76" s="19">
        <f t="shared" si="6"/>
        <v>30</v>
      </c>
      <c r="F76" s="19">
        <f t="shared" si="6"/>
        <v>0</v>
      </c>
      <c r="G76" s="19">
        <f t="shared" si="6"/>
        <v>0</v>
      </c>
      <c r="H76" s="19">
        <f t="shared" si="6"/>
        <v>0</v>
      </c>
      <c r="I76" s="36" t="s">
        <v>86</v>
      </c>
      <c r="J76" s="36">
        <f>COUNTIF(J15:J70,"5")</f>
        <v>0</v>
      </c>
      <c r="K76" s="23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4.75" customHeight="1" x14ac:dyDescent="0.15">
      <c r="A77" s="249" t="s">
        <v>87</v>
      </c>
      <c r="B77" s="244"/>
      <c r="C77" s="245"/>
      <c r="D77" s="19">
        <f t="shared" ref="D77:H77" si="7">COUNTIF(D11:D70,"&lt;=49")</f>
        <v>32</v>
      </c>
      <c r="E77" s="19">
        <f t="shared" si="7"/>
        <v>27</v>
      </c>
      <c r="F77" s="19">
        <f t="shared" si="7"/>
        <v>0</v>
      </c>
      <c r="G77" s="19">
        <f t="shared" si="7"/>
        <v>0</v>
      </c>
      <c r="H77" s="19">
        <f t="shared" si="7"/>
        <v>0</v>
      </c>
      <c r="I77" s="37" t="s">
        <v>88</v>
      </c>
      <c r="J77" s="36">
        <f>COUNTIF(J16:J70,"6")</f>
        <v>0</v>
      </c>
      <c r="K77" s="23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4.75" customHeight="1" x14ac:dyDescent="0.15">
      <c r="A78" s="249" t="s">
        <v>89</v>
      </c>
      <c r="B78" s="244"/>
      <c r="C78" s="244"/>
      <c r="D78" s="38">
        <f t="shared" ref="D78:H78" si="8">D76/D73</f>
        <v>0.43859649122807015</v>
      </c>
      <c r="E78" s="38">
        <f t="shared" si="8"/>
        <v>0.52631578947368418</v>
      </c>
      <c r="F78" s="38" t="e">
        <f t="shared" si="8"/>
        <v>#DIV/0!</v>
      </c>
      <c r="G78" s="38" t="e">
        <f t="shared" si="8"/>
        <v>#DIV/0!</v>
      </c>
      <c r="H78" s="38" t="e">
        <f t="shared" si="8"/>
        <v>#DIV/0!</v>
      </c>
      <c r="I78" s="39"/>
      <c r="J78" s="40"/>
      <c r="K78" s="23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56.25" customHeight="1" x14ac:dyDescent="0.2">
      <c r="A79" s="41" t="s">
        <v>90</v>
      </c>
      <c r="B79" s="42" t="s">
        <v>91</v>
      </c>
      <c r="C79" s="43" t="s">
        <v>92</v>
      </c>
      <c r="D79" s="44" t="s">
        <v>93</v>
      </c>
      <c r="E79" s="45"/>
      <c r="F79" s="46" t="s">
        <v>94</v>
      </c>
      <c r="G79" s="45"/>
      <c r="H79" s="47" t="s">
        <v>95</v>
      </c>
      <c r="I79" s="48"/>
      <c r="J79" s="49" t="s">
        <v>96</v>
      </c>
      <c r="K79" s="5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56.25" customHeight="1" x14ac:dyDescent="0.2">
      <c r="A80" s="51">
        <v>1</v>
      </c>
      <c r="B80" s="52" t="s">
        <v>10</v>
      </c>
      <c r="C80" s="53" t="s">
        <v>97</v>
      </c>
      <c r="D80" s="54">
        <f>D73</f>
        <v>57</v>
      </c>
      <c r="E80" s="55"/>
      <c r="F80" s="56">
        <f>D74</f>
        <v>3</v>
      </c>
      <c r="G80" s="55"/>
      <c r="H80" s="56">
        <f>D76</f>
        <v>25</v>
      </c>
      <c r="I80" s="55"/>
      <c r="J80" s="57">
        <f t="shared" ref="J80:J84" si="9">H80/D80*100</f>
        <v>43.859649122807014</v>
      </c>
      <c r="K80" s="5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39.75" customHeight="1" x14ac:dyDescent="0.2">
      <c r="A81" s="51">
        <v>2</v>
      </c>
      <c r="B81" s="52" t="s">
        <v>11</v>
      </c>
      <c r="C81" s="52" t="s">
        <v>98</v>
      </c>
      <c r="D81" s="58"/>
      <c r="E81" s="55"/>
      <c r="F81" s="56"/>
      <c r="G81" s="55"/>
      <c r="H81" s="56"/>
      <c r="I81" s="55"/>
      <c r="J81" s="57" t="e">
        <f t="shared" si="9"/>
        <v>#DIV/0!</v>
      </c>
      <c r="K81" s="5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45" customHeight="1" x14ac:dyDescent="0.2">
      <c r="A82" s="51">
        <v>3</v>
      </c>
      <c r="B82" s="52" t="s">
        <v>12</v>
      </c>
      <c r="C82" s="52" t="s">
        <v>99</v>
      </c>
      <c r="D82" s="54"/>
      <c r="E82" s="55"/>
      <c r="F82" s="56"/>
      <c r="G82" s="55"/>
      <c r="H82" s="56"/>
      <c r="I82" s="55"/>
      <c r="J82" s="59" t="e">
        <f t="shared" si="9"/>
        <v>#DIV/0!</v>
      </c>
      <c r="K82" s="5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60.75" customHeight="1" x14ac:dyDescent="0.2">
      <c r="A83" s="51">
        <v>4</v>
      </c>
      <c r="B83" s="60" t="s">
        <v>13</v>
      </c>
      <c r="C83" s="52" t="s">
        <v>100</v>
      </c>
      <c r="D83" s="54"/>
      <c r="E83" s="55"/>
      <c r="F83" s="56"/>
      <c r="G83" s="55"/>
      <c r="H83" s="56"/>
      <c r="I83" s="55"/>
      <c r="J83" s="59" t="e">
        <f t="shared" si="9"/>
        <v>#DIV/0!</v>
      </c>
      <c r="K83" s="5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45" customHeight="1" x14ac:dyDescent="0.2">
      <c r="A84" s="51">
        <v>5</v>
      </c>
      <c r="B84" s="52" t="s">
        <v>14</v>
      </c>
      <c r="C84" s="52" t="s">
        <v>101</v>
      </c>
      <c r="D84" s="54"/>
      <c r="E84" s="55"/>
      <c r="F84" s="56"/>
      <c r="G84" s="55"/>
      <c r="H84" s="56"/>
      <c r="I84" s="55"/>
      <c r="J84" s="59" t="e">
        <f t="shared" si="9"/>
        <v>#DIV/0!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15">
      <c r="A85" s="2"/>
      <c r="B85" s="61"/>
      <c r="C85" s="62"/>
      <c r="D85" s="61"/>
      <c r="E85" s="61"/>
      <c r="F85" s="61"/>
      <c r="G85" s="61"/>
      <c r="H85" s="61"/>
      <c r="I85" s="61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15">
      <c r="A86" s="2"/>
      <c r="B86" s="61"/>
      <c r="C86" s="62"/>
      <c r="D86" s="61"/>
      <c r="E86" s="61"/>
      <c r="F86" s="61"/>
      <c r="G86" s="61"/>
      <c r="H86" s="61"/>
      <c r="I86" s="6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15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15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15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15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15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15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15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15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1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15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15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15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15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15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1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15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15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15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1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15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15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15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15">
      <c r="A109" s="2"/>
      <c r="B109" s="241" t="s">
        <v>102</v>
      </c>
      <c r="C109" s="242"/>
      <c r="D109" s="2"/>
      <c r="E109" s="63" t="s">
        <v>103</v>
      </c>
      <c r="F109" s="63"/>
      <c r="G109" s="63"/>
      <c r="H109" s="63" t="s">
        <v>104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15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15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15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15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15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15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15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15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15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15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15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15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15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15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1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15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15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15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15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15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15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1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15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15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1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15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15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15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15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15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15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15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15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15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1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15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15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15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15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15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15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15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15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15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1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15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15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15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15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15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15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15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15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15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1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15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15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15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15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15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15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15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15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15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1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15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15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15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15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15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15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15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15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15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1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15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15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15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15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15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15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15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15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15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1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15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15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15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15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15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15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15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15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15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1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15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15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15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15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15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15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15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15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15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15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15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15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15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15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15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15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15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15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1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15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15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15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15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15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15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15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15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15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1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15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15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15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15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15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15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15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15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15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1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15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15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15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15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15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15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15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15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15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1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15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15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15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15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15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15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15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15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15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1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15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15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15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15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15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15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15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15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15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1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15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15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15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15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15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15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15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15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15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1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15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15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15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15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15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15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15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15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15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1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15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15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15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15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15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15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15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15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15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1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15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15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15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15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15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15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15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15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15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15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15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15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15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15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15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15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15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15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1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15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15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15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15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15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15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15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15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15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1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15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15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15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15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15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15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15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15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15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1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15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15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15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15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15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15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15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15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15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1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15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15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15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15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15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15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15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15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15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1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15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15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15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15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15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15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15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15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15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1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15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15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15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15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15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15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15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15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15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1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15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15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15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15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15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15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15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15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15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1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15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15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15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15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15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15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15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15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15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1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15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15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15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15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15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15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15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15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15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15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15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15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15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15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15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15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15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15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1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15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15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15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15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15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15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15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15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15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1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15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15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15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15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15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15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15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15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15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1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15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15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15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15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15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15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15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15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15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1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15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15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15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15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15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15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15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15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15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1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15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15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15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15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15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15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15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15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15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1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15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15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15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15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15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15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15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15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15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1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15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15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15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15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15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15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15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15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15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1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15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15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15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15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1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1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1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1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1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1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1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1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15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15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15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15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15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15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15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15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15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15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15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15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15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15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15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15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1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15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15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15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15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15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15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15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15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15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1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15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15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15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15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15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15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15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15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15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1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15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15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15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15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15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15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15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15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15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1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15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15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15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15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15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15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15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15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15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1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15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15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15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15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15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15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15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15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15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1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15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15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15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15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15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15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15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15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15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1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15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15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15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15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15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15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15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15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15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1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15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15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15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15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15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15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15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15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15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1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15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15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15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15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15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15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15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15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15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15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15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15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15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15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15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15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15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15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1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15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15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15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15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15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15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15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15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15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1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15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15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15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15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15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15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15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15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15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1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15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15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15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15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15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15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15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15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15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1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15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15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15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15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15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15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15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15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15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1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15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15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15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15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15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15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15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15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15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1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15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15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15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15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15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15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15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15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15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1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15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15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15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15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15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15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15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15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15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1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15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15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15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15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15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15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15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15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15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1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15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15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15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15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15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15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15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15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15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15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15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15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15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15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15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15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15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15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1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15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15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15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15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15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15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15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15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15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1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15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15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15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15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15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15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15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15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15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1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15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15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15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15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15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15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15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15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15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1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15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15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15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15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15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15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15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15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15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1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15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15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15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15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15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15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15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15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15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1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15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15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15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15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15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15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15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15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15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1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15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15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15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15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15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15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15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15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15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1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15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15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15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15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15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15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15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15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15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1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15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15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15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15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15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15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15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15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15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15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15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15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15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15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15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15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15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15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1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15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15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15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15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15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15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15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15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15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1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15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15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15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15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15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15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15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15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15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1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15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15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15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15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15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15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15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15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15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1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15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15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15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15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15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15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15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15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15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1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15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15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15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15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15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15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15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15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15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1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15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15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15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15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15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15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15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15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15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1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15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15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15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15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15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15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15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15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15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1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15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15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15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15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15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15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15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15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15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1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15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15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15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15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15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15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15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15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15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15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15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15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15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15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15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15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15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15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1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15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15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15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15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15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15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15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15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15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1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15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15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15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15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15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15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15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15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15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1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15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15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15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15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15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15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15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15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15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1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15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15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15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15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15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15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15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15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15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1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15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15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15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15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15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15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15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15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15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1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15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15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15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" customHeight="1" x14ac:dyDescent="0.15">
      <c r="B979" s="2"/>
      <c r="C979" s="3"/>
      <c r="D979" s="2"/>
      <c r="E979" s="2"/>
      <c r="F979" s="2"/>
      <c r="G979" s="2"/>
      <c r="H979" s="2"/>
      <c r="I979" s="2"/>
      <c r="J979" s="2"/>
    </row>
  </sheetData>
  <mergeCells count="17">
    <mergeCell ref="A7:I7"/>
    <mergeCell ref="J9:J10"/>
    <mergeCell ref="K9:K10"/>
    <mergeCell ref="K72:K78"/>
    <mergeCell ref="I9:I10"/>
    <mergeCell ref="B109:C109"/>
    <mergeCell ref="A72:C72"/>
    <mergeCell ref="A9:A10"/>
    <mergeCell ref="B9:B10"/>
    <mergeCell ref="C9:C10"/>
    <mergeCell ref="A71:J71"/>
    <mergeCell ref="A78:C78"/>
    <mergeCell ref="A76:C76"/>
    <mergeCell ref="A75:C75"/>
    <mergeCell ref="A74:C74"/>
    <mergeCell ref="A73:C73"/>
    <mergeCell ref="A77:C77"/>
  </mergeCells>
  <conditionalFormatting sqref="I11:I70 I72:I74 I76:I78">
    <cfRule type="cellIs" dxfId="9" priority="1" stopIfTrue="1" operator="lessThan">
      <formula>50</formula>
    </cfRule>
    <cfRule type="cellIs" dxfId="8" priority="2" stopIfTrue="1" operator="equal">
      <formula>"AB"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/>
  </sheetViews>
  <sheetFormatPr defaultColWidth="12" defaultRowHeight="15" customHeight="1" x14ac:dyDescent="0.15"/>
  <cols>
    <col min="1" max="1" width="6.47265625" customWidth="1"/>
    <col min="2" max="2" width="13.34765625" customWidth="1"/>
    <col min="3" max="3" width="20.49609375" customWidth="1"/>
    <col min="4" max="4" width="12.13671875" customWidth="1"/>
    <col min="5" max="5" width="11.19140625" customWidth="1"/>
    <col min="6" max="6" width="12.80859375" customWidth="1"/>
    <col min="7" max="7" width="13.75390625" customWidth="1"/>
    <col min="8" max="8" width="13.88671875" customWidth="1"/>
    <col min="9" max="9" width="13.6171875" customWidth="1"/>
    <col min="10" max="10" width="9.84375" customWidth="1"/>
    <col min="11" max="11" width="9.03515625" customWidth="1"/>
    <col min="12" max="12" width="9.16796875" customWidth="1"/>
    <col min="13" max="13" width="7.55078125" customWidth="1"/>
  </cols>
  <sheetData>
    <row r="1" spans="1:26" ht="15.75" customHeight="1" x14ac:dyDescent="0.1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50" t="s">
        <v>0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5" t="s">
        <v>105</v>
      </c>
      <c r="B8" s="5"/>
      <c r="C8" s="6"/>
      <c r="D8" s="7"/>
      <c r="E8" s="8" t="s">
        <v>2</v>
      </c>
      <c r="F8" s="9"/>
      <c r="G8" s="9"/>
      <c r="H8" s="9" t="s">
        <v>106</v>
      </c>
      <c r="I8" s="9" t="s">
        <v>107</v>
      </c>
      <c r="J8" s="11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 x14ac:dyDescent="0.15">
      <c r="A9" s="246" t="s">
        <v>4</v>
      </c>
      <c r="B9" s="246" t="s">
        <v>5</v>
      </c>
      <c r="C9" s="247" t="s">
        <v>6</v>
      </c>
      <c r="D9" s="12"/>
      <c r="E9" s="12"/>
      <c r="F9" s="12"/>
      <c r="G9" s="12"/>
      <c r="H9" s="12"/>
      <c r="I9" s="64"/>
      <c r="J9" s="240" t="s">
        <v>7</v>
      </c>
      <c r="K9" s="235" t="s">
        <v>8</v>
      </c>
      <c r="L9" s="237" t="s">
        <v>9</v>
      </c>
      <c r="M9" s="237" t="s">
        <v>108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0" customHeight="1" x14ac:dyDescent="0.2">
      <c r="A10" s="239"/>
      <c r="B10" s="239"/>
      <c r="C10" s="239"/>
      <c r="D10" s="13" t="s">
        <v>109</v>
      </c>
      <c r="E10" s="13" t="s">
        <v>110</v>
      </c>
      <c r="F10" s="13" t="s">
        <v>111</v>
      </c>
      <c r="G10" s="14" t="s">
        <v>112</v>
      </c>
      <c r="H10" s="13" t="s">
        <v>113</v>
      </c>
      <c r="I10" s="13" t="s">
        <v>114</v>
      </c>
      <c r="J10" s="236"/>
      <c r="K10" s="236"/>
      <c r="L10" s="236"/>
      <c r="M10" s="23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.75" customHeight="1" x14ac:dyDescent="0.15">
      <c r="A11" s="21">
        <v>1</v>
      </c>
      <c r="B11" s="13">
        <v>511522104001</v>
      </c>
      <c r="C11" s="65" t="s">
        <v>115</v>
      </c>
      <c r="D11" s="66"/>
      <c r="E11" s="18">
        <v>2</v>
      </c>
      <c r="F11" s="18">
        <v>40</v>
      </c>
      <c r="G11" s="19"/>
      <c r="H11" s="67">
        <v>8</v>
      </c>
      <c r="I11" s="67" t="s">
        <v>52</v>
      </c>
      <c r="J11" s="21">
        <f t="shared" ref="J11:J73" si="0">SUM(D11:I11)</f>
        <v>50</v>
      </c>
      <c r="K11" s="21">
        <f t="shared" ref="K11:K73" si="1">COUNTIF(D11:I11,"&lt;=49")</f>
        <v>3</v>
      </c>
      <c r="L11" s="21">
        <f>COUNTIF(C11:J11,"AB")</f>
        <v>1</v>
      </c>
      <c r="M11" s="68">
        <v>85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.75" customHeight="1" x14ac:dyDescent="0.15">
      <c r="A12" s="21">
        <v>2</v>
      </c>
      <c r="B12" s="13">
        <v>511522104002</v>
      </c>
      <c r="C12" s="65" t="s">
        <v>116</v>
      </c>
      <c r="D12" s="69"/>
      <c r="E12" s="18">
        <v>60</v>
      </c>
      <c r="F12" s="18">
        <v>52</v>
      </c>
      <c r="G12" s="20"/>
      <c r="H12" s="67">
        <v>62</v>
      </c>
      <c r="I12" s="67">
        <v>66</v>
      </c>
      <c r="J12" s="21">
        <f t="shared" si="0"/>
        <v>240</v>
      </c>
      <c r="K12" s="21">
        <f t="shared" si="1"/>
        <v>0</v>
      </c>
      <c r="L12" s="21">
        <f t="shared" ref="L12:L73" si="2">COUNTIF(E12:J12,"AB")</f>
        <v>0</v>
      </c>
      <c r="M12" s="68">
        <v>40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.75" customHeight="1" x14ac:dyDescent="0.15">
      <c r="A13" s="21">
        <v>3</v>
      </c>
      <c r="B13" s="13">
        <v>511522104003</v>
      </c>
      <c r="C13" s="65" t="s">
        <v>117</v>
      </c>
      <c r="D13" s="69"/>
      <c r="E13" s="18">
        <v>50</v>
      </c>
      <c r="F13" s="18">
        <v>50</v>
      </c>
      <c r="G13" s="19"/>
      <c r="H13" s="67">
        <v>72</v>
      </c>
      <c r="I13" s="67">
        <v>52</v>
      </c>
      <c r="J13" s="21">
        <f t="shared" si="0"/>
        <v>224</v>
      </c>
      <c r="K13" s="21">
        <f t="shared" si="1"/>
        <v>0</v>
      </c>
      <c r="L13" s="21">
        <f t="shared" si="2"/>
        <v>0</v>
      </c>
      <c r="M13" s="68">
        <v>89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.75" customHeight="1" x14ac:dyDescent="0.15">
      <c r="A14" s="21">
        <v>4</v>
      </c>
      <c r="B14" s="13">
        <v>511522104004</v>
      </c>
      <c r="C14" s="65" t="s">
        <v>118</v>
      </c>
      <c r="D14" s="69"/>
      <c r="E14" s="18" t="s">
        <v>52</v>
      </c>
      <c r="F14" s="18" t="s">
        <v>52</v>
      </c>
      <c r="G14" s="19"/>
      <c r="H14" s="67" t="s">
        <v>52</v>
      </c>
      <c r="I14" s="67" t="s">
        <v>52</v>
      </c>
      <c r="J14" s="21">
        <f t="shared" si="0"/>
        <v>0</v>
      </c>
      <c r="K14" s="21">
        <f t="shared" si="1"/>
        <v>0</v>
      </c>
      <c r="L14" s="21">
        <f t="shared" si="2"/>
        <v>4</v>
      </c>
      <c r="M14" s="68"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 x14ac:dyDescent="0.15">
      <c r="A15" s="21">
        <v>5</v>
      </c>
      <c r="B15" s="13">
        <v>511522101006</v>
      </c>
      <c r="C15" s="65" t="s">
        <v>119</v>
      </c>
      <c r="D15" s="69"/>
      <c r="E15" s="18">
        <v>66</v>
      </c>
      <c r="F15" s="18">
        <v>18</v>
      </c>
      <c r="G15" s="20"/>
      <c r="H15" s="67">
        <v>34</v>
      </c>
      <c r="I15" s="67">
        <v>52</v>
      </c>
      <c r="J15" s="21">
        <f t="shared" si="0"/>
        <v>170</v>
      </c>
      <c r="K15" s="21">
        <f t="shared" si="1"/>
        <v>2</v>
      </c>
      <c r="L15" s="21">
        <f t="shared" si="2"/>
        <v>0</v>
      </c>
      <c r="M15" s="68">
        <v>68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15">
      <c r="A16" s="21">
        <v>6</v>
      </c>
      <c r="B16" s="13">
        <v>511522104007</v>
      </c>
      <c r="C16" s="65" t="s">
        <v>120</v>
      </c>
      <c r="D16" s="69"/>
      <c r="E16" s="18">
        <v>30</v>
      </c>
      <c r="F16" s="18" t="s">
        <v>52</v>
      </c>
      <c r="G16" s="19"/>
      <c r="H16" s="67">
        <v>18</v>
      </c>
      <c r="I16" s="67" t="s">
        <v>52</v>
      </c>
      <c r="J16" s="21">
        <f t="shared" si="0"/>
        <v>48</v>
      </c>
      <c r="K16" s="21">
        <f t="shared" si="1"/>
        <v>2</v>
      </c>
      <c r="L16" s="21">
        <f t="shared" si="2"/>
        <v>2</v>
      </c>
      <c r="M16" s="68">
        <v>94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.75" customHeight="1" x14ac:dyDescent="0.15">
      <c r="A17" s="21">
        <v>7</v>
      </c>
      <c r="B17" s="13">
        <v>511522104008</v>
      </c>
      <c r="C17" s="65" t="s">
        <v>121</v>
      </c>
      <c r="D17" s="69"/>
      <c r="E17" s="18">
        <v>64</v>
      </c>
      <c r="F17" s="18">
        <v>52</v>
      </c>
      <c r="G17" s="20"/>
      <c r="H17" s="67">
        <v>70</v>
      </c>
      <c r="I17" s="67">
        <v>62</v>
      </c>
      <c r="J17" s="21">
        <f t="shared" si="0"/>
        <v>248</v>
      </c>
      <c r="K17" s="21">
        <f t="shared" si="1"/>
        <v>0</v>
      </c>
      <c r="L17" s="21">
        <f t="shared" si="2"/>
        <v>0</v>
      </c>
      <c r="M17" s="68">
        <v>96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.75" customHeight="1" x14ac:dyDescent="0.15">
      <c r="A18" s="21">
        <v>8</v>
      </c>
      <c r="B18" s="13">
        <v>511522104009</v>
      </c>
      <c r="C18" s="65" t="s">
        <v>122</v>
      </c>
      <c r="D18" s="69"/>
      <c r="E18" s="18" t="s">
        <v>52</v>
      </c>
      <c r="F18" s="18">
        <v>16</v>
      </c>
      <c r="G18" s="19"/>
      <c r="H18" s="18">
        <v>10</v>
      </c>
      <c r="I18" s="18">
        <v>26</v>
      </c>
      <c r="J18" s="21">
        <f t="shared" si="0"/>
        <v>52</v>
      </c>
      <c r="K18" s="21">
        <f t="shared" si="1"/>
        <v>3</v>
      </c>
      <c r="L18" s="21">
        <f t="shared" si="2"/>
        <v>1</v>
      </c>
      <c r="M18" s="68">
        <v>93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15">
      <c r="A19" s="21">
        <v>9</v>
      </c>
      <c r="B19" s="13">
        <v>511522104010</v>
      </c>
      <c r="C19" s="65" t="s">
        <v>123</v>
      </c>
      <c r="D19" s="69"/>
      <c r="E19" s="18">
        <v>32</v>
      </c>
      <c r="F19" s="18">
        <v>24</v>
      </c>
      <c r="G19" s="19"/>
      <c r="H19" s="67">
        <v>34</v>
      </c>
      <c r="I19" s="18">
        <v>26</v>
      </c>
      <c r="J19" s="21">
        <f t="shared" si="0"/>
        <v>116</v>
      </c>
      <c r="K19" s="21">
        <f t="shared" si="1"/>
        <v>4</v>
      </c>
      <c r="L19" s="21">
        <f t="shared" si="2"/>
        <v>0</v>
      </c>
      <c r="M19" s="68">
        <v>89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 customHeight="1" x14ac:dyDescent="0.15">
      <c r="A20" s="21">
        <v>10</v>
      </c>
      <c r="B20" s="13">
        <v>511522104011</v>
      </c>
      <c r="C20" s="65" t="s">
        <v>124</v>
      </c>
      <c r="D20" s="69"/>
      <c r="E20" s="18">
        <v>0</v>
      </c>
      <c r="F20" s="18">
        <v>0</v>
      </c>
      <c r="G20" s="19"/>
      <c r="H20" s="67">
        <v>12</v>
      </c>
      <c r="I20" s="67" t="s">
        <v>52</v>
      </c>
      <c r="J20" s="21">
        <f t="shared" si="0"/>
        <v>12</v>
      </c>
      <c r="K20" s="21">
        <f t="shared" si="1"/>
        <v>3</v>
      </c>
      <c r="L20" s="21">
        <f t="shared" si="2"/>
        <v>1</v>
      </c>
      <c r="M20" s="68">
        <v>76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15">
      <c r="A21" s="21">
        <v>11</v>
      </c>
      <c r="B21" s="13">
        <v>511522104012</v>
      </c>
      <c r="C21" s="65" t="s">
        <v>125</v>
      </c>
      <c r="D21" s="69"/>
      <c r="E21" s="18">
        <v>18</v>
      </c>
      <c r="F21" s="18">
        <v>32</v>
      </c>
      <c r="G21" s="19"/>
      <c r="H21" s="67">
        <v>52</v>
      </c>
      <c r="I21" s="18">
        <v>50</v>
      </c>
      <c r="J21" s="21">
        <f t="shared" si="0"/>
        <v>152</v>
      </c>
      <c r="K21" s="21">
        <f t="shared" si="1"/>
        <v>2</v>
      </c>
      <c r="L21" s="21">
        <f t="shared" si="2"/>
        <v>0</v>
      </c>
      <c r="M21" s="68">
        <v>80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15">
      <c r="A22" s="21">
        <v>12</v>
      </c>
      <c r="B22" s="13">
        <v>511522104013</v>
      </c>
      <c r="C22" s="65" t="s">
        <v>126</v>
      </c>
      <c r="D22" s="69"/>
      <c r="E22" s="18">
        <v>72</v>
      </c>
      <c r="F22" s="18">
        <v>64</v>
      </c>
      <c r="G22" s="19"/>
      <c r="H22" s="18">
        <v>72</v>
      </c>
      <c r="I22" s="18">
        <v>62</v>
      </c>
      <c r="J22" s="21">
        <f t="shared" si="0"/>
        <v>270</v>
      </c>
      <c r="K22" s="21">
        <f t="shared" si="1"/>
        <v>0</v>
      </c>
      <c r="L22" s="21">
        <f t="shared" si="2"/>
        <v>0</v>
      </c>
      <c r="M22" s="68">
        <v>79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 x14ac:dyDescent="0.15">
      <c r="A23" s="21">
        <v>13</v>
      </c>
      <c r="B23" s="13">
        <v>511522104014</v>
      </c>
      <c r="C23" s="65" t="s">
        <v>127</v>
      </c>
      <c r="D23" s="69"/>
      <c r="E23" s="18">
        <v>6</v>
      </c>
      <c r="F23" s="18" t="s">
        <v>52</v>
      </c>
      <c r="G23" s="19"/>
      <c r="H23" s="18">
        <v>12</v>
      </c>
      <c r="I23" s="18">
        <v>18</v>
      </c>
      <c r="J23" s="21">
        <f t="shared" si="0"/>
        <v>36</v>
      </c>
      <c r="K23" s="21">
        <f t="shared" si="1"/>
        <v>3</v>
      </c>
      <c r="L23" s="21">
        <f t="shared" si="2"/>
        <v>1</v>
      </c>
      <c r="M23" s="68">
        <v>79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 x14ac:dyDescent="0.15">
      <c r="A24" s="21">
        <v>14</v>
      </c>
      <c r="B24" s="13">
        <v>511522104015</v>
      </c>
      <c r="C24" s="65" t="s">
        <v>128</v>
      </c>
      <c r="D24" s="69"/>
      <c r="E24" s="18">
        <v>42</v>
      </c>
      <c r="F24" s="18">
        <v>26</v>
      </c>
      <c r="G24" s="19"/>
      <c r="H24" s="18">
        <v>8</v>
      </c>
      <c r="I24" s="18">
        <v>50</v>
      </c>
      <c r="J24" s="21">
        <f t="shared" si="0"/>
        <v>126</v>
      </c>
      <c r="K24" s="21">
        <f t="shared" si="1"/>
        <v>3</v>
      </c>
      <c r="L24" s="21">
        <f t="shared" si="2"/>
        <v>0</v>
      </c>
      <c r="M24" s="68">
        <v>65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 x14ac:dyDescent="0.15">
      <c r="A25" s="21">
        <v>15</v>
      </c>
      <c r="B25" s="13">
        <v>511522104016</v>
      </c>
      <c r="C25" s="65" t="s">
        <v>129</v>
      </c>
      <c r="D25" s="69"/>
      <c r="E25" s="18" t="s">
        <v>52</v>
      </c>
      <c r="F25" s="18" t="s">
        <v>52</v>
      </c>
      <c r="G25" s="19"/>
      <c r="H25" s="18" t="s">
        <v>52</v>
      </c>
      <c r="I25" s="67" t="s">
        <v>52</v>
      </c>
      <c r="J25" s="21">
        <f t="shared" si="0"/>
        <v>0</v>
      </c>
      <c r="K25" s="21">
        <f t="shared" si="1"/>
        <v>0</v>
      </c>
      <c r="L25" s="21">
        <f t="shared" si="2"/>
        <v>4</v>
      </c>
      <c r="M25" s="68">
        <v>43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 x14ac:dyDescent="0.15">
      <c r="A26" s="21">
        <v>16</v>
      </c>
      <c r="B26" s="13">
        <v>511522104017</v>
      </c>
      <c r="C26" s="65" t="s">
        <v>130</v>
      </c>
      <c r="D26" s="69"/>
      <c r="E26" s="18">
        <v>36</v>
      </c>
      <c r="F26" s="18">
        <v>40</v>
      </c>
      <c r="G26" s="19"/>
      <c r="H26" s="18">
        <v>58</v>
      </c>
      <c r="I26" s="18">
        <v>50</v>
      </c>
      <c r="J26" s="21">
        <f t="shared" si="0"/>
        <v>184</v>
      </c>
      <c r="K26" s="21">
        <f t="shared" si="1"/>
        <v>2</v>
      </c>
      <c r="L26" s="21">
        <f t="shared" si="2"/>
        <v>0</v>
      </c>
      <c r="M26" s="68">
        <v>96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 x14ac:dyDescent="0.15">
      <c r="A27" s="21">
        <v>17</v>
      </c>
      <c r="B27" s="13">
        <v>511522104018</v>
      </c>
      <c r="C27" s="65" t="s">
        <v>131</v>
      </c>
      <c r="D27" s="69"/>
      <c r="E27" s="18" t="s">
        <v>132</v>
      </c>
      <c r="F27" s="18">
        <v>16</v>
      </c>
      <c r="G27" s="19"/>
      <c r="H27" s="18">
        <v>20</v>
      </c>
      <c r="I27" s="18">
        <v>32</v>
      </c>
      <c r="J27" s="21">
        <f t="shared" si="0"/>
        <v>68</v>
      </c>
      <c r="K27" s="21">
        <f t="shared" si="1"/>
        <v>3</v>
      </c>
      <c r="L27" s="21">
        <f t="shared" si="2"/>
        <v>0</v>
      </c>
      <c r="M27" s="68">
        <v>66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 x14ac:dyDescent="0.15">
      <c r="A28" s="70">
        <v>18</v>
      </c>
      <c r="B28" s="25">
        <v>511522104019</v>
      </c>
      <c r="C28" s="71" t="s">
        <v>133</v>
      </c>
      <c r="D28" s="72"/>
      <c r="E28" s="28">
        <v>0</v>
      </c>
      <c r="F28" s="28" t="s">
        <v>52</v>
      </c>
      <c r="G28" s="29"/>
      <c r="H28" s="73" t="s">
        <v>134</v>
      </c>
      <c r="I28" s="67" t="s">
        <v>52</v>
      </c>
      <c r="J28" s="21">
        <f t="shared" si="0"/>
        <v>0</v>
      </c>
      <c r="K28" s="21">
        <f t="shared" si="1"/>
        <v>1</v>
      </c>
      <c r="L28" s="21">
        <f t="shared" si="2"/>
        <v>2</v>
      </c>
      <c r="M28" s="68"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 x14ac:dyDescent="0.15">
      <c r="A29" s="21">
        <v>19</v>
      </c>
      <c r="B29" s="13">
        <v>511522104020</v>
      </c>
      <c r="C29" s="65" t="s">
        <v>135</v>
      </c>
      <c r="D29" s="69"/>
      <c r="E29" s="18" t="s">
        <v>52</v>
      </c>
      <c r="F29" s="18" t="s">
        <v>52</v>
      </c>
      <c r="G29" s="19"/>
      <c r="H29" s="67" t="s">
        <v>52</v>
      </c>
      <c r="I29" s="18">
        <v>38</v>
      </c>
      <c r="J29" s="21">
        <f t="shared" si="0"/>
        <v>38</v>
      </c>
      <c r="K29" s="21">
        <f t="shared" si="1"/>
        <v>1</v>
      </c>
      <c r="L29" s="21">
        <f t="shared" si="2"/>
        <v>3</v>
      </c>
      <c r="M29" s="68"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 x14ac:dyDescent="0.15">
      <c r="A30" s="21">
        <v>20</v>
      </c>
      <c r="B30" s="13">
        <v>511522104021</v>
      </c>
      <c r="C30" s="65" t="s">
        <v>136</v>
      </c>
      <c r="D30" s="69"/>
      <c r="E30" s="18">
        <v>30</v>
      </c>
      <c r="F30" s="18">
        <v>50</v>
      </c>
      <c r="G30" s="19"/>
      <c r="H30" s="18">
        <v>60</v>
      </c>
      <c r="I30" s="18">
        <v>58</v>
      </c>
      <c r="J30" s="21">
        <f t="shared" si="0"/>
        <v>198</v>
      </c>
      <c r="K30" s="21">
        <f t="shared" si="1"/>
        <v>1</v>
      </c>
      <c r="L30" s="21">
        <f t="shared" si="2"/>
        <v>0</v>
      </c>
      <c r="M30" s="68">
        <v>89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 x14ac:dyDescent="0.15">
      <c r="A31" s="21">
        <v>21</v>
      </c>
      <c r="B31" s="13">
        <v>511522104022</v>
      </c>
      <c r="C31" s="65" t="s">
        <v>137</v>
      </c>
      <c r="D31" s="69"/>
      <c r="E31" s="18">
        <v>68</v>
      </c>
      <c r="F31" s="18">
        <v>62</v>
      </c>
      <c r="G31" s="19"/>
      <c r="H31" s="18">
        <v>70</v>
      </c>
      <c r="I31" s="18">
        <v>72</v>
      </c>
      <c r="J31" s="21">
        <f t="shared" si="0"/>
        <v>272</v>
      </c>
      <c r="K31" s="21">
        <f t="shared" si="1"/>
        <v>0</v>
      </c>
      <c r="L31" s="21">
        <f t="shared" si="2"/>
        <v>0</v>
      </c>
      <c r="M31" s="68">
        <v>96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 x14ac:dyDescent="0.15">
      <c r="A32" s="21">
        <v>22</v>
      </c>
      <c r="B32" s="13">
        <v>511522104023</v>
      </c>
      <c r="C32" s="65" t="s">
        <v>138</v>
      </c>
      <c r="D32" s="69"/>
      <c r="E32" s="18">
        <v>64</v>
      </c>
      <c r="F32" s="18">
        <v>56</v>
      </c>
      <c r="G32" s="19"/>
      <c r="H32" s="67">
        <v>60</v>
      </c>
      <c r="I32" s="18">
        <v>24</v>
      </c>
      <c r="J32" s="21">
        <f t="shared" si="0"/>
        <v>204</v>
      </c>
      <c r="K32" s="21">
        <f t="shared" si="1"/>
        <v>1</v>
      </c>
      <c r="L32" s="21">
        <f t="shared" si="2"/>
        <v>0</v>
      </c>
      <c r="M32" s="68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 x14ac:dyDescent="0.15">
      <c r="A33" s="21">
        <v>23</v>
      </c>
      <c r="B33" s="13">
        <v>511522104025</v>
      </c>
      <c r="C33" s="65" t="s">
        <v>139</v>
      </c>
      <c r="D33" s="69"/>
      <c r="E33" s="18">
        <v>0</v>
      </c>
      <c r="F33" s="18">
        <v>0</v>
      </c>
      <c r="G33" s="19"/>
      <c r="H33" s="67">
        <v>4</v>
      </c>
      <c r="I33" s="18">
        <v>64</v>
      </c>
      <c r="J33" s="21">
        <f t="shared" si="0"/>
        <v>68</v>
      </c>
      <c r="K33" s="21">
        <f t="shared" si="1"/>
        <v>3</v>
      </c>
      <c r="L33" s="21">
        <f t="shared" si="2"/>
        <v>0</v>
      </c>
      <c r="M33" s="68">
        <v>86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 x14ac:dyDescent="0.15">
      <c r="A34" s="21">
        <v>24</v>
      </c>
      <c r="B34" s="13">
        <v>511522104026</v>
      </c>
      <c r="C34" s="65" t="s">
        <v>140</v>
      </c>
      <c r="D34" s="69"/>
      <c r="E34" s="18">
        <v>22</v>
      </c>
      <c r="F34" s="18">
        <v>32</v>
      </c>
      <c r="G34" s="19"/>
      <c r="H34" s="18">
        <v>52</v>
      </c>
      <c r="I34" s="18">
        <v>60</v>
      </c>
      <c r="J34" s="21">
        <f t="shared" si="0"/>
        <v>166</v>
      </c>
      <c r="K34" s="21">
        <f t="shared" si="1"/>
        <v>2</v>
      </c>
      <c r="L34" s="21">
        <f t="shared" si="2"/>
        <v>0</v>
      </c>
      <c r="M34" s="68">
        <v>86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 x14ac:dyDescent="0.15">
      <c r="A35" s="21">
        <v>25</v>
      </c>
      <c r="B35" s="13">
        <v>511522104027</v>
      </c>
      <c r="C35" s="65" t="s">
        <v>141</v>
      </c>
      <c r="D35" s="69"/>
      <c r="E35" s="18">
        <v>14</v>
      </c>
      <c r="F35" s="18">
        <v>30</v>
      </c>
      <c r="G35" s="19"/>
      <c r="H35" s="67">
        <v>44</v>
      </c>
      <c r="I35" s="67" t="s">
        <v>52</v>
      </c>
      <c r="J35" s="21">
        <f t="shared" si="0"/>
        <v>88</v>
      </c>
      <c r="K35" s="21">
        <f t="shared" si="1"/>
        <v>3</v>
      </c>
      <c r="L35" s="21">
        <f t="shared" si="2"/>
        <v>1</v>
      </c>
      <c r="M35" s="68">
        <v>93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.75" customHeight="1" x14ac:dyDescent="0.15">
      <c r="A36" s="21">
        <v>26</v>
      </c>
      <c r="B36" s="13">
        <v>511522104028</v>
      </c>
      <c r="C36" s="65" t="s">
        <v>142</v>
      </c>
      <c r="D36" s="69"/>
      <c r="E36" s="18">
        <v>0</v>
      </c>
      <c r="F36" s="18">
        <v>8</v>
      </c>
      <c r="G36" s="19"/>
      <c r="H36" s="18" t="s">
        <v>52</v>
      </c>
      <c r="I36" s="67" t="s">
        <v>52</v>
      </c>
      <c r="J36" s="21">
        <f t="shared" si="0"/>
        <v>8</v>
      </c>
      <c r="K36" s="21">
        <f t="shared" si="1"/>
        <v>2</v>
      </c>
      <c r="L36" s="21">
        <f t="shared" si="2"/>
        <v>2</v>
      </c>
      <c r="M36" s="68">
        <v>80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 x14ac:dyDescent="0.15">
      <c r="A37" s="21">
        <v>27</v>
      </c>
      <c r="B37" s="13">
        <v>511522104029</v>
      </c>
      <c r="C37" s="65" t="s">
        <v>143</v>
      </c>
      <c r="D37" s="69"/>
      <c r="E37" s="18">
        <v>0</v>
      </c>
      <c r="F37" s="18">
        <v>8</v>
      </c>
      <c r="G37" s="19"/>
      <c r="H37" s="18">
        <v>24</v>
      </c>
      <c r="I37" s="18">
        <v>18</v>
      </c>
      <c r="J37" s="21">
        <f t="shared" si="0"/>
        <v>50</v>
      </c>
      <c r="K37" s="21">
        <f t="shared" si="1"/>
        <v>4</v>
      </c>
      <c r="L37" s="21">
        <f t="shared" si="2"/>
        <v>0</v>
      </c>
      <c r="M37" s="68">
        <v>74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 x14ac:dyDescent="0.15">
      <c r="A38" s="21">
        <v>28</v>
      </c>
      <c r="B38" s="13">
        <v>511522104030</v>
      </c>
      <c r="C38" s="65" t="s">
        <v>144</v>
      </c>
      <c r="D38" s="69"/>
      <c r="E38" s="18">
        <v>4</v>
      </c>
      <c r="F38" s="18">
        <v>14</v>
      </c>
      <c r="G38" s="19"/>
      <c r="H38" s="67">
        <v>50</v>
      </c>
      <c r="I38" s="18">
        <v>20</v>
      </c>
      <c r="J38" s="21">
        <f t="shared" si="0"/>
        <v>88</v>
      </c>
      <c r="K38" s="21">
        <f t="shared" si="1"/>
        <v>3</v>
      </c>
      <c r="L38" s="21">
        <f t="shared" si="2"/>
        <v>0</v>
      </c>
      <c r="M38" s="68">
        <v>67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 x14ac:dyDescent="0.15">
      <c r="A39" s="21">
        <v>29</v>
      </c>
      <c r="B39" s="13">
        <v>511522104031</v>
      </c>
      <c r="C39" s="65" t="s">
        <v>145</v>
      </c>
      <c r="D39" s="69"/>
      <c r="E39" s="18">
        <v>0</v>
      </c>
      <c r="F39" s="18">
        <v>10</v>
      </c>
      <c r="G39" s="19"/>
      <c r="H39" s="18">
        <v>22</v>
      </c>
      <c r="I39" s="18">
        <v>20</v>
      </c>
      <c r="J39" s="21">
        <f t="shared" si="0"/>
        <v>52</v>
      </c>
      <c r="K39" s="21">
        <f t="shared" si="1"/>
        <v>4</v>
      </c>
      <c r="L39" s="21">
        <f t="shared" si="2"/>
        <v>0</v>
      </c>
      <c r="M39" s="68">
        <v>78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x14ac:dyDescent="0.15">
      <c r="A40" s="21">
        <v>30</v>
      </c>
      <c r="B40" s="13">
        <v>511522104032</v>
      </c>
      <c r="C40" s="65" t="s">
        <v>146</v>
      </c>
      <c r="D40" s="69"/>
      <c r="E40" s="18">
        <v>0</v>
      </c>
      <c r="F40" s="18">
        <v>12</v>
      </c>
      <c r="G40" s="19"/>
      <c r="H40" s="67">
        <v>40</v>
      </c>
      <c r="I40" s="18">
        <v>20</v>
      </c>
      <c r="J40" s="21">
        <f t="shared" si="0"/>
        <v>72</v>
      </c>
      <c r="K40" s="21">
        <f t="shared" si="1"/>
        <v>4</v>
      </c>
      <c r="L40" s="21">
        <f t="shared" si="2"/>
        <v>0</v>
      </c>
      <c r="M40" s="68">
        <v>74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 x14ac:dyDescent="0.15">
      <c r="A41" s="21">
        <v>31</v>
      </c>
      <c r="B41" s="13">
        <v>511522104033</v>
      </c>
      <c r="C41" s="65" t="s">
        <v>147</v>
      </c>
      <c r="D41" s="69"/>
      <c r="E41" s="18" t="s">
        <v>52</v>
      </c>
      <c r="F41" s="18">
        <v>40</v>
      </c>
      <c r="G41" s="19"/>
      <c r="H41" s="18">
        <v>66</v>
      </c>
      <c r="I41" s="18">
        <v>70</v>
      </c>
      <c r="J41" s="21">
        <f t="shared" si="0"/>
        <v>176</v>
      </c>
      <c r="K41" s="21">
        <f t="shared" si="1"/>
        <v>1</v>
      </c>
      <c r="L41" s="21">
        <f t="shared" si="2"/>
        <v>1</v>
      </c>
      <c r="M41" s="68">
        <v>89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 x14ac:dyDescent="0.15">
      <c r="A42" s="21">
        <v>32</v>
      </c>
      <c r="B42" s="13">
        <v>511522104034</v>
      </c>
      <c r="C42" s="65" t="s">
        <v>148</v>
      </c>
      <c r="D42" s="69"/>
      <c r="E42" s="18" t="s">
        <v>52</v>
      </c>
      <c r="F42" s="18" t="s">
        <v>52</v>
      </c>
      <c r="G42" s="19"/>
      <c r="H42" s="18" t="s">
        <v>52</v>
      </c>
      <c r="I42" s="67" t="s">
        <v>52</v>
      </c>
      <c r="J42" s="21">
        <f t="shared" si="0"/>
        <v>0</v>
      </c>
      <c r="K42" s="21">
        <f t="shared" si="1"/>
        <v>0</v>
      </c>
      <c r="L42" s="21">
        <f t="shared" si="2"/>
        <v>4</v>
      </c>
      <c r="M42" s="68">
        <v>86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 x14ac:dyDescent="0.15">
      <c r="A43" s="21">
        <v>33</v>
      </c>
      <c r="B43" s="13">
        <v>511522104035</v>
      </c>
      <c r="C43" s="65" t="s">
        <v>149</v>
      </c>
      <c r="D43" s="69"/>
      <c r="E43" s="18">
        <v>30</v>
      </c>
      <c r="F43" s="18">
        <v>30</v>
      </c>
      <c r="G43" s="19"/>
      <c r="H43" s="18">
        <v>34</v>
      </c>
      <c r="I43" s="18">
        <v>38</v>
      </c>
      <c r="J43" s="21">
        <f t="shared" si="0"/>
        <v>132</v>
      </c>
      <c r="K43" s="21">
        <f t="shared" si="1"/>
        <v>4</v>
      </c>
      <c r="L43" s="21">
        <f t="shared" si="2"/>
        <v>0</v>
      </c>
      <c r="M43" s="68">
        <v>85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 x14ac:dyDescent="0.15">
      <c r="A44" s="21">
        <v>34</v>
      </c>
      <c r="B44" s="13">
        <v>511522104036</v>
      </c>
      <c r="C44" s="65" t="s">
        <v>150</v>
      </c>
      <c r="D44" s="69"/>
      <c r="E44" s="18">
        <v>30</v>
      </c>
      <c r="F44" s="18">
        <v>42</v>
      </c>
      <c r="G44" s="19"/>
      <c r="H44" s="67">
        <v>50</v>
      </c>
      <c r="I44" s="18">
        <v>50</v>
      </c>
      <c r="J44" s="21">
        <f t="shared" si="0"/>
        <v>172</v>
      </c>
      <c r="K44" s="21">
        <f t="shared" si="1"/>
        <v>2</v>
      </c>
      <c r="L44" s="21">
        <f t="shared" si="2"/>
        <v>0</v>
      </c>
      <c r="M44" s="68">
        <v>82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 x14ac:dyDescent="0.15">
      <c r="A45" s="21">
        <v>35</v>
      </c>
      <c r="B45" s="13">
        <v>511522104037</v>
      </c>
      <c r="C45" s="65" t="s">
        <v>151</v>
      </c>
      <c r="D45" s="69"/>
      <c r="E45" s="18">
        <v>38</v>
      </c>
      <c r="F45" s="18">
        <v>44</v>
      </c>
      <c r="G45" s="19"/>
      <c r="H45" s="67" t="s">
        <v>52</v>
      </c>
      <c r="I45" s="18">
        <v>50</v>
      </c>
      <c r="J45" s="21">
        <f t="shared" si="0"/>
        <v>132</v>
      </c>
      <c r="K45" s="21">
        <f t="shared" si="1"/>
        <v>2</v>
      </c>
      <c r="L45" s="21">
        <f t="shared" si="2"/>
        <v>1</v>
      </c>
      <c r="M45" s="68">
        <v>82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 x14ac:dyDescent="0.15">
      <c r="A46" s="21">
        <v>36</v>
      </c>
      <c r="B46" s="13">
        <v>511522104038</v>
      </c>
      <c r="C46" s="65" t="s">
        <v>152</v>
      </c>
      <c r="D46" s="69"/>
      <c r="E46" s="18" t="s">
        <v>132</v>
      </c>
      <c r="F46" s="18">
        <v>63</v>
      </c>
      <c r="G46" s="19"/>
      <c r="H46" s="18">
        <v>52</v>
      </c>
      <c r="I46" s="18">
        <v>32</v>
      </c>
      <c r="J46" s="21">
        <f t="shared" si="0"/>
        <v>147</v>
      </c>
      <c r="K46" s="21">
        <f t="shared" si="1"/>
        <v>1</v>
      </c>
      <c r="L46" s="21">
        <f t="shared" si="2"/>
        <v>0</v>
      </c>
      <c r="M46" s="68">
        <v>80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 x14ac:dyDescent="0.15">
      <c r="A47" s="21">
        <v>37</v>
      </c>
      <c r="B47" s="13">
        <v>511522104039</v>
      </c>
      <c r="C47" s="65" t="s">
        <v>153</v>
      </c>
      <c r="D47" s="69"/>
      <c r="E47" s="18">
        <v>0</v>
      </c>
      <c r="F47" s="18">
        <v>4</v>
      </c>
      <c r="G47" s="19"/>
      <c r="H47" s="18">
        <v>8</v>
      </c>
      <c r="I47" s="18">
        <v>14</v>
      </c>
      <c r="J47" s="21">
        <f t="shared" si="0"/>
        <v>26</v>
      </c>
      <c r="K47" s="21">
        <f t="shared" si="1"/>
        <v>4</v>
      </c>
      <c r="L47" s="21">
        <f t="shared" si="2"/>
        <v>0</v>
      </c>
      <c r="M47" s="68">
        <v>72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 x14ac:dyDescent="0.15">
      <c r="A48" s="21">
        <v>38</v>
      </c>
      <c r="B48" s="13">
        <v>511522104040</v>
      </c>
      <c r="C48" s="65" t="s">
        <v>154</v>
      </c>
      <c r="D48" s="69"/>
      <c r="E48" s="18">
        <v>32</v>
      </c>
      <c r="F48" s="18">
        <v>52</v>
      </c>
      <c r="G48" s="19"/>
      <c r="H48" s="67">
        <v>50</v>
      </c>
      <c r="I48" s="18">
        <v>28</v>
      </c>
      <c r="J48" s="21">
        <f t="shared" si="0"/>
        <v>162</v>
      </c>
      <c r="K48" s="21">
        <f t="shared" si="1"/>
        <v>2</v>
      </c>
      <c r="L48" s="21">
        <f t="shared" si="2"/>
        <v>0</v>
      </c>
      <c r="M48" s="68">
        <v>64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 x14ac:dyDescent="0.15">
      <c r="A49" s="21">
        <v>39</v>
      </c>
      <c r="B49" s="13">
        <v>511522104041</v>
      </c>
      <c r="C49" s="65" t="s">
        <v>155</v>
      </c>
      <c r="D49" s="69"/>
      <c r="E49" s="18">
        <v>30</v>
      </c>
      <c r="F49" s="18">
        <v>52</v>
      </c>
      <c r="G49" s="19"/>
      <c r="H49" s="18">
        <v>50</v>
      </c>
      <c r="I49" s="18">
        <v>56</v>
      </c>
      <c r="J49" s="21">
        <f t="shared" si="0"/>
        <v>188</v>
      </c>
      <c r="K49" s="21">
        <f t="shared" si="1"/>
        <v>1</v>
      </c>
      <c r="L49" s="21">
        <f t="shared" si="2"/>
        <v>0</v>
      </c>
      <c r="M49" s="68">
        <v>80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 x14ac:dyDescent="0.2">
      <c r="A50" s="21">
        <v>40</v>
      </c>
      <c r="B50" s="13">
        <v>511522104042</v>
      </c>
      <c r="C50" s="65" t="s">
        <v>156</v>
      </c>
      <c r="D50" s="69"/>
      <c r="E50" s="18">
        <v>20</v>
      </c>
      <c r="F50" s="18">
        <v>6</v>
      </c>
      <c r="G50" s="19"/>
      <c r="H50" s="18">
        <v>56</v>
      </c>
      <c r="I50" s="18">
        <v>26</v>
      </c>
      <c r="J50" s="21">
        <f t="shared" si="0"/>
        <v>108</v>
      </c>
      <c r="K50" s="21">
        <f t="shared" si="1"/>
        <v>3</v>
      </c>
      <c r="L50" s="21">
        <f t="shared" si="2"/>
        <v>0</v>
      </c>
      <c r="M50" s="68">
        <v>84</v>
      </c>
      <c r="N50" s="31"/>
      <c r="O50" s="31"/>
      <c r="P50" s="31"/>
      <c r="Q50" s="31"/>
      <c r="R50" s="31"/>
      <c r="S50" s="31"/>
      <c r="T50" s="2"/>
      <c r="U50" s="2"/>
      <c r="V50" s="2"/>
      <c r="W50" s="2"/>
      <c r="X50" s="2"/>
      <c r="Y50" s="2"/>
      <c r="Z50" s="2"/>
    </row>
    <row r="51" spans="1:26" ht="24.75" customHeight="1" x14ac:dyDescent="0.2">
      <c r="A51" s="21">
        <v>41</v>
      </c>
      <c r="B51" s="13">
        <v>511522104043</v>
      </c>
      <c r="C51" s="65" t="s">
        <v>157</v>
      </c>
      <c r="D51" s="69"/>
      <c r="E51" s="18">
        <v>2</v>
      </c>
      <c r="F51" s="18" t="s">
        <v>52</v>
      </c>
      <c r="G51" s="19"/>
      <c r="H51" s="18" t="s">
        <v>52</v>
      </c>
      <c r="I51" s="67" t="s">
        <v>52</v>
      </c>
      <c r="J51" s="21">
        <f t="shared" si="0"/>
        <v>2</v>
      </c>
      <c r="K51" s="21">
        <f t="shared" si="1"/>
        <v>1</v>
      </c>
      <c r="L51" s="21">
        <f t="shared" si="2"/>
        <v>3</v>
      </c>
      <c r="M51" s="68">
        <v>54</v>
      </c>
      <c r="N51" s="32"/>
      <c r="O51" s="32"/>
      <c r="P51" s="32"/>
      <c r="Q51" s="32"/>
      <c r="R51" s="32"/>
      <c r="S51" s="32"/>
      <c r="T51" s="2"/>
      <c r="U51" s="2"/>
      <c r="V51" s="2"/>
      <c r="W51" s="2"/>
      <c r="X51" s="2"/>
      <c r="Y51" s="2"/>
      <c r="Z51" s="2"/>
    </row>
    <row r="52" spans="1:26" ht="24.75" customHeight="1" x14ac:dyDescent="0.15">
      <c r="A52" s="21">
        <v>42</v>
      </c>
      <c r="B52" s="13">
        <v>511522104044</v>
      </c>
      <c r="C52" s="65" t="s">
        <v>158</v>
      </c>
      <c r="D52" s="69"/>
      <c r="E52" s="18">
        <v>36</v>
      </c>
      <c r="F52" s="18">
        <v>50</v>
      </c>
      <c r="G52" s="19"/>
      <c r="H52" s="18">
        <v>60</v>
      </c>
      <c r="I52" s="18">
        <v>54</v>
      </c>
      <c r="J52" s="21">
        <f t="shared" si="0"/>
        <v>200</v>
      </c>
      <c r="K52" s="21">
        <f t="shared" si="1"/>
        <v>1</v>
      </c>
      <c r="L52" s="21">
        <f t="shared" si="2"/>
        <v>0</v>
      </c>
      <c r="M52" s="74">
        <v>86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 x14ac:dyDescent="0.15">
      <c r="A53" s="21">
        <v>43</v>
      </c>
      <c r="B53" s="13">
        <v>511522104045</v>
      </c>
      <c r="C53" s="65" t="s">
        <v>159</v>
      </c>
      <c r="D53" s="69"/>
      <c r="E53" s="18">
        <v>0</v>
      </c>
      <c r="F53" s="18">
        <v>18</v>
      </c>
      <c r="G53" s="19"/>
      <c r="H53" s="18">
        <v>2</v>
      </c>
      <c r="I53" s="18">
        <v>14</v>
      </c>
      <c r="J53" s="21">
        <f t="shared" si="0"/>
        <v>34</v>
      </c>
      <c r="K53" s="21">
        <f t="shared" si="1"/>
        <v>4</v>
      </c>
      <c r="L53" s="21">
        <f t="shared" si="2"/>
        <v>0</v>
      </c>
      <c r="M53" s="74">
        <v>96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 x14ac:dyDescent="0.15">
      <c r="A54" s="21">
        <v>44</v>
      </c>
      <c r="B54" s="13">
        <v>511522104046</v>
      </c>
      <c r="C54" s="65" t="s">
        <v>160</v>
      </c>
      <c r="D54" s="69"/>
      <c r="E54" s="18">
        <v>10</v>
      </c>
      <c r="F54" s="18">
        <v>32</v>
      </c>
      <c r="G54" s="19"/>
      <c r="H54" s="18">
        <v>50</v>
      </c>
      <c r="I54" s="18">
        <v>40</v>
      </c>
      <c r="J54" s="21">
        <f t="shared" si="0"/>
        <v>132</v>
      </c>
      <c r="K54" s="21">
        <f t="shared" si="1"/>
        <v>3</v>
      </c>
      <c r="L54" s="21">
        <f t="shared" si="2"/>
        <v>0</v>
      </c>
      <c r="M54" s="74">
        <v>96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 x14ac:dyDescent="0.15">
      <c r="A55" s="21">
        <v>45</v>
      </c>
      <c r="B55" s="13">
        <v>511522104047</v>
      </c>
      <c r="C55" s="65" t="s">
        <v>161</v>
      </c>
      <c r="D55" s="69"/>
      <c r="E55" s="18">
        <v>40</v>
      </c>
      <c r="F55" s="18">
        <v>34</v>
      </c>
      <c r="G55" s="19"/>
      <c r="H55" s="18">
        <v>56</v>
      </c>
      <c r="I55" s="18">
        <v>50</v>
      </c>
      <c r="J55" s="21">
        <f t="shared" si="0"/>
        <v>180</v>
      </c>
      <c r="K55" s="21">
        <f t="shared" si="1"/>
        <v>2</v>
      </c>
      <c r="L55" s="21">
        <f t="shared" si="2"/>
        <v>0</v>
      </c>
      <c r="M55" s="74">
        <v>85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 x14ac:dyDescent="0.15">
      <c r="A56" s="21">
        <v>46</v>
      </c>
      <c r="B56" s="13">
        <v>511522104048</v>
      </c>
      <c r="C56" s="65" t="s">
        <v>162</v>
      </c>
      <c r="D56" s="69"/>
      <c r="E56" s="18">
        <v>26</v>
      </c>
      <c r="F56" s="18">
        <v>50</v>
      </c>
      <c r="G56" s="19"/>
      <c r="H56" s="18">
        <v>62</v>
      </c>
      <c r="I56" s="18">
        <v>50</v>
      </c>
      <c r="J56" s="21">
        <f t="shared" si="0"/>
        <v>188</v>
      </c>
      <c r="K56" s="21">
        <f t="shared" si="1"/>
        <v>1</v>
      </c>
      <c r="L56" s="21">
        <f t="shared" si="2"/>
        <v>0</v>
      </c>
      <c r="M56" s="74">
        <v>86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 x14ac:dyDescent="0.15">
      <c r="A57" s="21">
        <v>47</v>
      </c>
      <c r="B57" s="13">
        <v>511522104049</v>
      </c>
      <c r="C57" s="65" t="s">
        <v>163</v>
      </c>
      <c r="D57" s="69"/>
      <c r="E57" s="18">
        <v>0</v>
      </c>
      <c r="F57" s="18">
        <v>8</v>
      </c>
      <c r="G57" s="19"/>
      <c r="H57" s="18">
        <v>20</v>
      </c>
      <c r="I57" s="18">
        <v>18</v>
      </c>
      <c r="J57" s="21">
        <f t="shared" si="0"/>
        <v>46</v>
      </c>
      <c r="K57" s="21">
        <f t="shared" si="1"/>
        <v>4</v>
      </c>
      <c r="L57" s="21">
        <f t="shared" si="2"/>
        <v>0</v>
      </c>
      <c r="M57" s="74">
        <v>82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 x14ac:dyDescent="0.15">
      <c r="A58" s="21">
        <v>48</v>
      </c>
      <c r="B58" s="13">
        <v>511522104050</v>
      </c>
      <c r="C58" s="65" t="s">
        <v>164</v>
      </c>
      <c r="D58" s="69"/>
      <c r="E58" s="18">
        <v>76</v>
      </c>
      <c r="F58" s="18" t="s">
        <v>52</v>
      </c>
      <c r="G58" s="19"/>
      <c r="H58" s="67">
        <v>56</v>
      </c>
      <c r="I58" s="18">
        <v>50</v>
      </c>
      <c r="J58" s="21">
        <f t="shared" si="0"/>
        <v>182</v>
      </c>
      <c r="K58" s="21">
        <f t="shared" si="1"/>
        <v>0</v>
      </c>
      <c r="L58" s="21">
        <f t="shared" si="2"/>
        <v>1</v>
      </c>
      <c r="M58" s="74">
        <v>86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 x14ac:dyDescent="0.15">
      <c r="A59" s="21">
        <v>49</v>
      </c>
      <c r="B59" s="13">
        <v>511522104051</v>
      </c>
      <c r="C59" s="65" t="s">
        <v>165</v>
      </c>
      <c r="D59" s="69"/>
      <c r="E59" s="18" t="s">
        <v>52</v>
      </c>
      <c r="F59" s="18">
        <v>4</v>
      </c>
      <c r="G59" s="19"/>
      <c r="H59" s="18">
        <v>18</v>
      </c>
      <c r="I59" s="18">
        <v>10</v>
      </c>
      <c r="J59" s="21">
        <f t="shared" si="0"/>
        <v>32</v>
      </c>
      <c r="K59" s="21">
        <f t="shared" si="1"/>
        <v>3</v>
      </c>
      <c r="L59" s="21">
        <f t="shared" si="2"/>
        <v>1</v>
      </c>
      <c r="M59" s="74">
        <v>86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 x14ac:dyDescent="0.15">
      <c r="A60" s="21">
        <v>50</v>
      </c>
      <c r="B60" s="13">
        <v>511522104052</v>
      </c>
      <c r="C60" s="65" t="s">
        <v>166</v>
      </c>
      <c r="D60" s="69"/>
      <c r="E60" s="18">
        <v>10</v>
      </c>
      <c r="F60" s="18">
        <v>20</v>
      </c>
      <c r="G60" s="19"/>
      <c r="H60" s="18">
        <v>42</v>
      </c>
      <c r="I60" s="18">
        <v>24</v>
      </c>
      <c r="J60" s="21">
        <f t="shared" si="0"/>
        <v>96</v>
      </c>
      <c r="K60" s="21">
        <f t="shared" si="1"/>
        <v>4</v>
      </c>
      <c r="L60" s="21">
        <f t="shared" si="2"/>
        <v>0</v>
      </c>
      <c r="M60" s="74">
        <v>90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 x14ac:dyDescent="0.15">
      <c r="A61" s="21">
        <v>51</v>
      </c>
      <c r="B61" s="13">
        <v>511522104053</v>
      </c>
      <c r="C61" s="65" t="s">
        <v>167</v>
      </c>
      <c r="D61" s="69"/>
      <c r="E61" s="18">
        <v>20</v>
      </c>
      <c r="F61" s="18">
        <v>38</v>
      </c>
      <c r="G61" s="19"/>
      <c r="H61" s="18">
        <v>62</v>
      </c>
      <c r="I61" s="18">
        <v>50</v>
      </c>
      <c r="J61" s="21">
        <f t="shared" si="0"/>
        <v>170</v>
      </c>
      <c r="K61" s="21">
        <f t="shared" si="1"/>
        <v>2</v>
      </c>
      <c r="L61" s="21">
        <f t="shared" si="2"/>
        <v>0</v>
      </c>
      <c r="M61" s="74">
        <v>82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 x14ac:dyDescent="0.15">
      <c r="A62" s="21">
        <v>52</v>
      </c>
      <c r="B62" s="13">
        <v>511522104054</v>
      </c>
      <c r="C62" s="65" t="s">
        <v>168</v>
      </c>
      <c r="D62" s="69"/>
      <c r="E62" s="18">
        <v>40</v>
      </c>
      <c r="F62" s="18">
        <v>42</v>
      </c>
      <c r="G62" s="19"/>
      <c r="H62" s="18">
        <v>78</v>
      </c>
      <c r="I62" s="18">
        <v>56</v>
      </c>
      <c r="J62" s="21">
        <f t="shared" si="0"/>
        <v>216</v>
      </c>
      <c r="K62" s="21">
        <f t="shared" si="1"/>
        <v>2</v>
      </c>
      <c r="L62" s="21">
        <f t="shared" si="2"/>
        <v>0</v>
      </c>
      <c r="M62" s="74">
        <v>79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 x14ac:dyDescent="0.15">
      <c r="A63" s="21">
        <v>53</v>
      </c>
      <c r="B63" s="13">
        <v>511522104055</v>
      </c>
      <c r="C63" s="65" t="s">
        <v>169</v>
      </c>
      <c r="D63" s="69"/>
      <c r="E63" s="18">
        <v>2</v>
      </c>
      <c r="F63" s="18">
        <v>26</v>
      </c>
      <c r="G63" s="19"/>
      <c r="H63" s="18">
        <v>44</v>
      </c>
      <c r="I63" s="18">
        <v>10</v>
      </c>
      <c r="J63" s="21">
        <f t="shared" si="0"/>
        <v>82</v>
      </c>
      <c r="K63" s="21">
        <f t="shared" si="1"/>
        <v>4</v>
      </c>
      <c r="L63" s="21">
        <f t="shared" si="2"/>
        <v>0</v>
      </c>
      <c r="M63" s="74">
        <v>68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 x14ac:dyDescent="0.15">
      <c r="A64" s="21">
        <v>54</v>
      </c>
      <c r="B64" s="13">
        <v>511522104056</v>
      </c>
      <c r="C64" s="65" t="s">
        <v>170</v>
      </c>
      <c r="D64" s="69"/>
      <c r="E64" s="18">
        <v>22</v>
      </c>
      <c r="F64" s="18">
        <v>16</v>
      </c>
      <c r="G64" s="19"/>
      <c r="H64" s="18">
        <v>52</v>
      </c>
      <c r="I64" s="18">
        <v>28</v>
      </c>
      <c r="J64" s="21">
        <f t="shared" si="0"/>
        <v>118</v>
      </c>
      <c r="K64" s="21">
        <f t="shared" si="1"/>
        <v>3</v>
      </c>
      <c r="L64" s="21">
        <f t="shared" si="2"/>
        <v>0</v>
      </c>
      <c r="M64" s="74">
        <v>96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 x14ac:dyDescent="0.15">
      <c r="A65" s="21">
        <v>55</v>
      </c>
      <c r="B65" s="13">
        <v>511522104057</v>
      </c>
      <c r="C65" s="65" t="s">
        <v>171</v>
      </c>
      <c r="D65" s="69"/>
      <c r="E65" s="18">
        <v>0</v>
      </c>
      <c r="F65" s="18">
        <v>0</v>
      </c>
      <c r="G65" s="19"/>
      <c r="H65" s="18">
        <v>20</v>
      </c>
      <c r="I65" s="18">
        <v>28</v>
      </c>
      <c r="J65" s="21">
        <f t="shared" si="0"/>
        <v>48</v>
      </c>
      <c r="K65" s="21">
        <f t="shared" si="1"/>
        <v>4</v>
      </c>
      <c r="L65" s="21">
        <f t="shared" si="2"/>
        <v>0</v>
      </c>
      <c r="M65" s="74">
        <v>40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 x14ac:dyDescent="0.15">
      <c r="A66" s="21">
        <v>56</v>
      </c>
      <c r="B66" s="13">
        <v>511522104058</v>
      </c>
      <c r="C66" s="65" t="s">
        <v>172</v>
      </c>
      <c r="D66" s="69"/>
      <c r="E66" s="18">
        <v>10</v>
      </c>
      <c r="F66" s="18">
        <v>22</v>
      </c>
      <c r="G66" s="19"/>
      <c r="H66" s="18">
        <v>38</v>
      </c>
      <c r="I66" s="18">
        <v>32</v>
      </c>
      <c r="J66" s="21">
        <f t="shared" si="0"/>
        <v>102</v>
      </c>
      <c r="K66" s="21">
        <f t="shared" si="1"/>
        <v>4</v>
      </c>
      <c r="L66" s="21">
        <f t="shared" si="2"/>
        <v>0</v>
      </c>
      <c r="M66" s="74">
        <v>78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 x14ac:dyDescent="0.15">
      <c r="A67" s="21">
        <v>57</v>
      </c>
      <c r="B67" s="13">
        <v>511522104059</v>
      </c>
      <c r="C67" s="65" t="s">
        <v>173</v>
      </c>
      <c r="D67" s="69"/>
      <c r="E67" s="18">
        <v>24</v>
      </c>
      <c r="F67" s="18">
        <v>36</v>
      </c>
      <c r="G67" s="19"/>
      <c r="H67" s="18">
        <v>16</v>
      </c>
      <c r="I67" s="18">
        <v>40</v>
      </c>
      <c r="J67" s="21">
        <f t="shared" si="0"/>
        <v>116</v>
      </c>
      <c r="K67" s="21">
        <f t="shared" si="1"/>
        <v>4</v>
      </c>
      <c r="L67" s="21">
        <f t="shared" si="2"/>
        <v>0</v>
      </c>
      <c r="M67" s="74">
        <v>82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.75" customHeight="1" x14ac:dyDescent="0.15">
      <c r="A68" s="21">
        <v>58</v>
      </c>
      <c r="B68" s="13">
        <v>511522104060</v>
      </c>
      <c r="C68" s="65" t="s">
        <v>174</v>
      </c>
      <c r="D68" s="69"/>
      <c r="E68" s="18">
        <v>30</v>
      </c>
      <c r="F68" s="18">
        <v>50</v>
      </c>
      <c r="G68" s="19"/>
      <c r="H68" s="18">
        <v>70</v>
      </c>
      <c r="I68" s="18">
        <v>34</v>
      </c>
      <c r="J68" s="21">
        <f t="shared" si="0"/>
        <v>184</v>
      </c>
      <c r="K68" s="21">
        <f t="shared" si="1"/>
        <v>2</v>
      </c>
      <c r="L68" s="21">
        <f t="shared" si="2"/>
        <v>0</v>
      </c>
      <c r="M68" s="68">
        <v>70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15">
      <c r="A69" s="21">
        <v>59</v>
      </c>
      <c r="B69" s="13">
        <v>511522104061</v>
      </c>
      <c r="C69" s="65" t="s">
        <v>175</v>
      </c>
      <c r="D69" s="69"/>
      <c r="E69" s="18">
        <v>30</v>
      </c>
      <c r="F69" s="18">
        <v>32</v>
      </c>
      <c r="G69" s="19"/>
      <c r="H69" s="18">
        <v>56</v>
      </c>
      <c r="I69" s="18">
        <v>24</v>
      </c>
      <c r="J69" s="21">
        <f t="shared" si="0"/>
        <v>142</v>
      </c>
      <c r="K69" s="21">
        <f t="shared" si="1"/>
        <v>3</v>
      </c>
      <c r="L69" s="21">
        <f t="shared" si="2"/>
        <v>0</v>
      </c>
      <c r="M69" s="68">
        <v>92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15">
      <c r="A70" s="21">
        <v>60</v>
      </c>
      <c r="B70" s="13">
        <v>511522104062</v>
      </c>
      <c r="C70" s="65" t="s">
        <v>176</v>
      </c>
      <c r="D70" s="69"/>
      <c r="E70" s="18">
        <v>10</v>
      </c>
      <c r="F70" s="18">
        <v>28</v>
      </c>
      <c r="G70" s="19"/>
      <c r="H70" s="18">
        <v>44</v>
      </c>
      <c r="I70" s="18">
        <v>36</v>
      </c>
      <c r="J70" s="21">
        <f t="shared" si="0"/>
        <v>118</v>
      </c>
      <c r="K70" s="21">
        <f t="shared" si="1"/>
        <v>4</v>
      </c>
      <c r="L70" s="21">
        <f t="shared" si="2"/>
        <v>0</v>
      </c>
      <c r="M70" s="68">
        <v>89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15">
      <c r="A71" s="21">
        <v>61</v>
      </c>
      <c r="B71" s="75">
        <v>511522104301</v>
      </c>
      <c r="C71" s="76" t="s">
        <v>177</v>
      </c>
      <c r="D71" s="77"/>
      <c r="E71" s="78">
        <v>24</v>
      </c>
      <c r="F71" s="78">
        <v>54</v>
      </c>
      <c r="G71" s="79"/>
      <c r="H71" s="67">
        <v>54</v>
      </c>
      <c r="I71" s="18">
        <v>40</v>
      </c>
      <c r="J71" s="21">
        <f t="shared" si="0"/>
        <v>172</v>
      </c>
      <c r="K71" s="21">
        <f t="shared" si="1"/>
        <v>2</v>
      </c>
      <c r="L71" s="21">
        <f t="shared" si="2"/>
        <v>0</v>
      </c>
      <c r="M71" s="68">
        <v>93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15">
      <c r="A72" s="21">
        <v>62</v>
      </c>
      <c r="B72" s="75">
        <v>511522104302</v>
      </c>
      <c r="C72" s="76" t="s">
        <v>178</v>
      </c>
      <c r="D72" s="77"/>
      <c r="E72" s="78">
        <v>6</v>
      </c>
      <c r="F72" s="78">
        <v>24</v>
      </c>
      <c r="G72" s="19"/>
      <c r="H72" s="78">
        <v>52</v>
      </c>
      <c r="I72" s="78">
        <v>18</v>
      </c>
      <c r="J72" s="21">
        <f t="shared" si="0"/>
        <v>100</v>
      </c>
      <c r="K72" s="21">
        <f t="shared" si="1"/>
        <v>3</v>
      </c>
      <c r="L72" s="21">
        <f t="shared" si="2"/>
        <v>0</v>
      </c>
      <c r="M72" s="68">
        <v>87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 x14ac:dyDescent="0.15">
      <c r="A73" s="80">
        <v>63</v>
      </c>
      <c r="B73" s="75"/>
      <c r="C73" s="76" t="s">
        <v>179</v>
      </c>
      <c r="D73" s="77"/>
      <c r="E73" s="78">
        <v>2</v>
      </c>
      <c r="F73" s="78">
        <v>4</v>
      </c>
      <c r="G73" s="79"/>
      <c r="H73" s="78">
        <v>54</v>
      </c>
      <c r="I73" s="78">
        <v>30</v>
      </c>
      <c r="J73" s="21">
        <f t="shared" si="0"/>
        <v>90</v>
      </c>
      <c r="K73" s="21">
        <f t="shared" si="1"/>
        <v>3</v>
      </c>
      <c r="L73" s="21">
        <f t="shared" si="2"/>
        <v>0</v>
      </c>
      <c r="M73" s="68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7.5" customHeight="1" x14ac:dyDescent="0.15">
      <c r="A74" s="248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35" t="s">
        <v>76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 x14ac:dyDescent="0.15">
      <c r="A75" s="243" t="s">
        <v>77</v>
      </c>
      <c r="B75" s="244"/>
      <c r="C75" s="245"/>
      <c r="D75" s="19">
        <v>63</v>
      </c>
      <c r="E75" s="19">
        <v>63</v>
      </c>
      <c r="F75" s="19">
        <v>63</v>
      </c>
      <c r="G75" s="19">
        <v>63</v>
      </c>
      <c r="H75" s="19">
        <v>63</v>
      </c>
      <c r="I75" s="19">
        <v>63</v>
      </c>
      <c r="J75" s="36" t="s">
        <v>78</v>
      </c>
      <c r="K75" s="36">
        <f>COUNTIF(K11:K70,"1")</f>
        <v>10</v>
      </c>
      <c r="L75" s="25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.75" customHeight="1" x14ac:dyDescent="0.15">
      <c r="A76" s="249" t="s">
        <v>79</v>
      </c>
      <c r="B76" s="244"/>
      <c r="C76" s="245"/>
      <c r="D76" s="19">
        <f>COUNT(D11:D70,"!AB")</f>
        <v>0</v>
      </c>
      <c r="E76" s="19">
        <f t="shared" ref="E76:I76" si="3">COUNT(E11:E73,"!AB")</f>
        <v>54</v>
      </c>
      <c r="F76" s="19">
        <f t="shared" si="3"/>
        <v>54</v>
      </c>
      <c r="G76" s="19">
        <f t="shared" si="3"/>
        <v>0</v>
      </c>
      <c r="H76" s="19">
        <f t="shared" si="3"/>
        <v>55</v>
      </c>
      <c r="I76" s="19">
        <f t="shared" si="3"/>
        <v>53</v>
      </c>
      <c r="J76" s="36" t="s">
        <v>80</v>
      </c>
      <c r="K76" s="36">
        <f>COUNTIF(K12:K70,"2")</f>
        <v>13</v>
      </c>
      <c r="L76" s="23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.75" customHeight="1" x14ac:dyDescent="0.15">
      <c r="A77" s="249" t="s">
        <v>81</v>
      </c>
      <c r="B77" s="244"/>
      <c r="C77" s="245"/>
      <c r="D77" s="19">
        <f>COUNTIF(D11:D70,"AB")</f>
        <v>0</v>
      </c>
      <c r="E77" s="19">
        <f t="shared" ref="E77:I77" si="4">COUNTIF(E11:E73,"AB")</f>
        <v>7</v>
      </c>
      <c r="F77" s="19">
        <f t="shared" si="4"/>
        <v>9</v>
      </c>
      <c r="G77" s="19">
        <f t="shared" si="4"/>
        <v>0</v>
      </c>
      <c r="H77" s="19">
        <f t="shared" si="4"/>
        <v>7</v>
      </c>
      <c r="I77" s="19">
        <f t="shared" si="4"/>
        <v>10</v>
      </c>
      <c r="J77" s="36" t="s">
        <v>82</v>
      </c>
      <c r="K77" s="36">
        <f>COUNTIF(K13:K70,"3")</f>
        <v>13</v>
      </c>
      <c r="L77" s="23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.75" customHeight="1" x14ac:dyDescent="0.15">
      <c r="A78" s="249" t="s">
        <v>83</v>
      </c>
      <c r="B78" s="244"/>
      <c r="C78" s="245"/>
      <c r="D78" s="19">
        <f t="shared" ref="D78:H78" si="5">COUNTIF(D11:D70,"OD")</f>
        <v>0</v>
      </c>
      <c r="E78" s="19">
        <f t="shared" si="5"/>
        <v>2</v>
      </c>
      <c r="F78" s="19">
        <f t="shared" si="5"/>
        <v>0</v>
      </c>
      <c r="G78" s="19">
        <f t="shared" si="5"/>
        <v>0</v>
      </c>
      <c r="H78" s="19">
        <f t="shared" si="5"/>
        <v>0</v>
      </c>
      <c r="I78" s="19">
        <f>COUNTIF(I11:I71,"OD")</f>
        <v>0</v>
      </c>
      <c r="J78" s="12" t="s">
        <v>84</v>
      </c>
      <c r="K78" s="36">
        <f>COUNTIF(K14:K70,"4")</f>
        <v>14</v>
      </c>
      <c r="L78" s="23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 x14ac:dyDescent="0.15">
      <c r="A79" s="249" t="s">
        <v>85</v>
      </c>
      <c r="B79" s="244"/>
      <c r="C79" s="245"/>
      <c r="D79" s="19">
        <f t="shared" ref="D79:E79" si="6">COUNTIF(D11:D70,"&gt;=50")</f>
        <v>0</v>
      </c>
      <c r="E79" s="19">
        <f t="shared" si="6"/>
        <v>8</v>
      </c>
      <c r="F79" s="19">
        <f>COUNTIF(F11:F73,"&gt;=50")</f>
        <v>14</v>
      </c>
      <c r="G79" s="19">
        <f t="shared" ref="G79:H79" si="7">COUNTIF(G11:G70,"&gt;=50")</f>
        <v>0</v>
      </c>
      <c r="H79" s="19">
        <f t="shared" si="7"/>
        <v>27</v>
      </c>
      <c r="I79" s="19">
        <f>COUNTIF(I11:I71,"&gt;=50")</f>
        <v>22</v>
      </c>
      <c r="J79" s="36" t="s">
        <v>86</v>
      </c>
      <c r="K79" s="36">
        <f>COUNTIF(K15:K70,"5")</f>
        <v>0</v>
      </c>
      <c r="L79" s="23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.75" customHeight="1" x14ac:dyDescent="0.15">
      <c r="A80" s="249" t="s">
        <v>87</v>
      </c>
      <c r="B80" s="244"/>
      <c r="C80" s="245"/>
      <c r="D80" s="19">
        <f t="shared" ref="D80:E80" si="8">COUNTIF(D11:D70,"&lt;=49")</f>
        <v>0</v>
      </c>
      <c r="E80" s="19">
        <f t="shared" si="8"/>
        <v>43</v>
      </c>
      <c r="F80" s="19">
        <f>COUNTIF(F11:F73,"&lt;=49")</f>
        <v>40</v>
      </c>
      <c r="G80" s="19">
        <f t="shared" ref="G80:H80" si="9">COUNTIF(G11:G70,"&lt;=49")</f>
        <v>0</v>
      </c>
      <c r="H80" s="19">
        <f t="shared" si="9"/>
        <v>25</v>
      </c>
      <c r="I80" s="19">
        <f>COUNTIF(I11:I71,"&lt;=49")</f>
        <v>29</v>
      </c>
      <c r="J80" s="36" t="s">
        <v>88</v>
      </c>
      <c r="K80" s="36">
        <f>COUNTIF(K16:K70,"6")</f>
        <v>0</v>
      </c>
      <c r="L80" s="23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.75" customHeight="1" x14ac:dyDescent="0.15">
      <c r="A81" s="249" t="s">
        <v>89</v>
      </c>
      <c r="B81" s="244"/>
      <c r="C81" s="245"/>
      <c r="D81" s="38" t="e">
        <f t="shared" ref="D81:I81" si="10">D79/D76</f>
        <v>#DIV/0!</v>
      </c>
      <c r="E81" s="38">
        <f t="shared" si="10"/>
        <v>0.14814814814814814</v>
      </c>
      <c r="F81" s="38">
        <f t="shared" si="10"/>
        <v>0.25925925925925924</v>
      </c>
      <c r="G81" s="38" t="e">
        <f t="shared" si="10"/>
        <v>#DIV/0!</v>
      </c>
      <c r="H81" s="38">
        <f t="shared" si="10"/>
        <v>0.49090909090909091</v>
      </c>
      <c r="I81" s="38">
        <f t="shared" si="10"/>
        <v>0.41509433962264153</v>
      </c>
      <c r="J81" s="39"/>
      <c r="K81" s="21"/>
      <c r="L81" s="236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56.25" customHeight="1" x14ac:dyDescent="0.15">
      <c r="A82" s="81"/>
      <c r="B82" s="82"/>
      <c r="C82" s="83"/>
      <c r="D82" s="82"/>
      <c r="E82" s="82"/>
      <c r="F82" s="82"/>
      <c r="G82" s="84"/>
      <c r="H82" s="5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6" ht="56.25" customHeight="1" x14ac:dyDescent="0.15">
      <c r="A83" s="81"/>
      <c r="B83" s="82"/>
      <c r="C83" s="83"/>
      <c r="D83" s="82"/>
      <c r="E83" s="82"/>
      <c r="F83" s="82"/>
      <c r="G83" s="84"/>
      <c r="H83" s="5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6" ht="56.25" customHeight="1" x14ac:dyDescent="0.15">
      <c r="A84" s="81"/>
      <c r="B84" s="82"/>
      <c r="C84" s="83"/>
      <c r="D84" s="82"/>
      <c r="E84" s="82"/>
      <c r="F84" s="82"/>
      <c r="G84" s="84"/>
      <c r="H84" s="5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6" ht="56.25" customHeight="1" x14ac:dyDescent="0.15">
      <c r="B85" s="85" t="s">
        <v>180</v>
      </c>
      <c r="C85" s="86" t="s">
        <v>91</v>
      </c>
      <c r="D85" s="87" t="s">
        <v>92</v>
      </c>
      <c r="E85" s="86" t="s">
        <v>93</v>
      </c>
      <c r="F85" s="86" t="s">
        <v>94</v>
      </c>
      <c r="G85" s="86" t="s">
        <v>95</v>
      </c>
      <c r="H85" s="49" t="s">
        <v>96</v>
      </c>
      <c r="I85" s="5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6" ht="56.25" customHeight="1" x14ac:dyDescent="0.2">
      <c r="B86" s="85">
        <v>1</v>
      </c>
      <c r="C86" s="52" t="s">
        <v>109</v>
      </c>
      <c r="D86" s="52" t="s">
        <v>181</v>
      </c>
      <c r="E86" s="88">
        <f>D76</f>
        <v>0</v>
      </c>
      <c r="F86" s="88">
        <f>D77</f>
        <v>0</v>
      </c>
      <c r="G86" s="88">
        <f>D79</f>
        <v>0</v>
      </c>
      <c r="H86" s="59" t="e">
        <f t="shared" ref="H86:H91" si="11">G86/E86*100</f>
        <v>#DIV/0!</v>
      </c>
      <c r="I86" s="5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6" ht="39.75" customHeight="1" x14ac:dyDescent="0.2">
      <c r="B87" s="85">
        <v>2</v>
      </c>
      <c r="C87" s="52" t="s">
        <v>110</v>
      </c>
      <c r="D87" s="52" t="s">
        <v>182</v>
      </c>
      <c r="E87" s="88">
        <f>E76</f>
        <v>54</v>
      </c>
      <c r="F87" s="88">
        <f>E77</f>
        <v>7</v>
      </c>
      <c r="G87" s="88">
        <f>E79</f>
        <v>8</v>
      </c>
      <c r="H87" s="59">
        <f t="shared" si="11"/>
        <v>14.814814814814813</v>
      </c>
      <c r="I87" s="5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6" ht="45" customHeight="1" x14ac:dyDescent="0.2">
      <c r="B88" s="85">
        <v>3</v>
      </c>
      <c r="C88" s="52" t="s">
        <v>111</v>
      </c>
      <c r="D88" s="52" t="s">
        <v>183</v>
      </c>
      <c r="E88" s="88">
        <f>F76</f>
        <v>54</v>
      </c>
      <c r="F88" s="88"/>
      <c r="G88" s="88"/>
      <c r="H88" s="59">
        <f t="shared" si="11"/>
        <v>0</v>
      </c>
      <c r="I88" s="5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6" ht="60.75" customHeight="1" x14ac:dyDescent="0.2">
      <c r="B89" s="85">
        <v>4</v>
      </c>
      <c r="C89" s="52" t="s">
        <v>112</v>
      </c>
      <c r="D89" s="52" t="s">
        <v>184</v>
      </c>
      <c r="E89" s="88">
        <f>G76</f>
        <v>0</v>
      </c>
      <c r="F89" s="88">
        <f>G77</f>
        <v>0</v>
      </c>
      <c r="G89" s="88">
        <f>G79</f>
        <v>0</v>
      </c>
      <c r="H89" s="59" t="e">
        <f t="shared" si="11"/>
        <v>#DIV/0!</v>
      </c>
      <c r="I89" s="5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6" ht="45" customHeight="1" x14ac:dyDescent="0.2">
      <c r="B90" s="85">
        <v>5</v>
      </c>
      <c r="C90" s="52" t="s">
        <v>113</v>
      </c>
      <c r="D90" s="52" t="s">
        <v>185</v>
      </c>
      <c r="E90" s="88">
        <f>H76</f>
        <v>55</v>
      </c>
      <c r="F90" s="88">
        <f>H77</f>
        <v>7</v>
      </c>
      <c r="G90" s="88">
        <f>H79</f>
        <v>27</v>
      </c>
      <c r="H90" s="59">
        <f t="shared" si="11"/>
        <v>49.090909090909093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6" ht="60.75" customHeight="1" x14ac:dyDescent="0.2">
      <c r="B91" s="85">
        <v>6</v>
      </c>
      <c r="C91" s="52" t="s">
        <v>114</v>
      </c>
      <c r="D91" s="52" t="s">
        <v>186</v>
      </c>
      <c r="E91" s="89">
        <f>I76</f>
        <v>53</v>
      </c>
      <c r="F91" s="89">
        <f>I77</f>
        <v>10</v>
      </c>
      <c r="G91" s="89">
        <f>I79</f>
        <v>22</v>
      </c>
      <c r="H91" s="59">
        <f t="shared" si="11"/>
        <v>41.509433962264154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6" ht="24.75" customHeight="1" x14ac:dyDescent="0.15">
      <c r="B92" s="7"/>
      <c r="C92" s="252" t="s">
        <v>187</v>
      </c>
      <c r="D92" s="253"/>
      <c r="E92" s="253"/>
      <c r="F92" s="253"/>
      <c r="G92" s="253"/>
      <c r="H92" s="253"/>
      <c r="I92" s="253"/>
      <c r="J92" s="25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.75" customHeight="1" x14ac:dyDescent="0.15">
      <c r="B93" s="7"/>
      <c r="C93" s="257" t="s">
        <v>188</v>
      </c>
      <c r="D93" s="90" t="s">
        <v>189</v>
      </c>
      <c r="E93" s="255" t="s">
        <v>190</v>
      </c>
      <c r="F93" s="244"/>
      <c r="G93" s="244"/>
      <c r="H93" s="244"/>
      <c r="I93" s="244"/>
      <c r="J93" s="24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.75" customHeight="1" x14ac:dyDescent="0.15">
      <c r="B94" s="7"/>
      <c r="C94" s="236"/>
      <c r="D94" s="91">
        <v>7</v>
      </c>
      <c r="E94" s="91" t="s">
        <v>191</v>
      </c>
      <c r="F94" s="91" t="s">
        <v>192</v>
      </c>
      <c r="G94" s="91" t="s">
        <v>193</v>
      </c>
      <c r="H94" s="91" t="s">
        <v>194</v>
      </c>
      <c r="I94" s="91" t="s">
        <v>195</v>
      </c>
      <c r="J94" s="91" t="s">
        <v>196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.75" customHeight="1" x14ac:dyDescent="0.15">
      <c r="B95" s="7"/>
      <c r="C95" s="92" t="s">
        <v>197</v>
      </c>
      <c r="D95" s="256"/>
      <c r="E95" s="91"/>
      <c r="F95" s="91"/>
      <c r="G95" s="91"/>
      <c r="H95" s="91"/>
      <c r="I95" s="91"/>
      <c r="J95" s="9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15">
      <c r="B96" s="7"/>
      <c r="C96" s="92" t="s">
        <v>198</v>
      </c>
      <c r="D96" s="236"/>
      <c r="E96" s="93"/>
      <c r="F96" s="94"/>
      <c r="G96" s="94"/>
      <c r="H96" s="94"/>
      <c r="I96" s="94"/>
      <c r="J96" s="9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15">
      <c r="B97" s="2"/>
      <c r="C97" s="61"/>
      <c r="D97" s="62"/>
      <c r="F97" s="61"/>
      <c r="G97" s="61"/>
      <c r="H97" s="61"/>
      <c r="I97" s="61"/>
      <c r="J97" s="61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15">
      <c r="B98" s="2"/>
      <c r="C98" s="61"/>
      <c r="D98" s="62"/>
      <c r="F98" s="61"/>
      <c r="G98" s="61"/>
      <c r="H98" s="61"/>
      <c r="I98" s="61"/>
      <c r="J98" s="6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15">
      <c r="B99" s="2"/>
      <c r="C99" s="2"/>
      <c r="D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15">
      <c r="B100" s="2"/>
      <c r="C100" s="241" t="s">
        <v>102</v>
      </c>
      <c r="D100" s="242"/>
      <c r="F100" s="63" t="s">
        <v>103</v>
      </c>
      <c r="G100" s="63"/>
      <c r="H100" s="63"/>
      <c r="I100" s="63" t="s">
        <v>104</v>
      </c>
      <c r="J100" s="6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1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15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15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15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1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15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15">
      <c r="A107" s="2"/>
      <c r="B107" s="2"/>
      <c r="C107" s="3"/>
      <c r="D107" s="2"/>
      <c r="E107" s="2"/>
      <c r="F107" s="95" t="s">
        <v>199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15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15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15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15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15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15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15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15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15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15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15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15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15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15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15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15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1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15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15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15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15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15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15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1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15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15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1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15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15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15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15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15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15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15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15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15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1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15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15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15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15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15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15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15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15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15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1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15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15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15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15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15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15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15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15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15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1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15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15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15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15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15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15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15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15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15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1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15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15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15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15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15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15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15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15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15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1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15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15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15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15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15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15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15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15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15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1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15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15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15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15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15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15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15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15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15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1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15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15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15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15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15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15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15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15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15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15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15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15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15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15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15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15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15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15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1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15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15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15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15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15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15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15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15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15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1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15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15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15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15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15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15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15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15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15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1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15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15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15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15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15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15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15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15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15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1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15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15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15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15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15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15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15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15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15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1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15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15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15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15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15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15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15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15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15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1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15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15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15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15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15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15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15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15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15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1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15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15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15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15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15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15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15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15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15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1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15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15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15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15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15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15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15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15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15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1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15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15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15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15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15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15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15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15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15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15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15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15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15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15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15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15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15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15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1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15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15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15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15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15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15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15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15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15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1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15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15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15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15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15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15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15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15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15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1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15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15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15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15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15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15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15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15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15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1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15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15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15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15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15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15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15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15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15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1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15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15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15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15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15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15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15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15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15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1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15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15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15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15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15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15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15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15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15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1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15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15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15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15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15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15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15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15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15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1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15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15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15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15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15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15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15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15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15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1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15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15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15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15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15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15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15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15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15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15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15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15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15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15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15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15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15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15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1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15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15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15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15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15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15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15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15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15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1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15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15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15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15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15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15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15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15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15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1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15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15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15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15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15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15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15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15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15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1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15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15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15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15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15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15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15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15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15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1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15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15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15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15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15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15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15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15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15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1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15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15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15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15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15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15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15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15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15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1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15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15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15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15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15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15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15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15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15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1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15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15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15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15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1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1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1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1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1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1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1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1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15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15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15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15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15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15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15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15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15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15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15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15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15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15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15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15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1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15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15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15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15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15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15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15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15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15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1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15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15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15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15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15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15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15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15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15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1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15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15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15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15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15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15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15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15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15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1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15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15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15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15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15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15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15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15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15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1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15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15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15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15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15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15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15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15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15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1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15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15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15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15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15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15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15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15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15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1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15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15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15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15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15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15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15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15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15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1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15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15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15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15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15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15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15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15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15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1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15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15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15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15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15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15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15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15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15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15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15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15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15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15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15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15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15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15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1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15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15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15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15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15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15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15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15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15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1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15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15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15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15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15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15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15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15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15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1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15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15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15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15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15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15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15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15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15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1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15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15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15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15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15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15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15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15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15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1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15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15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15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15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15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15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15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15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15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1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15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15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15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15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15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15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15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15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15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1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15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15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15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15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15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15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15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15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15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1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15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15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15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15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15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15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15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15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15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1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15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15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15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15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15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15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15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15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15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15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15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15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15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15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15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15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15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15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1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15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15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15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15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15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15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15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15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15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1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15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15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15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15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15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15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15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15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15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1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15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15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15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15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15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15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15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15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15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1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15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15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15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15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15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15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15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15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15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1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15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15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15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15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15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15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15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15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15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1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15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15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15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15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15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15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15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15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15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1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15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15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15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15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15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15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15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15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15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1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15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15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15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15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15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15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15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15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15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1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15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15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15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15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15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15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15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15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15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15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15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15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15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15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15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15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15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15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1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15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15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15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15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15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15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15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15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15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1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15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15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15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15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15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15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15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15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15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1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15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15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15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15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15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15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15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15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15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1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15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15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15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15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15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15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15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15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15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1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15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15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15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15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15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15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15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15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15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1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15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15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15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15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15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15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15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15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15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1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15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15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15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15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15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15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15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15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15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1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15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15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15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15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15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15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15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15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15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1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15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15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15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15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15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15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15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15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15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15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15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15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15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15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15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15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15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15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1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15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15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15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15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15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15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15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15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15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1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15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15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15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15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15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15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15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15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15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1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15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15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15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15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15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15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15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15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15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1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15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15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15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15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15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15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15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15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15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1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15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15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15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15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15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15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15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15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15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1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15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15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15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15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15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15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15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15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15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1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15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15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15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15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15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15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15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15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15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1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customHeight="1" x14ac:dyDescent="0.15">
      <c r="B996" s="2"/>
      <c r="C996" s="3"/>
      <c r="D996" s="2"/>
      <c r="E996" s="2"/>
      <c r="F996" s="2"/>
      <c r="G996" s="2"/>
      <c r="H996" s="2"/>
      <c r="I996" s="2"/>
      <c r="J996" s="2"/>
      <c r="K996" s="2"/>
    </row>
  </sheetData>
  <mergeCells count="22">
    <mergeCell ref="C93:C94"/>
    <mergeCell ref="A81:C81"/>
    <mergeCell ref="A80:C80"/>
    <mergeCell ref="A76:C76"/>
    <mergeCell ref="A77:C77"/>
    <mergeCell ref="A78:C78"/>
    <mergeCell ref="C100:D100"/>
    <mergeCell ref="L75:L81"/>
    <mergeCell ref="A79:C79"/>
    <mergeCell ref="K9:K10"/>
    <mergeCell ref="A7:M7"/>
    <mergeCell ref="A9:A10"/>
    <mergeCell ref="B9:B10"/>
    <mergeCell ref="C9:C10"/>
    <mergeCell ref="J9:J10"/>
    <mergeCell ref="L9:L10"/>
    <mergeCell ref="M9:M10"/>
    <mergeCell ref="A74:K74"/>
    <mergeCell ref="C92:J92"/>
    <mergeCell ref="E93:J93"/>
    <mergeCell ref="D95:D96"/>
    <mergeCell ref="A75:C75"/>
  </mergeCells>
  <conditionalFormatting sqref="J11:J73 J75:J77 J79:J81">
    <cfRule type="cellIs" dxfId="7" priority="1" stopIfTrue="1" operator="lessThan">
      <formula>50</formula>
    </cfRule>
    <cfRule type="cellIs" dxfId="6" priority="2" stopIfTrue="1" operator="equal">
      <formula>"AB"</formula>
    </cfRule>
  </conditionalFormatting>
  <pageMargins left="0.31496062992125984" right="0" top="0.31496062992125984" bottom="0.11811023622047245" header="0" footer="0"/>
  <pageSetup paperSize="9" scale="83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7"/>
  <sheetViews>
    <sheetView workbookViewId="0"/>
  </sheetViews>
  <sheetFormatPr defaultColWidth="12" defaultRowHeight="15" customHeight="1" x14ac:dyDescent="0.15"/>
  <cols>
    <col min="2" max="2" width="16.31640625" customWidth="1"/>
    <col min="3" max="3" width="21.84375" customWidth="1"/>
  </cols>
  <sheetData>
    <row r="1" spans="1:26" ht="12.75" x14ac:dyDescent="0.1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7"/>
      <c r="Z1" s="97"/>
    </row>
    <row r="2" spans="1:26" ht="12.75" x14ac:dyDescent="0.15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7"/>
      <c r="Z2" s="97"/>
    </row>
    <row r="3" spans="1:26" ht="12.75" x14ac:dyDescent="0.1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  <c r="Z3" s="97"/>
    </row>
    <row r="4" spans="1:26" ht="12.75" x14ac:dyDescent="0.1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  <c r="Z4" s="97"/>
    </row>
    <row r="5" spans="1:26" ht="12.75" x14ac:dyDescent="0.1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7"/>
      <c r="Z5" s="97"/>
    </row>
    <row r="6" spans="1:26" ht="12.75" x14ac:dyDescent="0.1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7"/>
    </row>
    <row r="7" spans="1:26" ht="18" x14ac:dyDescent="0.2">
      <c r="A7" s="262" t="s">
        <v>0</v>
      </c>
      <c r="B7" s="242"/>
      <c r="C7" s="242"/>
      <c r="D7" s="242"/>
      <c r="E7" s="242"/>
      <c r="F7" s="242"/>
      <c r="G7" s="242"/>
      <c r="H7" s="242"/>
      <c r="I7" s="98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7"/>
      <c r="Z7" s="97"/>
    </row>
    <row r="8" spans="1:26" x14ac:dyDescent="0.2">
      <c r="A8" s="99" t="s">
        <v>200</v>
      </c>
      <c r="B8" s="100"/>
      <c r="C8" s="100"/>
      <c r="D8" s="96"/>
      <c r="E8" s="101" t="s">
        <v>2</v>
      </c>
      <c r="F8" s="96"/>
      <c r="G8" s="102" t="s">
        <v>201</v>
      </c>
      <c r="H8" s="96"/>
      <c r="I8" s="103" t="s">
        <v>202</v>
      </c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7"/>
      <c r="Z8" s="97"/>
    </row>
    <row r="9" spans="1:26" ht="32.25" customHeight="1" x14ac:dyDescent="0.2">
      <c r="A9" s="263" t="s">
        <v>4</v>
      </c>
      <c r="B9" s="263" t="s">
        <v>5</v>
      </c>
      <c r="C9" s="264" t="s">
        <v>6</v>
      </c>
      <c r="D9" s="104"/>
      <c r="E9" s="104"/>
      <c r="F9" s="104"/>
      <c r="G9" s="104"/>
      <c r="H9" s="265" t="s">
        <v>7</v>
      </c>
      <c r="I9" s="260" t="s">
        <v>8</v>
      </c>
      <c r="J9" s="261" t="s">
        <v>9</v>
      </c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7"/>
      <c r="Z9" s="97"/>
    </row>
    <row r="10" spans="1:26" ht="68.25" x14ac:dyDescent="0.2">
      <c r="A10" s="239"/>
      <c r="B10" s="239"/>
      <c r="C10" s="239"/>
      <c r="D10" s="105" t="s">
        <v>203</v>
      </c>
      <c r="E10" s="105" t="s">
        <v>204</v>
      </c>
      <c r="F10" s="105" t="s">
        <v>205</v>
      </c>
      <c r="G10" s="105" t="s">
        <v>206</v>
      </c>
      <c r="H10" s="236"/>
      <c r="I10" s="236"/>
      <c r="J10" s="23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7"/>
      <c r="Z10" s="97"/>
    </row>
    <row r="11" spans="1:26" ht="26.25" customHeight="1" x14ac:dyDescent="0.15">
      <c r="A11" s="106">
        <v>1</v>
      </c>
      <c r="B11" s="107">
        <v>511521104001</v>
      </c>
      <c r="C11" s="108" t="s">
        <v>207</v>
      </c>
      <c r="D11" s="109"/>
      <c r="E11" s="109"/>
      <c r="F11" s="109"/>
      <c r="G11" s="109"/>
      <c r="H11" s="110"/>
      <c r="I11" s="110">
        <f t="shared" ref="I11:I77" si="0">COUNTIF(D11:G11,"&lt;=49")</f>
        <v>0</v>
      </c>
      <c r="J11" s="110">
        <f>COUNTIF(C11:H11,"AB")</f>
        <v>0</v>
      </c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7"/>
      <c r="Z11" s="97"/>
    </row>
    <row r="12" spans="1:26" ht="26.25" customHeight="1" x14ac:dyDescent="0.15">
      <c r="A12" s="106">
        <v>2</v>
      </c>
      <c r="B12" s="111">
        <v>511521104002</v>
      </c>
      <c r="C12" s="108" t="s">
        <v>208</v>
      </c>
      <c r="D12" s="109"/>
      <c r="E12" s="109"/>
      <c r="F12" s="109"/>
      <c r="G12" s="109"/>
      <c r="H12" s="110"/>
      <c r="I12" s="110">
        <f t="shared" si="0"/>
        <v>0</v>
      </c>
      <c r="J12" s="110">
        <f t="shared" ref="J12:J77" si="1">COUNTIF(E12:H12,"AB")</f>
        <v>0</v>
      </c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  <c r="Z12" s="97"/>
    </row>
    <row r="13" spans="1:26" ht="26.25" customHeight="1" x14ac:dyDescent="0.15">
      <c r="A13" s="106">
        <v>3</v>
      </c>
      <c r="B13" s="111">
        <v>511521104003</v>
      </c>
      <c r="C13" s="108" t="s">
        <v>209</v>
      </c>
      <c r="D13" s="109"/>
      <c r="E13" s="109"/>
      <c r="F13" s="109"/>
      <c r="G13" s="109"/>
      <c r="H13" s="110"/>
      <c r="I13" s="110">
        <f t="shared" si="0"/>
        <v>0</v>
      </c>
      <c r="J13" s="110">
        <f t="shared" si="1"/>
        <v>0</v>
      </c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7"/>
      <c r="Z13" s="97"/>
    </row>
    <row r="14" spans="1:26" ht="26.25" customHeight="1" x14ac:dyDescent="0.15">
      <c r="A14" s="106">
        <v>4</v>
      </c>
      <c r="B14" s="111">
        <v>511521104004</v>
      </c>
      <c r="C14" s="108" t="s">
        <v>210</v>
      </c>
      <c r="D14" s="109"/>
      <c r="E14" s="109"/>
      <c r="F14" s="109"/>
      <c r="G14" s="109"/>
      <c r="H14" s="110"/>
      <c r="I14" s="110">
        <f t="shared" si="0"/>
        <v>0</v>
      </c>
      <c r="J14" s="110">
        <f t="shared" si="1"/>
        <v>0</v>
      </c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  <c r="Z14" s="97"/>
    </row>
    <row r="15" spans="1:26" ht="26.25" customHeight="1" x14ac:dyDescent="0.15">
      <c r="A15" s="106">
        <v>5</v>
      </c>
      <c r="B15" s="111">
        <v>511521104005</v>
      </c>
      <c r="C15" s="108" t="s">
        <v>211</v>
      </c>
      <c r="D15" s="109"/>
      <c r="E15" s="109"/>
      <c r="F15" s="109"/>
      <c r="G15" s="109"/>
      <c r="H15" s="110"/>
      <c r="I15" s="110">
        <f t="shared" si="0"/>
        <v>0</v>
      </c>
      <c r="J15" s="110">
        <f t="shared" si="1"/>
        <v>0</v>
      </c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7"/>
      <c r="Z15" s="97"/>
    </row>
    <row r="16" spans="1:26" ht="26.25" customHeight="1" x14ac:dyDescent="0.15">
      <c r="A16" s="106">
        <v>6</v>
      </c>
      <c r="B16" s="111">
        <v>511521104006</v>
      </c>
      <c r="C16" s="108" t="s">
        <v>212</v>
      </c>
      <c r="D16" s="109"/>
      <c r="E16" s="109"/>
      <c r="F16" s="109"/>
      <c r="G16" s="109"/>
      <c r="H16" s="110"/>
      <c r="I16" s="110">
        <f t="shared" si="0"/>
        <v>0</v>
      </c>
      <c r="J16" s="110">
        <f t="shared" si="1"/>
        <v>0</v>
      </c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7"/>
      <c r="Z16" s="97"/>
    </row>
    <row r="17" spans="1:26" ht="26.25" customHeight="1" x14ac:dyDescent="0.15">
      <c r="A17" s="106">
        <v>7</v>
      </c>
      <c r="B17" s="112">
        <v>511521104007</v>
      </c>
      <c r="C17" s="113" t="s">
        <v>213</v>
      </c>
      <c r="D17" s="109"/>
      <c r="E17" s="109"/>
      <c r="F17" s="109"/>
      <c r="G17" s="109"/>
      <c r="H17" s="110"/>
      <c r="I17" s="110">
        <f t="shared" si="0"/>
        <v>0</v>
      </c>
      <c r="J17" s="110">
        <f t="shared" si="1"/>
        <v>0</v>
      </c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7"/>
      <c r="Z17" s="97"/>
    </row>
    <row r="18" spans="1:26" ht="26.25" customHeight="1" x14ac:dyDescent="0.15">
      <c r="A18" s="106">
        <v>8</v>
      </c>
      <c r="B18" s="112">
        <v>511521104009</v>
      </c>
      <c r="C18" s="113" t="s">
        <v>214</v>
      </c>
      <c r="D18" s="109"/>
      <c r="E18" s="109"/>
      <c r="F18" s="109"/>
      <c r="G18" s="109"/>
      <c r="H18" s="110"/>
      <c r="I18" s="110">
        <f t="shared" si="0"/>
        <v>0</v>
      </c>
      <c r="J18" s="110">
        <f t="shared" si="1"/>
        <v>0</v>
      </c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7"/>
      <c r="Z18" s="97"/>
    </row>
    <row r="19" spans="1:26" ht="26.25" customHeight="1" x14ac:dyDescent="0.15">
      <c r="A19" s="106">
        <v>9</v>
      </c>
      <c r="B19" s="112">
        <v>511521104010</v>
      </c>
      <c r="C19" s="113" t="s">
        <v>215</v>
      </c>
      <c r="D19" s="109"/>
      <c r="E19" s="109"/>
      <c r="F19" s="109"/>
      <c r="G19" s="109"/>
      <c r="H19" s="110"/>
      <c r="I19" s="110">
        <f t="shared" si="0"/>
        <v>0</v>
      </c>
      <c r="J19" s="110">
        <f t="shared" si="1"/>
        <v>0</v>
      </c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7"/>
      <c r="Z19" s="97"/>
    </row>
    <row r="20" spans="1:26" ht="26.25" customHeight="1" x14ac:dyDescent="0.15">
      <c r="A20" s="106">
        <v>10</v>
      </c>
      <c r="B20" s="112">
        <v>511521104011</v>
      </c>
      <c r="C20" s="113" t="s">
        <v>216</v>
      </c>
      <c r="D20" s="109"/>
      <c r="E20" s="109"/>
      <c r="F20" s="109"/>
      <c r="G20" s="109"/>
      <c r="H20" s="110"/>
      <c r="I20" s="110">
        <f t="shared" si="0"/>
        <v>0</v>
      </c>
      <c r="J20" s="110">
        <f t="shared" si="1"/>
        <v>0</v>
      </c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7"/>
      <c r="Z20" s="97"/>
    </row>
    <row r="21" spans="1:26" ht="26.25" customHeight="1" x14ac:dyDescent="0.15">
      <c r="A21" s="106">
        <v>11</v>
      </c>
      <c r="B21" s="112">
        <v>511521104012</v>
      </c>
      <c r="C21" s="113" t="s">
        <v>217</v>
      </c>
      <c r="D21" s="109"/>
      <c r="E21" s="109"/>
      <c r="F21" s="109"/>
      <c r="G21" s="109"/>
      <c r="H21" s="110"/>
      <c r="I21" s="110">
        <f t="shared" si="0"/>
        <v>0</v>
      </c>
      <c r="J21" s="110">
        <f t="shared" si="1"/>
        <v>0</v>
      </c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7"/>
      <c r="Z21" s="97"/>
    </row>
    <row r="22" spans="1:26" ht="26.25" customHeight="1" x14ac:dyDescent="0.15">
      <c r="A22" s="106">
        <v>12</v>
      </c>
      <c r="B22" s="112">
        <v>511521104013</v>
      </c>
      <c r="C22" s="113" t="s">
        <v>218</v>
      </c>
      <c r="D22" s="109"/>
      <c r="E22" s="109"/>
      <c r="F22" s="109"/>
      <c r="G22" s="109"/>
      <c r="H22" s="110"/>
      <c r="I22" s="110">
        <f t="shared" si="0"/>
        <v>0</v>
      </c>
      <c r="J22" s="110">
        <f t="shared" si="1"/>
        <v>0</v>
      </c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  <c r="Z22" s="97"/>
    </row>
    <row r="23" spans="1:26" ht="26.25" customHeight="1" x14ac:dyDescent="0.15">
      <c r="A23" s="106">
        <v>13</v>
      </c>
      <c r="B23" s="112">
        <v>511521104014</v>
      </c>
      <c r="C23" s="113" t="s">
        <v>219</v>
      </c>
      <c r="D23" s="109"/>
      <c r="E23" s="109"/>
      <c r="F23" s="109"/>
      <c r="G23" s="109"/>
      <c r="H23" s="110"/>
      <c r="I23" s="110">
        <f t="shared" si="0"/>
        <v>0</v>
      </c>
      <c r="J23" s="110">
        <f t="shared" si="1"/>
        <v>0</v>
      </c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  <c r="Z23" s="97"/>
    </row>
    <row r="24" spans="1:26" ht="26.25" customHeight="1" x14ac:dyDescent="0.15">
      <c r="A24" s="106">
        <v>14</v>
      </c>
      <c r="B24" s="112">
        <v>511521104015</v>
      </c>
      <c r="C24" s="113" t="s">
        <v>220</v>
      </c>
      <c r="D24" s="109"/>
      <c r="E24" s="109"/>
      <c r="F24" s="109"/>
      <c r="G24" s="109"/>
      <c r="H24" s="110"/>
      <c r="I24" s="110">
        <f t="shared" si="0"/>
        <v>0</v>
      </c>
      <c r="J24" s="110">
        <f t="shared" si="1"/>
        <v>0</v>
      </c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7"/>
      <c r="Z24" s="97"/>
    </row>
    <row r="25" spans="1:26" ht="26.25" customHeight="1" x14ac:dyDescent="0.15">
      <c r="A25" s="106">
        <v>15</v>
      </c>
      <c r="B25" s="112">
        <v>511521104016</v>
      </c>
      <c r="C25" s="113" t="s">
        <v>221</v>
      </c>
      <c r="D25" s="109"/>
      <c r="E25" s="109"/>
      <c r="F25" s="109"/>
      <c r="G25" s="109"/>
      <c r="H25" s="110"/>
      <c r="I25" s="110">
        <f t="shared" si="0"/>
        <v>0</v>
      </c>
      <c r="J25" s="110">
        <f t="shared" si="1"/>
        <v>0</v>
      </c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7"/>
      <c r="Z25" s="97"/>
    </row>
    <row r="26" spans="1:26" ht="26.25" customHeight="1" x14ac:dyDescent="0.15">
      <c r="A26" s="106">
        <v>16</v>
      </c>
      <c r="B26" s="112">
        <v>511521104017</v>
      </c>
      <c r="C26" s="113" t="s">
        <v>222</v>
      </c>
      <c r="D26" s="109"/>
      <c r="E26" s="109"/>
      <c r="F26" s="109"/>
      <c r="G26" s="109"/>
      <c r="H26" s="110"/>
      <c r="I26" s="110">
        <f t="shared" si="0"/>
        <v>0</v>
      </c>
      <c r="J26" s="110">
        <f t="shared" si="1"/>
        <v>0</v>
      </c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  <c r="Z26" s="97"/>
    </row>
    <row r="27" spans="1:26" ht="26.25" customHeight="1" x14ac:dyDescent="0.15">
      <c r="A27" s="106">
        <v>17</v>
      </c>
      <c r="B27" s="112">
        <v>511521104018</v>
      </c>
      <c r="C27" s="113" t="s">
        <v>223</v>
      </c>
      <c r="D27" s="109"/>
      <c r="E27" s="109"/>
      <c r="F27" s="109"/>
      <c r="G27" s="109"/>
      <c r="H27" s="110"/>
      <c r="I27" s="110">
        <f t="shared" si="0"/>
        <v>0</v>
      </c>
      <c r="J27" s="110">
        <f t="shared" si="1"/>
        <v>0</v>
      </c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7"/>
      <c r="Z27" s="97"/>
    </row>
    <row r="28" spans="1:26" ht="26.25" customHeight="1" x14ac:dyDescent="0.15">
      <c r="A28" s="106">
        <v>18</v>
      </c>
      <c r="B28" s="112">
        <v>511521104019</v>
      </c>
      <c r="C28" s="113" t="s">
        <v>224</v>
      </c>
      <c r="D28" s="109"/>
      <c r="E28" s="109"/>
      <c r="F28" s="109"/>
      <c r="G28" s="109"/>
      <c r="H28" s="110"/>
      <c r="I28" s="110">
        <f t="shared" si="0"/>
        <v>0</v>
      </c>
      <c r="J28" s="110">
        <f t="shared" si="1"/>
        <v>0</v>
      </c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7"/>
      <c r="Z28" s="97"/>
    </row>
    <row r="29" spans="1:26" ht="26.25" customHeight="1" x14ac:dyDescent="0.15">
      <c r="A29" s="106">
        <v>19</v>
      </c>
      <c r="B29" s="112">
        <v>511521104021</v>
      </c>
      <c r="C29" s="113" t="s">
        <v>225</v>
      </c>
      <c r="D29" s="109"/>
      <c r="E29" s="109"/>
      <c r="F29" s="109"/>
      <c r="G29" s="109"/>
      <c r="H29" s="110"/>
      <c r="I29" s="110">
        <f t="shared" si="0"/>
        <v>0</v>
      </c>
      <c r="J29" s="110">
        <f t="shared" si="1"/>
        <v>0</v>
      </c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7"/>
      <c r="Z29" s="97"/>
    </row>
    <row r="30" spans="1:26" ht="26.25" customHeight="1" x14ac:dyDescent="0.15">
      <c r="A30" s="106">
        <v>20</v>
      </c>
      <c r="B30" s="112">
        <v>511521104022</v>
      </c>
      <c r="C30" s="113" t="s">
        <v>226</v>
      </c>
      <c r="D30" s="109"/>
      <c r="E30" s="109"/>
      <c r="F30" s="109"/>
      <c r="G30" s="109"/>
      <c r="H30" s="114"/>
      <c r="I30" s="110">
        <f t="shared" si="0"/>
        <v>0</v>
      </c>
      <c r="J30" s="110">
        <f t="shared" si="1"/>
        <v>0</v>
      </c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7"/>
      <c r="Z30" s="97"/>
    </row>
    <row r="31" spans="1:26" ht="26.25" customHeight="1" x14ac:dyDescent="0.15">
      <c r="A31" s="106">
        <v>21</v>
      </c>
      <c r="B31" s="112">
        <v>511521104023</v>
      </c>
      <c r="C31" s="113" t="s">
        <v>227</v>
      </c>
      <c r="D31" s="109"/>
      <c r="E31" s="109"/>
      <c r="F31" s="109"/>
      <c r="G31" s="109"/>
      <c r="H31" s="110"/>
      <c r="I31" s="110">
        <f t="shared" si="0"/>
        <v>0</v>
      </c>
      <c r="J31" s="110">
        <f t="shared" si="1"/>
        <v>0</v>
      </c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7"/>
      <c r="Z31" s="97"/>
    </row>
    <row r="32" spans="1:26" ht="26.25" customHeight="1" x14ac:dyDescent="0.15">
      <c r="A32" s="106">
        <v>22</v>
      </c>
      <c r="B32" s="112">
        <v>511521104024</v>
      </c>
      <c r="C32" s="113" t="s">
        <v>228</v>
      </c>
      <c r="D32" s="109"/>
      <c r="E32" s="109"/>
      <c r="F32" s="109"/>
      <c r="G32" s="109"/>
      <c r="H32" s="110"/>
      <c r="I32" s="110">
        <f t="shared" si="0"/>
        <v>0</v>
      </c>
      <c r="J32" s="110">
        <f t="shared" si="1"/>
        <v>0</v>
      </c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7"/>
      <c r="Z32" s="97"/>
    </row>
    <row r="33" spans="1:26" ht="26.25" customHeight="1" x14ac:dyDescent="0.15">
      <c r="A33" s="106">
        <v>23</v>
      </c>
      <c r="B33" s="112">
        <v>511521104025</v>
      </c>
      <c r="C33" s="113" t="s">
        <v>229</v>
      </c>
      <c r="D33" s="109"/>
      <c r="E33" s="109"/>
      <c r="F33" s="109"/>
      <c r="G33" s="109"/>
      <c r="H33" s="110"/>
      <c r="I33" s="110">
        <f t="shared" si="0"/>
        <v>0</v>
      </c>
      <c r="J33" s="110">
        <f t="shared" si="1"/>
        <v>0</v>
      </c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7"/>
      <c r="Z33" s="97"/>
    </row>
    <row r="34" spans="1:26" ht="26.25" customHeight="1" x14ac:dyDescent="0.15">
      <c r="A34" s="106">
        <v>24</v>
      </c>
      <c r="B34" s="112">
        <v>511521104026</v>
      </c>
      <c r="C34" s="113" t="s">
        <v>230</v>
      </c>
      <c r="D34" s="109"/>
      <c r="E34" s="109"/>
      <c r="F34" s="109"/>
      <c r="G34" s="109"/>
      <c r="H34" s="110"/>
      <c r="I34" s="110">
        <f t="shared" si="0"/>
        <v>0</v>
      </c>
      <c r="J34" s="110">
        <f t="shared" si="1"/>
        <v>0</v>
      </c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7"/>
      <c r="Z34" s="97"/>
    </row>
    <row r="35" spans="1:26" ht="26.25" customHeight="1" x14ac:dyDescent="0.15">
      <c r="A35" s="106">
        <v>25</v>
      </c>
      <c r="B35" s="112">
        <v>511521104027</v>
      </c>
      <c r="C35" s="113" t="s">
        <v>231</v>
      </c>
      <c r="D35" s="109"/>
      <c r="E35" s="109"/>
      <c r="F35" s="109"/>
      <c r="G35" s="109"/>
      <c r="H35" s="110"/>
      <c r="I35" s="110">
        <f t="shared" si="0"/>
        <v>0</v>
      </c>
      <c r="J35" s="110">
        <f t="shared" si="1"/>
        <v>0</v>
      </c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7"/>
      <c r="Z35" s="97"/>
    </row>
    <row r="36" spans="1:26" ht="26.25" customHeight="1" x14ac:dyDescent="0.15">
      <c r="A36" s="106">
        <v>26</v>
      </c>
      <c r="B36" s="112">
        <v>511521104028</v>
      </c>
      <c r="C36" s="113" t="s">
        <v>232</v>
      </c>
      <c r="D36" s="109"/>
      <c r="E36" s="109"/>
      <c r="F36" s="109"/>
      <c r="G36" s="109"/>
      <c r="H36" s="110"/>
      <c r="I36" s="110">
        <f t="shared" si="0"/>
        <v>0</v>
      </c>
      <c r="J36" s="110">
        <f t="shared" si="1"/>
        <v>0</v>
      </c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7"/>
      <c r="Z36" s="97"/>
    </row>
    <row r="37" spans="1:26" ht="26.25" customHeight="1" x14ac:dyDescent="0.15">
      <c r="A37" s="106">
        <v>27</v>
      </c>
      <c r="B37" s="112">
        <v>511521104029</v>
      </c>
      <c r="C37" s="113" t="s">
        <v>233</v>
      </c>
      <c r="D37" s="109"/>
      <c r="E37" s="109"/>
      <c r="F37" s="109"/>
      <c r="G37" s="109"/>
      <c r="H37" s="110"/>
      <c r="I37" s="110">
        <f t="shared" si="0"/>
        <v>0</v>
      </c>
      <c r="J37" s="110">
        <f t="shared" si="1"/>
        <v>0</v>
      </c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7"/>
      <c r="Z37" s="97"/>
    </row>
    <row r="38" spans="1:26" ht="26.25" customHeight="1" x14ac:dyDescent="0.15">
      <c r="A38" s="106">
        <v>28</v>
      </c>
      <c r="B38" s="112">
        <v>511521104030</v>
      </c>
      <c r="C38" s="113" t="s">
        <v>234</v>
      </c>
      <c r="D38" s="109"/>
      <c r="E38" s="109"/>
      <c r="F38" s="109"/>
      <c r="G38" s="109"/>
      <c r="H38" s="110"/>
      <c r="I38" s="110">
        <f t="shared" si="0"/>
        <v>0</v>
      </c>
      <c r="J38" s="110">
        <f t="shared" si="1"/>
        <v>0</v>
      </c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  <c r="Z38" s="97"/>
    </row>
    <row r="39" spans="1:26" ht="26.25" customHeight="1" x14ac:dyDescent="0.15">
      <c r="A39" s="106">
        <v>29</v>
      </c>
      <c r="B39" s="112">
        <v>511521104031</v>
      </c>
      <c r="C39" s="113" t="s">
        <v>235</v>
      </c>
      <c r="D39" s="109"/>
      <c r="E39" s="109"/>
      <c r="F39" s="109"/>
      <c r="G39" s="109"/>
      <c r="H39" s="114"/>
      <c r="I39" s="110">
        <f t="shared" si="0"/>
        <v>0</v>
      </c>
      <c r="J39" s="110">
        <f t="shared" si="1"/>
        <v>0</v>
      </c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7"/>
      <c r="Z39" s="97"/>
    </row>
    <row r="40" spans="1:26" ht="26.25" customHeight="1" x14ac:dyDescent="0.15">
      <c r="A40" s="106">
        <v>30</v>
      </c>
      <c r="B40" s="112">
        <v>511521104032</v>
      </c>
      <c r="C40" s="113" t="s">
        <v>236</v>
      </c>
      <c r="D40" s="109"/>
      <c r="E40" s="109"/>
      <c r="F40" s="109"/>
      <c r="G40" s="109"/>
      <c r="H40" s="110"/>
      <c r="I40" s="110">
        <f t="shared" si="0"/>
        <v>0</v>
      </c>
      <c r="J40" s="110">
        <f t="shared" si="1"/>
        <v>0</v>
      </c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7"/>
      <c r="Z40" s="97"/>
    </row>
    <row r="41" spans="1:26" ht="26.25" customHeight="1" x14ac:dyDescent="0.15">
      <c r="A41" s="106">
        <v>31</v>
      </c>
      <c r="B41" s="112">
        <v>511521104033</v>
      </c>
      <c r="C41" s="113" t="s">
        <v>237</v>
      </c>
      <c r="D41" s="109"/>
      <c r="E41" s="109"/>
      <c r="F41" s="109"/>
      <c r="G41" s="109"/>
      <c r="H41" s="110"/>
      <c r="I41" s="110">
        <f t="shared" si="0"/>
        <v>0</v>
      </c>
      <c r="J41" s="110">
        <f t="shared" si="1"/>
        <v>0</v>
      </c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7"/>
      <c r="Z41" s="97"/>
    </row>
    <row r="42" spans="1:26" ht="26.25" customHeight="1" x14ac:dyDescent="0.15">
      <c r="A42" s="106">
        <v>32</v>
      </c>
      <c r="B42" s="112">
        <v>511521104034</v>
      </c>
      <c r="C42" s="113" t="s">
        <v>238</v>
      </c>
      <c r="D42" s="109"/>
      <c r="E42" s="109"/>
      <c r="F42" s="109"/>
      <c r="G42" s="109"/>
      <c r="H42" s="110"/>
      <c r="I42" s="110">
        <f t="shared" si="0"/>
        <v>0</v>
      </c>
      <c r="J42" s="110">
        <f t="shared" si="1"/>
        <v>0</v>
      </c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7"/>
      <c r="Z42" s="97"/>
    </row>
    <row r="43" spans="1:26" ht="26.25" customHeight="1" x14ac:dyDescent="0.15">
      <c r="A43" s="106">
        <v>33</v>
      </c>
      <c r="B43" s="112">
        <v>511521104035</v>
      </c>
      <c r="C43" s="113" t="s">
        <v>239</v>
      </c>
      <c r="D43" s="109"/>
      <c r="E43" s="109"/>
      <c r="F43" s="109"/>
      <c r="G43" s="109"/>
      <c r="H43" s="110"/>
      <c r="I43" s="110">
        <f t="shared" si="0"/>
        <v>0</v>
      </c>
      <c r="J43" s="110">
        <f t="shared" si="1"/>
        <v>0</v>
      </c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7"/>
      <c r="Z43" s="97"/>
    </row>
    <row r="44" spans="1:26" ht="26.25" customHeight="1" x14ac:dyDescent="0.15">
      <c r="A44" s="106">
        <v>34</v>
      </c>
      <c r="B44" s="112">
        <v>511521104036</v>
      </c>
      <c r="C44" s="113" t="s">
        <v>240</v>
      </c>
      <c r="D44" s="109"/>
      <c r="E44" s="109"/>
      <c r="F44" s="109"/>
      <c r="G44" s="109"/>
      <c r="H44" s="110"/>
      <c r="I44" s="110">
        <f t="shared" si="0"/>
        <v>0</v>
      </c>
      <c r="J44" s="110">
        <f t="shared" si="1"/>
        <v>0</v>
      </c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7"/>
      <c r="Z44" s="97"/>
    </row>
    <row r="45" spans="1:26" ht="26.25" customHeight="1" x14ac:dyDescent="0.15">
      <c r="A45" s="106">
        <v>35</v>
      </c>
      <c r="B45" s="112">
        <v>511521104037</v>
      </c>
      <c r="C45" s="113" t="s">
        <v>241</v>
      </c>
      <c r="D45" s="109"/>
      <c r="E45" s="109"/>
      <c r="F45" s="109"/>
      <c r="G45" s="109"/>
      <c r="H45" s="110"/>
      <c r="I45" s="110">
        <f t="shared" si="0"/>
        <v>0</v>
      </c>
      <c r="J45" s="110">
        <f t="shared" si="1"/>
        <v>0</v>
      </c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7"/>
      <c r="Z45" s="97"/>
    </row>
    <row r="46" spans="1:26" ht="26.25" customHeight="1" x14ac:dyDescent="0.15">
      <c r="A46" s="106">
        <v>36</v>
      </c>
      <c r="B46" s="112">
        <v>511521104038</v>
      </c>
      <c r="C46" s="113" t="s">
        <v>242</v>
      </c>
      <c r="D46" s="109"/>
      <c r="E46" s="109"/>
      <c r="F46" s="109"/>
      <c r="G46" s="109"/>
      <c r="H46" s="110"/>
      <c r="I46" s="110">
        <f t="shared" si="0"/>
        <v>0</v>
      </c>
      <c r="J46" s="110">
        <f t="shared" si="1"/>
        <v>0</v>
      </c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7"/>
      <c r="Z46" s="97"/>
    </row>
    <row r="47" spans="1:26" ht="26.25" customHeight="1" x14ac:dyDescent="0.15">
      <c r="A47" s="106">
        <v>37</v>
      </c>
      <c r="B47" s="112">
        <v>511521104039</v>
      </c>
      <c r="C47" s="113" t="s">
        <v>243</v>
      </c>
      <c r="D47" s="109"/>
      <c r="E47" s="109"/>
      <c r="F47" s="109"/>
      <c r="G47" s="109"/>
      <c r="H47" s="110"/>
      <c r="I47" s="110">
        <f t="shared" si="0"/>
        <v>0</v>
      </c>
      <c r="J47" s="110">
        <f t="shared" si="1"/>
        <v>0</v>
      </c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7"/>
      <c r="Z47" s="97"/>
    </row>
    <row r="48" spans="1:26" ht="26.25" customHeight="1" x14ac:dyDescent="0.15">
      <c r="A48" s="106">
        <v>38</v>
      </c>
      <c r="B48" s="112">
        <v>511521104040</v>
      </c>
      <c r="C48" s="113" t="s">
        <v>244</v>
      </c>
      <c r="D48" s="109"/>
      <c r="E48" s="109"/>
      <c r="F48" s="109"/>
      <c r="G48" s="109"/>
      <c r="H48" s="110"/>
      <c r="I48" s="110">
        <f t="shared" si="0"/>
        <v>0</v>
      </c>
      <c r="J48" s="110">
        <f t="shared" si="1"/>
        <v>0</v>
      </c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7"/>
      <c r="Z48" s="97"/>
    </row>
    <row r="49" spans="1:26" ht="26.25" customHeight="1" x14ac:dyDescent="0.15">
      <c r="A49" s="106">
        <v>39</v>
      </c>
      <c r="B49" s="112">
        <v>511521104041</v>
      </c>
      <c r="C49" s="113" t="s">
        <v>245</v>
      </c>
      <c r="D49" s="109"/>
      <c r="E49" s="109"/>
      <c r="F49" s="109"/>
      <c r="G49" s="109"/>
      <c r="H49" s="110"/>
      <c r="I49" s="110">
        <f t="shared" si="0"/>
        <v>0</v>
      </c>
      <c r="J49" s="110">
        <f t="shared" si="1"/>
        <v>0</v>
      </c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7"/>
      <c r="Z49" s="97"/>
    </row>
    <row r="50" spans="1:26" ht="26.25" customHeight="1" x14ac:dyDescent="0.15">
      <c r="A50" s="106">
        <v>40</v>
      </c>
      <c r="B50" s="112">
        <v>511521104042</v>
      </c>
      <c r="C50" s="113" t="s">
        <v>246</v>
      </c>
      <c r="D50" s="109"/>
      <c r="E50" s="109"/>
      <c r="F50" s="109"/>
      <c r="G50" s="109"/>
      <c r="H50" s="110"/>
      <c r="I50" s="110">
        <f t="shared" si="0"/>
        <v>0</v>
      </c>
      <c r="J50" s="110">
        <f t="shared" si="1"/>
        <v>0</v>
      </c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7"/>
      <c r="Z50" s="97"/>
    </row>
    <row r="51" spans="1:26" ht="26.25" customHeight="1" x14ac:dyDescent="0.15">
      <c r="A51" s="106">
        <v>41</v>
      </c>
      <c r="B51" s="112">
        <v>511521104043</v>
      </c>
      <c r="C51" s="113" t="s">
        <v>247</v>
      </c>
      <c r="D51" s="109"/>
      <c r="E51" s="109"/>
      <c r="F51" s="109"/>
      <c r="G51" s="109"/>
      <c r="H51" s="110"/>
      <c r="I51" s="110">
        <f t="shared" si="0"/>
        <v>0</v>
      </c>
      <c r="J51" s="110">
        <f t="shared" si="1"/>
        <v>0</v>
      </c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7"/>
      <c r="Z51" s="97"/>
    </row>
    <row r="52" spans="1:26" ht="26.25" customHeight="1" x14ac:dyDescent="0.15">
      <c r="A52" s="106">
        <v>42</v>
      </c>
      <c r="B52" s="112">
        <v>511521104044</v>
      </c>
      <c r="C52" s="113" t="s">
        <v>248</v>
      </c>
      <c r="D52" s="109"/>
      <c r="E52" s="109"/>
      <c r="F52" s="109"/>
      <c r="G52" s="109"/>
      <c r="H52" s="110"/>
      <c r="I52" s="110">
        <f t="shared" si="0"/>
        <v>0</v>
      </c>
      <c r="J52" s="110">
        <f t="shared" si="1"/>
        <v>0</v>
      </c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7"/>
      <c r="Z52" s="97"/>
    </row>
    <row r="53" spans="1:26" ht="26.25" customHeight="1" x14ac:dyDescent="0.15">
      <c r="A53" s="106">
        <v>43</v>
      </c>
      <c r="B53" s="112">
        <v>511521104045</v>
      </c>
      <c r="C53" s="113" t="s">
        <v>249</v>
      </c>
      <c r="D53" s="109"/>
      <c r="E53" s="109"/>
      <c r="F53" s="109"/>
      <c r="G53" s="109"/>
      <c r="H53" s="110"/>
      <c r="I53" s="110">
        <f t="shared" si="0"/>
        <v>0</v>
      </c>
      <c r="J53" s="110">
        <f t="shared" si="1"/>
        <v>0</v>
      </c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7"/>
      <c r="Z53" s="97"/>
    </row>
    <row r="54" spans="1:26" ht="26.25" customHeight="1" x14ac:dyDescent="0.15">
      <c r="A54" s="106">
        <v>44</v>
      </c>
      <c r="B54" s="112">
        <v>511521104046</v>
      </c>
      <c r="C54" s="113" t="s">
        <v>250</v>
      </c>
      <c r="D54" s="109"/>
      <c r="E54" s="109"/>
      <c r="F54" s="109"/>
      <c r="G54" s="109"/>
      <c r="H54" s="110"/>
      <c r="I54" s="110">
        <f t="shared" si="0"/>
        <v>0</v>
      </c>
      <c r="J54" s="110">
        <f t="shared" si="1"/>
        <v>0</v>
      </c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7"/>
      <c r="Z54" s="97"/>
    </row>
    <row r="55" spans="1:26" ht="26.25" customHeight="1" x14ac:dyDescent="0.15">
      <c r="A55" s="106">
        <v>45</v>
      </c>
      <c r="B55" s="112">
        <v>511521104047</v>
      </c>
      <c r="C55" s="113" t="s">
        <v>251</v>
      </c>
      <c r="D55" s="109"/>
      <c r="E55" s="109"/>
      <c r="F55" s="109"/>
      <c r="G55" s="109"/>
      <c r="H55" s="110"/>
      <c r="I55" s="110">
        <f t="shared" si="0"/>
        <v>0</v>
      </c>
      <c r="J55" s="110">
        <f t="shared" si="1"/>
        <v>0</v>
      </c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7"/>
      <c r="Z55" s="97"/>
    </row>
    <row r="56" spans="1:26" ht="26.25" customHeight="1" x14ac:dyDescent="0.15">
      <c r="A56" s="106">
        <v>46</v>
      </c>
      <c r="B56" s="112">
        <v>511521104048</v>
      </c>
      <c r="C56" s="113" t="s">
        <v>252</v>
      </c>
      <c r="D56" s="109"/>
      <c r="E56" s="109"/>
      <c r="F56" s="109"/>
      <c r="G56" s="109"/>
      <c r="H56" s="114"/>
      <c r="I56" s="110">
        <f t="shared" si="0"/>
        <v>0</v>
      </c>
      <c r="J56" s="110">
        <f t="shared" si="1"/>
        <v>0</v>
      </c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7"/>
      <c r="Z56" s="97"/>
    </row>
    <row r="57" spans="1:26" ht="26.25" customHeight="1" x14ac:dyDescent="0.15">
      <c r="A57" s="106">
        <v>47</v>
      </c>
      <c r="B57" s="112">
        <v>511521104049</v>
      </c>
      <c r="C57" s="113" t="s">
        <v>253</v>
      </c>
      <c r="D57" s="109"/>
      <c r="E57" s="109"/>
      <c r="F57" s="109"/>
      <c r="G57" s="109"/>
      <c r="H57" s="110"/>
      <c r="I57" s="110">
        <f t="shared" si="0"/>
        <v>0</v>
      </c>
      <c r="J57" s="110">
        <f t="shared" si="1"/>
        <v>0</v>
      </c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7"/>
      <c r="Z57" s="97"/>
    </row>
    <row r="58" spans="1:26" ht="26.25" customHeight="1" x14ac:dyDescent="0.15">
      <c r="A58" s="106">
        <v>48</v>
      </c>
      <c r="B58" s="112">
        <v>511521104050</v>
      </c>
      <c r="C58" s="113" t="s">
        <v>254</v>
      </c>
      <c r="D58" s="109"/>
      <c r="E58" s="109"/>
      <c r="F58" s="109"/>
      <c r="G58" s="109"/>
      <c r="H58" s="110"/>
      <c r="I58" s="110">
        <f t="shared" si="0"/>
        <v>0</v>
      </c>
      <c r="J58" s="110">
        <f t="shared" si="1"/>
        <v>0</v>
      </c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7"/>
      <c r="Z58" s="97"/>
    </row>
    <row r="59" spans="1:26" ht="26.25" customHeight="1" x14ac:dyDescent="0.15">
      <c r="A59" s="106">
        <v>49</v>
      </c>
      <c r="B59" s="112">
        <v>511521104051</v>
      </c>
      <c r="C59" s="113" t="s">
        <v>255</v>
      </c>
      <c r="D59" s="109"/>
      <c r="E59" s="109"/>
      <c r="F59" s="109"/>
      <c r="G59" s="109"/>
      <c r="H59" s="110"/>
      <c r="I59" s="110">
        <f t="shared" si="0"/>
        <v>0</v>
      </c>
      <c r="J59" s="110">
        <f t="shared" si="1"/>
        <v>0</v>
      </c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7"/>
      <c r="Z59" s="97"/>
    </row>
    <row r="60" spans="1:26" ht="26.25" customHeight="1" x14ac:dyDescent="0.15">
      <c r="A60" s="106">
        <v>50</v>
      </c>
      <c r="B60" s="112">
        <v>511521104052</v>
      </c>
      <c r="C60" s="113" t="s">
        <v>256</v>
      </c>
      <c r="D60" s="109"/>
      <c r="E60" s="109"/>
      <c r="F60" s="109"/>
      <c r="G60" s="109"/>
      <c r="H60" s="114"/>
      <c r="I60" s="110">
        <f t="shared" si="0"/>
        <v>0</v>
      </c>
      <c r="J60" s="110">
        <f t="shared" si="1"/>
        <v>0</v>
      </c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7"/>
      <c r="Z60" s="97"/>
    </row>
    <row r="61" spans="1:26" ht="26.25" customHeight="1" x14ac:dyDescent="0.15">
      <c r="A61" s="106">
        <v>51</v>
      </c>
      <c r="B61" s="112">
        <v>511521104053</v>
      </c>
      <c r="C61" s="113" t="s">
        <v>257</v>
      </c>
      <c r="D61" s="109"/>
      <c r="E61" s="109"/>
      <c r="F61" s="109"/>
      <c r="G61" s="109"/>
      <c r="H61" s="110"/>
      <c r="I61" s="110">
        <f t="shared" si="0"/>
        <v>0</v>
      </c>
      <c r="J61" s="110">
        <f t="shared" si="1"/>
        <v>0</v>
      </c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7"/>
      <c r="Z61" s="97"/>
    </row>
    <row r="62" spans="1:26" ht="26.25" customHeight="1" x14ac:dyDescent="0.15">
      <c r="A62" s="106">
        <v>52</v>
      </c>
      <c r="B62" s="112">
        <v>511521104055</v>
      </c>
      <c r="C62" s="113" t="s">
        <v>258</v>
      </c>
      <c r="D62" s="109"/>
      <c r="E62" s="109"/>
      <c r="F62" s="109"/>
      <c r="G62" s="109"/>
      <c r="H62" s="110"/>
      <c r="I62" s="110">
        <f t="shared" si="0"/>
        <v>0</v>
      </c>
      <c r="J62" s="110">
        <f t="shared" si="1"/>
        <v>0</v>
      </c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7"/>
      <c r="Z62" s="97"/>
    </row>
    <row r="63" spans="1:26" ht="26.25" customHeight="1" x14ac:dyDescent="0.15">
      <c r="A63" s="106">
        <v>53</v>
      </c>
      <c r="B63" s="112">
        <v>511521104056</v>
      </c>
      <c r="C63" s="113" t="s">
        <v>259</v>
      </c>
      <c r="D63" s="109"/>
      <c r="E63" s="109"/>
      <c r="F63" s="109"/>
      <c r="G63" s="109"/>
      <c r="H63" s="110"/>
      <c r="I63" s="110">
        <f t="shared" si="0"/>
        <v>0</v>
      </c>
      <c r="J63" s="110">
        <f t="shared" si="1"/>
        <v>0</v>
      </c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7"/>
      <c r="Z63" s="97"/>
    </row>
    <row r="64" spans="1:26" ht="26.25" customHeight="1" x14ac:dyDescent="0.15">
      <c r="A64" s="106">
        <v>54</v>
      </c>
      <c r="B64" s="112">
        <v>511521104058</v>
      </c>
      <c r="C64" s="113" t="s">
        <v>260</v>
      </c>
      <c r="D64" s="109"/>
      <c r="E64" s="109"/>
      <c r="F64" s="109"/>
      <c r="G64" s="109"/>
      <c r="H64" s="110"/>
      <c r="I64" s="110">
        <f t="shared" si="0"/>
        <v>0</v>
      </c>
      <c r="J64" s="110">
        <f t="shared" si="1"/>
        <v>0</v>
      </c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7"/>
      <c r="Z64" s="97"/>
    </row>
    <row r="65" spans="1:26" ht="26.25" customHeight="1" x14ac:dyDescent="0.15">
      <c r="A65" s="106">
        <v>55</v>
      </c>
      <c r="B65" s="112">
        <v>511521104059</v>
      </c>
      <c r="C65" s="113" t="s">
        <v>261</v>
      </c>
      <c r="D65" s="109"/>
      <c r="E65" s="109"/>
      <c r="F65" s="109"/>
      <c r="G65" s="109"/>
      <c r="H65" s="110"/>
      <c r="I65" s="110">
        <f t="shared" si="0"/>
        <v>0</v>
      </c>
      <c r="J65" s="110">
        <f t="shared" si="1"/>
        <v>0</v>
      </c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7"/>
      <c r="Z65" s="97"/>
    </row>
    <row r="66" spans="1:26" ht="26.25" customHeight="1" x14ac:dyDescent="0.15">
      <c r="A66" s="106">
        <v>56</v>
      </c>
      <c r="B66" s="112">
        <v>511521104060</v>
      </c>
      <c r="C66" s="113" t="s">
        <v>262</v>
      </c>
      <c r="D66" s="109"/>
      <c r="E66" s="109"/>
      <c r="F66" s="109"/>
      <c r="G66" s="109"/>
      <c r="H66" s="110"/>
      <c r="I66" s="110">
        <f t="shared" si="0"/>
        <v>0</v>
      </c>
      <c r="J66" s="110">
        <f t="shared" si="1"/>
        <v>0</v>
      </c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7"/>
      <c r="Z66" s="97"/>
    </row>
    <row r="67" spans="1:26" ht="26.25" customHeight="1" x14ac:dyDescent="0.15">
      <c r="A67" s="106">
        <v>57</v>
      </c>
      <c r="B67" s="112">
        <v>511521104061</v>
      </c>
      <c r="C67" s="113" t="s">
        <v>263</v>
      </c>
      <c r="D67" s="109"/>
      <c r="E67" s="109"/>
      <c r="F67" s="109"/>
      <c r="G67" s="109"/>
      <c r="H67" s="110"/>
      <c r="I67" s="110">
        <f t="shared" si="0"/>
        <v>0</v>
      </c>
      <c r="J67" s="110">
        <f t="shared" si="1"/>
        <v>0</v>
      </c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7"/>
      <c r="Z67" s="97"/>
    </row>
    <row r="68" spans="1:26" ht="26.25" customHeight="1" x14ac:dyDescent="0.15">
      <c r="A68" s="106">
        <v>58</v>
      </c>
      <c r="B68" s="112">
        <v>511521104062</v>
      </c>
      <c r="C68" s="113" t="s">
        <v>264</v>
      </c>
      <c r="D68" s="109"/>
      <c r="E68" s="109"/>
      <c r="F68" s="109"/>
      <c r="G68" s="109"/>
      <c r="H68" s="110"/>
      <c r="I68" s="110">
        <f t="shared" si="0"/>
        <v>0</v>
      </c>
      <c r="J68" s="110">
        <f t="shared" si="1"/>
        <v>0</v>
      </c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7"/>
      <c r="Z68" s="97"/>
    </row>
    <row r="69" spans="1:26" ht="26.25" customHeight="1" x14ac:dyDescent="0.15">
      <c r="A69" s="106">
        <v>59</v>
      </c>
      <c r="B69" s="115">
        <v>511521104301</v>
      </c>
      <c r="C69" s="113" t="s">
        <v>265</v>
      </c>
      <c r="D69" s="109"/>
      <c r="E69" s="109"/>
      <c r="F69" s="109"/>
      <c r="G69" s="109"/>
      <c r="H69" s="110"/>
      <c r="I69" s="110">
        <f t="shared" si="0"/>
        <v>0</v>
      </c>
      <c r="J69" s="110">
        <f t="shared" si="1"/>
        <v>0</v>
      </c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7"/>
      <c r="Z69" s="97"/>
    </row>
    <row r="70" spans="1:26" ht="26.25" customHeight="1" x14ac:dyDescent="0.15">
      <c r="A70" s="106">
        <v>60</v>
      </c>
      <c r="B70" s="115">
        <v>511521104302</v>
      </c>
      <c r="C70" s="116" t="s">
        <v>266</v>
      </c>
      <c r="D70" s="109"/>
      <c r="E70" s="109"/>
      <c r="F70" s="109"/>
      <c r="G70" s="109"/>
      <c r="H70" s="110"/>
      <c r="I70" s="110">
        <f t="shared" si="0"/>
        <v>0</v>
      </c>
      <c r="J70" s="110">
        <f t="shared" si="1"/>
        <v>0</v>
      </c>
      <c r="K70" s="96"/>
      <c r="L70" s="96"/>
      <c r="M70" s="96"/>
      <c r="N70" s="117"/>
      <c r="O70" s="97"/>
      <c r="P70" s="96"/>
      <c r="Q70" s="96"/>
      <c r="R70" s="96"/>
      <c r="S70" s="96"/>
      <c r="T70" s="96"/>
      <c r="U70" s="96"/>
      <c r="V70" s="96"/>
      <c r="W70" s="96"/>
      <c r="X70" s="96"/>
      <c r="Y70" s="97"/>
      <c r="Z70" s="97"/>
    </row>
    <row r="71" spans="1:26" ht="26.25" customHeight="1" x14ac:dyDescent="0.15">
      <c r="A71" s="106">
        <v>61</v>
      </c>
      <c r="B71" s="115">
        <v>511521104303</v>
      </c>
      <c r="C71" s="118" t="s">
        <v>267</v>
      </c>
      <c r="D71" s="119"/>
      <c r="E71" s="109"/>
      <c r="F71" s="109"/>
      <c r="G71" s="109"/>
      <c r="H71" s="110"/>
      <c r="I71" s="110">
        <f t="shared" si="0"/>
        <v>0</v>
      </c>
      <c r="J71" s="110">
        <f t="shared" si="1"/>
        <v>0</v>
      </c>
      <c r="K71" s="96"/>
      <c r="L71" s="96"/>
      <c r="M71" s="96"/>
      <c r="N71" s="117"/>
      <c r="O71" s="97"/>
      <c r="P71" s="96"/>
      <c r="Q71" s="96"/>
      <c r="R71" s="96"/>
      <c r="S71" s="96"/>
      <c r="T71" s="96"/>
      <c r="U71" s="96"/>
      <c r="V71" s="96"/>
      <c r="W71" s="96"/>
      <c r="X71" s="96"/>
      <c r="Y71" s="97"/>
      <c r="Z71" s="97"/>
    </row>
    <row r="72" spans="1:26" ht="26.25" customHeight="1" x14ac:dyDescent="0.15">
      <c r="A72" s="106">
        <v>62</v>
      </c>
      <c r="B72" s="120">
        <v>511521104304</v>
      </c>
      <c r="C72" s="108" t="s">
        <v>268</v>
      </c>
      <c r="D72" s="109"/>
      <c r="E72" s="121"/>
      <c r="F72" s="109"/>
      <c r="G72" s="109"/>
      <c r="H72" s="110"/>
      <c r="I72" s="110">
        <f t="shared" si="0"/>
        <v>0</v>
      </c>
      <c r="J72" s="110">
        <f t="shared" si="1"/>
        <v>0</v>
      </c>
      <c r="K72" s="96"/>
      <c r="L72" s="96"/>
      <c r="M72" s="96"/>
      <c r="N72" s="117"/>
      <c r="O72" s="97"/>
      <c r="P72" s="96"/>
      <c r="Q72" s="96"/>
      <c r="R72" s="96"/>
      <c r="S72" s="96"/>
      <c r="T72" s="96"/>
      <c r="U72" s="96"/>
      <c r="V72" s="96"/>
      <c r="W72" s="96"/>
      <c r="X72" s="96"/>
      <c r="Y72" s="97"/>
      <c r="Z72" s="97"/>
    </row>
    <row r="73" spans="1:26" ht="26.25" customHeight="1" x14ac:dyDescent="0.15">
      <c r="A73" s="106">
        <v>63</v>
      </c>
      <c r="B73" s="120">
        <v>511521104305</v>
      </c>
      <c r="C73" s="108" t="s">
        <v>269</v>
      </c>
      <c r="D73" s="122"/>
      <c r="E73" s="121"/>
      <c r="F73" s="109"/>
      <c r="G73" s="109"/>
      <c r="H73" s="110"/>
      <c r="I73" s="110">
        <f t="shared" si="0"/>
        <v>0</v>
      </c>
      <c r="J73" s="110">
        <f t="shared" si="1"/>
        <v>0</v>
      </c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7"/>
      <c r="Z73" s="97"/>
    </row>
    <row r="74" spans="1:26" ht="26.25" customHeight="1" x14ac:dyDescent="0.15">
      <c r="A74" s="106">
        <v>64</v>
      </c>
      <c r="B74" s="120">
        <v>511521104306</v>
      </c>
      <c r="C74" s="108" t="s">
        <v>270</v>
      </c>
      <c r="D74" s="122"/>
      <c r="E74" s="121"/>
      <c r="F74" s="109"/>
      <c r="G74" s="109"/>
      <c r="H74" s="110"/>
      <c r="I74" s="110">
        <f t="shared" si="0"/>
        <v>0</v>
      </c>
      <c r="J74" s="110">
        <f t="shared" si="1"/>
        <v>0</v>
      </c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7"/>
      <c r="Z74" s="97"/>
    </row>
    <row r="75" spans="1:26" ht="26.25" customHeight="1" x14ac:dyDescent="0.15">
      <c r="A75" s="106">
        <v>65</v>
      </c>
      <c r="B75" s="115">
        <v>511521104307</v>
      </c>
      <c r="C75" s="113" t="s">
        <v>271</v>
      </c>
      <c r="D75" s="122"/>
      <c r="E75" s="109"/>
      <c r="F75" s="109"/>
      <c r="G75" s="109"/>
      <c r="H75" s="110"/>
      <c r="I75" s="110">
        <f t="shared" si="0"/>
        <v>0</v>
      </c>
      <c r="J75" s="110">
        <f t="shared" si="1"/>
        <v>0</v>
      </c>
      <c r="K75" s="96"/>
      <c r="L75" s="96"/>
      <c r="M75" s="96"/>
      <c r="N75" s="97"/>
      <c r="O75" s="97"/>
      <c r="P75" s="96"/>
      <c r="Q75" s="96"/>
      <c r="R75" s="96"/>
      <c r="S75" s="96"/>
      <c r="T75" s="96"/>
      <c r="U75" s="96"/>
      <c r="V75" s="96"/>
      <c r="W75" s="96"/>
      <c r="X75" s="96"/>
      <c r="Y75" s="97"/>
      <c r="Z75" s="97"/>
    </row>
    <row r="76" spans="1:26" ht="26.25" customHeight="1" x14ac:dyDescent="0.15">
      <c r="A76" s="106">
        <v>66</v>
      </c>
      <c r="B76" s="115">
        <v>511521104701</v>
      </c>
      <c r="C76" s="113" t="s">
        <v>272</v>
      </c>
      <c r="D76" s="122"/>
      <c r="E76" s="109"/>
      <c r="F76" s="109"/>
      <c r="G76" s="109"/>
      <c r="H76" s="110"/>
      <c r="I76" s="110">
        <f t="shared" si="0"/>
        <v>0</v>
      </c>
      <c r="J76" s="110">
        <f t="shared" si="1"/>
        <v>0</v>
      </c>
      <c r="K76" s="96"/>
      <c r="L76" s="96"/>
      <c r="M76" s="96"/>
      <c r="N76" s="97"/>
      <c r="O76" s="97"/>
      <c r="P76" s="96"/>
      <c r="Q76" s="96"/>
      <c r="R76" s="96"/>
      <c r="S76" s="96"/>
      <c r="T76" s="96"/>
      <c r="U76" s="96"/>
      <c r="V76" s="96"/>
      <c r="W76" s="96"/>
      <c r="X76" s="96"/>
      <c r="Y76" s="97"/>
      <c r="Z76" s="97"/>
    </row>
    <row r="77" spans="1:26" ht="26.25" customHeight="1" x14ac:dyDescent="0.2">
      <c r="A77" s="106">
        <v>67</v>
      </c>
      <c r="B77" s="123" t="s">
        <v>273</v>
      </c>
      <c r="C77" s="123" t="s">
        <v>274</v>
      </c>
      <c r="D77" s="109"/>
      <c r="E77" s="109"/>
      <c r="F77" s="109"/>
      <c r="G77" s="109"/>
      <c r="H77" s="114"/>
      <c r="I77" s="110">
        <f t="shared" si="0"/>
        <v>0</v>
      </c>
      <c r="J77" s="124">
        <f t="shared" si="1"/>
        <v>0</v>
      </c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7"/>
      <c r="Z77" s="97"/>
    </row>
    <row r="78" spans="1:26" ht="26.25" customHeight="1" x14ac:dyDescent="0.2">
      <c r="A78" s="258" t="s">
        <v>77</v>
      </c>
      <c r="B78" s="244"/>
      <c r="C78" s="245"/>
      <c r="D78" s="125">
        <f>COUNT(A11:A77)</f>
        <v>67</v>
      </c>
      <c r="E78" s="125">
        <f>COUNT(A11:A77)</f>
        <v>67</v>
      </c>
      <c r="F78" s="126">
        <v>67</v>
      </c>
      <c r="G78" s="125">
        <f>COUNT(A11:A77)</f>
        <v>67</v>
      </c>
      <c r="H78" s="127" t="s">
        <v>78</v>
      </c>
      <c r="I78" s="127">
        <f>COUNTIF(I11:I77,"1")</f>
        <v>0</v>
      </c>
      <c r="J78" s="266">
        <f>COUNTIF(I11:I77,"0")+COUNTIF(I11:I77,"AB")</f>
        <v>67</v>
      </c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7"/>
      <c r="Z78" s="97"/>
    </row>
    <row r="79" spans="1:26" ht="26.25" customHeight="1" x14ac:dyDescent="0.2">
      <c r="A79" s="259" t="s">
        <v>79</v>
      </c>
      <c r="B79" s="244"/>
      <c r="C79" s="245"/>
      <c r="D79" s="125">
        <f t="shared" ref="D79:G79" si="2">COUNTIF(D11:D77,"&lt;&gt;AB")</f>
        <v>67</v>
      </c>
      <c r="E79" s="125">
        <f t="shared" si="2"/>
        <v>67</v>
      </c>
      <c r="F79" s="125">
        <f t="shared" si="2"/>
        <v>67</v>
      </c>
      <c r="G79" s="125">
        <f t="shared" si="2"/>
        <v>67</v>
      </c>
      <c r="H79" s="127" t="s">
        <v>80</v>
      </c>
      <c r="I79" s="127">
        <f>COUNTIF(I12:I77,"2")</f>
        <v>0</v>
      </c>
      <c r="J79" s="239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7"/>
      <c r="Z79" s="97"/>
    </row>
    <row r="80" spans="1:26" ht="26.25" customHeight="1" x14ac:dyDescent="0.2">
      <c r="A80" s="259" t="s">
        <v>81</v>
      </c>
      <c r="B80" s="244"/>
      <c r="C80" s="245"/>
      <c r="D80" s="125">
        <f t="shared" ref="D80:G80" si="3">COUNTIF(D11:D77,"AB")</f>
        <v>0</v>
      </c>
      <c r="E80" s="125">
        <f t="shared" si="3"/>
        <v>0</v>
      </c>
      <c r="F80" s="125">
        <f t="shared" si="3"/>
        <v>0</v>
      </c>
      <c r="G80" s="125">
        <f t="shared" si="3"/>
        <v>0</v>
      </c>
      <c r="H80" s="127" t="s">
        <v>82</v>
      </c>
      <c r="I80" s="127">
        <v>0</v>
      </c>
      <c r="J80" s="239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7"/>
      <c r="Z80" s="97"/>
    </row>
    <row r="81" spans="1:26" ht="26.25" customHeight="1" x14ac:dyDescent="0.2">
      <c r="A81" s="259" t="s">
        <v>83</v>
      </c>
      <c r="B81" s="244"/>
      <c r="C81" s="245"/>
      <c r="D81" s="125">
        <f t="shared" ref="D81:G81" si="4">COUNTIF(D11:D77,"OD")</f>
        <v>0</v>
      </c>
      <c r="E81" s="125">
        <f t="shared" si="4"/>
        <v>0</v>
      </c>
      <c r="F81" s="125">
        <f t="shared" si="4"/>
        <v>0</v>
      </c>
      <c r="G81" s="125">
        <f t="shared" si="4"/>
        <v>0</v>
      </c>
      <c r="H81" s="127" t="s">
        <v>84</v>
      </c>
      <c r="I81" s="127">
        <v>0</v>
      </c>
      <c r="J81" s="239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7"/>
      <c r="Z81" s="97"/>
    </row>
    <row r="82" spans="1:26" ht="26.25" customHeight="1" x14ac:dyDescent="0.2">
      <c r="A82" s="259" t="s">
        <v>85</v>
      </c>
      <c r="B82" s="244"/>
      <c r="C82" s="245"/>
      <c r="D82" s="125">
        <f t="shared" ref="D82:G82" si="5">COUNTIF(D11:D77,"&gt;=50")</f>
        <v>0</v>
      </c>
      <c r="E82" s="125">
        <f t="shared" si="5"/>
        <v>0</v>
      </c>
      <c r="F82" s="125">
        <f t="shared" si="5"/>
        <v>0</v>
      </c>
      <c r="G82" s="125">
        <f t="shared" si="5"/>
        <v>0</v>
      </c>
      <c r="H82" s="128"/>
      <c r="I82" s="127">
        <f>COUNTIF(I15:I77,"5")</f>
        <v>0</v>
      </c>
      <c r="J82" s="239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7"/>
      <c r="Z82" s="97"/>
    </row>
    <row r="83" spans="1:26" ht="26.25" customHeight="1" x14ac:dyDescent="0.2">
      <c r="A83" s="259" t="s">
        <v>87</v>
      </c>
      <c r="B83" s="244"/>
      <c r="C83" s="245"/>
      <c r="D83" s="125">
        <f t="shared" ref="D83:G83" si="6">COUNTIF(D11:D77,"&gt;=50")+COUNTIF(D11:D77,"AB")</f>
        <v>0</v>
      </c>
      <c r="E83" s="125">
        <f t="shared" si="6"/>
        <v>0</v>
      </c>
      <c r="F83" s="125">
        <f t="shared" si="6"/>
        <v>0</v>
      </c>
      <c r="G83" s="125">
        <f t="shared" si="6"/>
        <v>0</v>
      </c>
      <c r="H83" s="129"/>
      <c r="I83" s="127">
        <f>COUNTIF(I16:I77,"6")</f>
        <v>0</v>
      </c>
      <c r="J83" s="239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7"/>
      <c r="Z83" s="97"/>
    </row>
    <row r="84" spans="1:26" ht="26.25" customHeight="1" x14ac:dyDescent="0.2">
      <c r="A84" s="259" t="s">
        <v>89</v>
      </c>
      <c r="B84" s="244"/>
      <c r="C84" s="244"/>
      <c r="D84" s="130">
        <f t="shared" ref="D84:G84" si="7">D82/D79</f>
        <v>0</v>
      </c>
      <c r="E84" s="130">
        <f t="shared" si="7"/>
        <v>0</v>
      </c>
      <c r="F84" s="130">
        <f t="shared" si="7"/>
        <v>0</v>
      </c>
      <c r="G84" s="130">
        <f t="shared" si="7"/>
        <v>0</v>
      </c>
      <c r="H84" s="131"/>
      <c r="I84" s="132"/>
      <c r="J84" s="23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7"/>
      <c r="Z84" s="97"/>
    </row>
    <row r="85" spans="1:26" ht="12.75" x14ac:dyDescent="0.15">
      <c r="A85" s="97"/>
      <c r="B85" s="133"/>
      <c r="C85" s="134"/>
      <c r="D85" s="135"/>
      <c r="E85" s="136"/>
      <c r="F85" s="137"/>
      <c r="G85" s="138"/>
      <c r="H85" s="139"/>
      <c r="I85" s="140"/>
      <c r="J85" s="97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7"/>
      <c r="Z85" s="97"/>
    </row>
    <row r="86" spans="1:26" ht="40.5" x14ac:dyDescent="0.15">
      <c r="A86" s="141" t="s">
        <v>180</v>
      </c>
      <c r="B86" s="142" t="s">
        <v>91</v>
      </c>
      <c r="C86" s="143" t="s">
        <v>92</v>
      </c>
      <c r="D86" s="144" t="s">
        <v>93</v>
      </c>
      <c r="E86" s="145" t="s">
        <v>94</v>
      </c>
      <c r="F86" s="146" t="s">
        <v>95</v>
      </c>
      <c r="G86" s="147"/>
      <c r="H86" s="148"/>
      <c r="I86" s="149" t="s">
        <v>96</v>
      </c>
      <c r="J86" s="150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7"/>
      <c r="Z86" s="97"/>
    </row>
    <row r="87" spans="1:26" ht="27.75" x14ac:dyDescent="0.2">
      <c r="A87" s="151">
        <v>1</v>
      </c>
      <c r="B87" s="152" t="s">
        <v>275</v>
      </c>
      <c r="C87" s="153" t="s">
        <v>276</v>
      </c>
      <c r="D87" s="154"/>
      <c r="E87" s="155">
        <f>D80</f>
        <v>0</v>
      </c>
      <c r="F87" s="156">
        <f>D82</f>
        <v>0</v>
      </c>
      <c r="G87" s="157"/>
      <c r="H87" s="158"/>
      <c r="I87" s="159" t="e">
        <f t="shared" ref="I87:I90" si="8">F87/D87*100</f>
        <v>#DIV/0!</v>
      </c>
      <c r="J87" s="150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7"/>
      <c r="Z87" s="97"/>
    </row>
    <row r="88" spans="1:26" ht="27.75" x14ac:dyDescent="0.2">
      <c r="A88" s="151">
        <v>2</v>
      </c>
      <c r="B88" s="160" t="s">
        <v>277</v>
      </c>
      <c r="C88" s="161" t="s">
        <v>278</v>
      </c>
      <c r="D88" s="162"/>
      <c r="E88" s="163">
        <f>E80</f>
        <v>0</v>
      </c>
      <c r="F88" s="164">
        <f>E82</f>
        <v>0</v>
      </c>
      <c r="G88" s="147"/>
      <c r="H88" s="148"/>
      <c r="I88" s="165" t="e">
        <f t="shared" si="8"/>
        <v>#DIV/0!</v>
      </c>
      <c r="J88" s="150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7"/>
      <c r="Z88" s="97"/>
    </row>
    <row r="89" spans="1:26" x14ac:dyDescent="0.15">
      <c r="A89" s="151">
        <v>3</v>
      </c>
      <c r="B89" s="152" t="s">
        <v>279</v>
      </c>
      <c r="C89" s="153" t="s">
        <v>280</v>
      </c>
      <c r="D89" s="154"/>
      <c r="E89" s="155">
        <f>F80</f>
        <v>0</v>
      </c>
      <c r="F89" s="156">
        <f>F82</f>
        <v>0</v>
      </c>
      <c r="G89" s="157"/>
      <c r="H89" s="158"/>
      <c r="I89" s="166" t="e">
        <f t="shared" si="8"/>
        <v>#DIV/0!</v>
      </c>
      <c r="J89" s="150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7"/>
      <c r="Z89" s="97"/>
    </row>
    <row r="90" spans="1:26" ht="41.25" x14ac:dyDescent="0.2">
      <c r="A90" s="151">
        <v>4</v>
      </c>
      <c r="B90" s="160" t="s">
        <v>281</v>
      </c>
      <c r="C90" s="161" t="s">
        <v>282</v>
      </c>
      <c r="D90" s="162"/>
      <c r="E90" s="163">
        <f>G80</f>
        <v>0</v>
      </c>
      <c r="F90" s="164">
        <f>G82</f>
        <v>0</v>
      </c>
      <c r="G90" s="147"/>
      <c r="H90" s="148"/>
      <c r="I90" s="165" t="e">
        <f t="shared" si="8"/>
        <v>#DIV/0!</v>
      </c>
      <c r="J90" s="150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7"/>
      <c r="Z90" s="97"/>
    </row>
    <row r="91" spans="1:26" ht="14.25" x14ac:dyDescent="0.15">
      <c r="A91" s="96"/>
      <c r="B91" s="267" t="s">
        <v>187</v>
      </c>
      <c r="C91" s="253"/>
      <c r="D91" s="253"/>
      <c r="E91" s="253"/>
      <c r="F91" s="253"/>
      <c r="G91" s="253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7"/>
      <c r="Z91" s="97"/>
    </row>
    <row r="92" spans="1:26" ht="14.25" x14ac:dyDescent="0.15">
      <c r="A92" s="96"/>
      <c r="B92" s="257" t="s">
        <v>188</v>
      </c>
      <c r="C92" s="167" t="s">
        <v>189</v>
      </c>
      <c r="D92" s="255" t="s">
        <v>190</v>
      </c>
      <c r="E92" s="244"/>
      <c r="F92" s="244"/>
      <c r="G92" s="244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7"/>
      <c r="Z92" s="97"/>
    </row>
    <row r="93" spans="1:26" ht="14.25" x14ac:dyDescent="0.15">
      <c r="A93" s="96"/>
      <c r="B93" s="236"/>
      <c r="C93" s="168">
        <f>J78</f>
        <v>67</v>
      </c>
      <c r="D93" s="169" t="s">
        <v>191</v>
      </c>
      <c r="E93" s="169" t="s">
        <v>192</v>
      </c>
      <c r="F93" s="169" t="s">
        <v>193</v>
      </c>
      <c r="G93" s="169" t="s">
        <v>194</v>
      </c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7"/>
      <c r="Z93" s="97"/>
    </row>
    <row r="94" spans="1:26" ht="14.25" x14ac:dyDescent="0.15">
      <c r="A94" s="96"/>
      <c r="B94" s="170" t="s">
        <v>197</v>
      </c>
      <c r="C94" s="169">
        <v>0</v>
      </c>
      <c r="D94" s="169">
        <f>I78</f>
        <v>0</v>
      </c>
      <c r="E94" s="169">
        <f>I79</f>
        <v>0</v>
      </c>
      <c r="F94" s="169">
        <f>I80</f>
        <v>0</v>
      </c>
      <c r="G94" s="169">
        <f>I81</f>
        <v>0</v>
      </c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7"/>
      <c r="Z94" s="97"/>
    </row>
    <row r="95" spans="1:26" ht="14.25" x14ac:dyDescent="0.15">
      <c r="A95" s="96"/>
      <c r="B95" s="170" t="s">
        <v>198</v>
      </c>
      <c r="C95" s="171" t="e">
        <f>C93/D87*100</f>
        <v>#DIV/0!</v>
      </c>
      <c r="D95" s="172"/>
      <c r="E95" s="172"/>
      <c r="F95" s="172"/>
      <c r="G95" s="172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7"/>
      <c r="Z95" s="97"/>
    </row>
    <row r="96" spans="1:26" ht="12.75" x14ac:dyDescent="0.15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7"/>
      <c r="Z96" s="97"/>
    </row>
    <row r="97" spans="1:26" ht="12.75" x14ac:dyDescent="0.15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7"/>
      <c r="Z97" s="97"/>
    </row>
    <row r="98" spans="1:26" ht="12.75" x14ac:dyDescent="0.15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7"/>
      <c r="Z98" s="97"/>
    </row>
    <row r="99" spans="1:26" ht="14.25" x14ac:dyDescent="0.15">
      <c r="A99" s="96"/>
      <c r="B99" s="241" t="s">
        <v>102</v>
      </c>
      <c r="C99" s="242"/>
      <c r="D99" s="96"/>
      <c r="E99" s="102" t="s">
        <v>103</v>
      </c>
      <c r="F99" s="96"/>
      <c r="G99" s="102" t="s">
        <v>104</v>
      </c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7"/>
      <c r="Z99" s="97"/>
    </row>
    <row r="100" spans="1:26" ht="12.75" x14ac:dyDescent="0.15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7"/>
      <c r="Z100" s="97"/>
    </row>
    <row r="101" spans="1:26" ht="12.75" x14ac:dyDescent="0.15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7"/>
      <c r="Z101" s="97"/>
    </row>
    <row r="102" spans="1:26" ht="12.75" x14ac:dyDescent="0.15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7"/>
      <c r="Z102" s="97"/>
    </row>
    <row r="103" spans="1:26" ht="12.75" x14ac:dyDescent="0.15">
      <c r="A103" s="96"/>
      <c r="B103" s="96"/>
      <c r="C103" s="96"/>
      <c r="D103" s="96"/>
      <c r="E103" s="96"/>
      <c r="F103" s="97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7"/>
      <c r="Z103" s="97"/>
    </row>
    <row r="104" spans="1:26" ht="12.75" x14ac:dyDescent="0.15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7"/>
      <c r="Z104" s="97"/>
    </row>
    <row r="105" spans="1:26" ht="12.75" x14ac:dyDescent="0.1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7"/>
      <c r="Z105" s="97"/>
    </row>
    <row r="106" spans="1:26" ht="12.75" x14ac:dyDescent="0.15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7"/>
      <c r="Z106" s="97"/>
    </row>
    <row r="107" spans="1:26" ht="12.75" x14ac:dyDescent="0.15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7"/>
      <c r="Z107" s="97"/>
    </row>
    <row r="108" spans="1:26" ht="12.75" x14ac:dyDescent="0.15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7"/>
      <c r="Z108" s="97"/>
    </row>
    <row r="109" spans="1:26" ht="12.75" x14ac:dyDescent="0.15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7"/>
      <c r="Z109" s="97"/>
    </row>
    <row r="110" spans="1:26" ht="12.75" x14ac:dyDescent="0.15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7"/>
      <c r="Z110" s="97"/>
    </row>
    <row r="111" spans="1:26" ht="12.75" x14ac:dyDescent="0.15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7"/>
      <c r="Z111" s="97"/>
    </row>
    <row r="112" spans="1:26" ht="12.75" x14ac:dyDescent="0.15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7"/>
      <c r="Z112" s="97"/>
    </row>
    <row r="113" spans="1:26" ht="12.75" x14ac:dyDescent="0.15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7"/>
      <c r="Z113" s="97"/>
    </row>
    <row r="114" spans="1:26" ht="12.75" x14ac:dyDescent="0.15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7"/>
      <c r="Z114" s="97"/>
    </row>
    <row r="115" spans="1:26" ht="12.75" x14ac:dyDescent="0.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7"/>
      <c r="Z115" s="97"/>
    </row>
    <row r="116" spans="1:26" ht="12.75" x14ac:dyDescent="0.15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7"/>
      <c r="Z116" s="97"/>
    </row>
    <row r="117" spans="1:26" ht="12.75" x14ac:dyDescent="0.15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7"/>
      <c r="Z117" s="97"/>
    </row>
    <row r="118" spans="1:26" ht="12.75" x14ac:dyDescent="0.15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7"/>
      <c r="Z118" s="97"/>
    </row>
    <row r="119" spans="1:26" ht="12.75" x14ac:dyDescent="0.15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7"/>
      <c r="Z119" s="97"/>
    </row>
    <row r="120" spans="1:26" ht="12.75" x14ac:dyDescent="0.15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7"/>
      <c r="Z120" s="97"/>
    </row>
    <row r="121" spans="1:26" ht="12.75" x14ac:dyDescent="0.15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7"/>
      <c r="Z121" s="97"/>
    </row>
    <row r="122" spans="1:26" ht="12.75" x14ac:dyDescent="0.15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7"/>
      <c r="Z122" s="97"/>
    </row>
    <row r="123" spans="1:26" ht="12.75" x14ac:dyDescent="0.15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7"/>
      <c r="Z123" s="97"/>
    </row>
    <row r="124" spans="1:26" ht="12.75" x14ac:dyDescent="0.15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7"/>
      <c r="Z124" s="97"/>
    </row>
    <row r="125" spans="1:26" ht="12.75" x14ac:dyDescent="0.1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7"/>
      <c r="Z125" s="97"/>
    </row>
    <row r="126" spans="1:26" ht="12.75" x14ac:dyDescent="0.15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7"/>
      <c r="Z126" s="97"/>
    </row>
    <row r="127" spans="1:26" ht="12.75" x14ac:dyDescent="0.15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7"/>
      <c r="Z127" s="97"/>
    </row>
  </sheetData>
  <mergeCells count="19">
    <mergeCell ref="J78:J84"/>
    <mergeCell ref="A84:C84"/>
    <mergeCell ref="B91:G91"/>
    <mergeCell ref="D92:G92"/>
    <mergeCell ref="I9:I10"/>
    <mergeCell ref="J9:J10"/>
    <mergeCell ref="A7:H7"/>
    <mergeCell ref="A9:A10"/>
    <mergeCell ref="B9:B10"/>
    <mergeCell ref="C9:C10"/>
    <mergeCell ref="H9:H10"/>
    <mergeCell ref="B99:C99"/>
    <mergeCell ref="A78:C78"/>
    <mergeCell ref="A83:C83"/>
    <mergeCell ref="A82:C82"/>
    <mergeCell ref="A81:C81"/>
    <mergeCell ref="A80:C80"/>
    <mergeCell ref="A79:C79"/>
    <mergeCell ref="B92:B9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983"/>
  <sheetViews>
    <sheetView tabSelected="1" topLeftCell="E4" workbookViewId="0">
      <selection activeCell="F44" sqref="F44"/>
    </sheetView>
  </sheetViews>
  <sheetFormatPr defaultColWidth="12" defaultRowHeight="15" customHeight="1" x14ac:dyDescent="0.15"/>
  <cols>
    <col min="1" max="1" width="9.3046875" customWidth="1"/>
    <col min="2" max="2" width="17.93359375" customWidth="1"/>
    <col min="3" max="3" width="20.49609375" customWidth="1"/>
    <col min="4" max="4" width="15.640625" customWidth="1"/>
    <col min="5" max="5" width="14.5625" customWidth="1"/>
    <col min="6" max="6" width="14.0234375" customWidth="1"/>
    <col min="7" max="8" width="13.88671875" customWidth="1"/>
    <col min="9" max="9" width="16.1796875" customWidth="1"/>
  </cols>
  <sheetData>
    <row r="1" spans="1:25" ht="15.75" customHeight="1" x14ac:dyDescent="0.1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">
      <c r="A7" s="250" t="s">
        <v>283</v>
      </c>
      <c r="B7" s="242"/>
      <c r="C7" s="242"/>
      <c r="D7" s="242"/>
      <c r="E7" s="242"/>
      <c r="F7" s="242"/>
      <c r="G7" s="242"/>
      <c r="H7" s="242"/>
      <c r="I7" s="24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">
      <c r="A8" s="5" t="s">
        <v>1</v>
      </c>
      <c r="B8" s="5"/>
      <c r="C8" s="6"/>
      <c r="D8" s="7"/>
      <c r="E8" s="8" t="s">
        <v>2</v>
      </c>
      <c r="F8" s="9"/>
      <c r="G8" s="9"/>
      <c r="H8" s="9" t="s">
        <v>284</v>
      </c>
      <c r="I8" s="11"/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1.75" customHeight="1" x14ac:dyDescent="0.15">
      <c r="A9" s="246" t="s">
        <v>4</v>
      </c>
      <c r="B9" s="246" t="s">
        <v>5</v>
      </c>
      <c r="C9" s="247" t="s">
        <v>6</v>
      </c>
      <c r="D9" s="12"/>
      <c r="E9" s="12"/>
      <c r="F9" s="12"/>
      <c r="G9" s="12"/>
      <c r="H9" s="12"/>
      <c r="I9" s="240" t="s">
        <v>285</v>
      </c>
      <c r="J9" s="235" t="s">
        <v>8</v>
      </c>
      <c r="K9" s="237" t="s">
        <v>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0" customHeight="1" x14ac:dyDescent="0.2">
      <c r="A10" s="239"/>
      <c r="B10" s="239"/>
      <c r="C10" s="239"/>
      <c r="D10" s="13" t="s">
        <v>10</v>
      </c>
      <c r="E10" s="13" t="s">
        <v>11</v>
      </c>
      <c r="F10" s="13" t="s">
        <v>286</v>
      </c>
      <c r="G10" s="14" t="s">
        <v>13</v>
      </c>
      <c r="H10" s="13" t="s">
        <v>14</v>
      </c>
      <c r="I10" s="236"/>
      <c r="J10" s="236"/>
      <c r="K10" s="23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4.75" customHeight="1" x14ac:dyDescent="0.15">
      <c r="A11" s="15">
        <v>1</v>
      </c>
      <c r="B11" s="173">
        <v>511523205001</v>
      </c>
      <c r="C11" s="16" t="s">
        <v>287</v>
      </c>
      <c r="D11" s="174"/>
      <c r="E11" s="18" t="s">
        <v>52</v>
      </c>
      <c r="F11" s="19">
        <v>0</v>
      </c>
      <c r="G11" s="19"/>
      <c r="H11" s="19"/>
      <c r="I11" s="21">
        <f t="shared" ref="I11:I74" si="0">SUM(D11:H11)</f>
        <v>0</v>
      </c>
      <c r="J11" s="21">
        <f t="shared" ref="J11:J74" si="1">COUNTIF(D11:H11,"&lt;=49")</f>
        <v>1</v>
      </c>
      <c r="K11" s="21">
        <f>COUNTIF(C11:I11,"AB")</f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4.75" customHeight="1" x14ac:dyDescent="0.15">
      <c r="A12" s="15">
        <v>2</v>
      </c>
      <c r="B12" s="175">
        <v>511523205002</v>
      </c>
      <c r="C12" s="22" t="s">
        <v>288</v>
      </c>
      <c r="D12" s="176"/>
      <c r="E12" s="18">
        <v>80</v>
      </c>
      <c r="F12" s="19">
        <v>60</v>
      </c>
      <c r="G12" s="20"/>
      <c r="H12" s="20"/>
      <c r="I12" s="21">
        <f t="shared" si="0"/>
        <v>140</v>
      </c>
      <c r="J12" s="21">
        <f t="shared" si="1"/>
        <v>0</v>
      </c>
      <c r="K12" s="21">
        <f t="shared" ref="K12:K74" si="2">COUNTIF(E12:I12,"AB")</f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4.75" customHeight="1" x14ac:dyDescent="0.15">
      <c r="A13" s="15">
        <v>3</v>
      </c>
      <c r="B13" s="175">
        <v>511523205003</v>
      </c>
      <c r="C13" s="22" t="s">
        <v>289</v>
      </c>
      <c r="D13" s="176"/>
      <c r="E13" s="18">
        <v>64</v>
      </c>
      <c r="F13" s="19">
        <v>64</v>
      </c>
      <c r="G13" s="19"/>
      <c r="H13" s="20"/>
      <c r="I13" s="21">
        <f t="shared" si="0"/>
        <v>128</v>
      </c>
      <c r="J13" s="21">
        <f t="shared" si="1"/>
        <v>0</v>
      </c>
      <c r="K13" s="21">
        <f t="shared" si="2"/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4.75" customHeight="1" x14ac:dyDescent="0.15">
      <c r="A14" s="15">
        <v>4</v>
      </c>
      <c r="B14" s="175">
        <v>511523205004</v>
      </c>
      <c r="C14" s="22" t="s">
        <v>290</v>
      </c>
      <c r="D14" s="176"/>
      <c r="E14" s="18">
        <v>82</v>
      </c>
      <c r="F14" s="19">
        <v>68</v>
      </c>
      <c r="G14" s="19"/>
      <c r="H14" s="20"/>
      <c r="I14" s="21">
        <f t="shared" si="0"/>
        <v>150</v>
      </c>
      <c r="J14" s="21">
        <f t="shared" si="1"/>
        <v>0</v>
      </c>
      <c r="K14" s="21">
        <f t="shared" si="2"/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4.75" customHeight="1" x14ac:dyDescent="0.15">
      <c r="A15" s="15">
        <v>5</v>
      </c>
      <c r="B15" s="175">
        <v>511523205005</v>
      </c>
      <c r="C15" s="22" t="s">
        <v>291</v>
      </c>
      <c r="D15" s="176"/>
      <c r="E15" s="18">
        <v>62</v>
      </c>
      <c r="F15" s="19">
        <v>18</v>
      </c>
      <c r="G15" s="20"/>
      <c r="H15" s="19"/>
      <c r="I15" s="21">
        <f t="shared" si="0"/>
        <v>80</v>
      </c>
      <c r="J15" s="21">
        <f t="shared" si="1"/>
        <v>1</v>
      </c>
      <c r="K15" s="21">
        <f t="shared" si="2"/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3.75" customHeight="1" x14ac:dyDescent="0.15">
      <c r="A16" s="15">
        <v>6</v>
      </c>
      <c r="B16" s="175">
        <v>511523205006</v>
      </c>
      <c r="C16" s="22" t="s">
        <v>292</v>
      </c>
      <c r="D16" s="176"/>
      <c r="E16" s="18">
        <v>56</v>
      </c>
      <c r="F16" s="19">
        <v>64</v>
      </c>
      <c r="G16" s="19"/>
      <c r="H16" s="20"/>
      <c r="I16" s="21">
        <f t="shared" si="0"/>
        <v>120</v>
      </c>
      <c r="J16" s="21">
        <f t="shared" si="1"/>
        <v>0</v>
      </c>
      <c r="K16" s="21">
        <f t="shared" si="2"/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4.75" customHeight="1" x14ac:dyDescent="0.15">
      <c r="A17" s="15">
        <v>7</v>
      </c>
      <c r="B17" s="175">
        <v>511523205007</v>
      </c>
      <c r="C17" s="22" t="s">
        <v>293</v>
      </c>
      <c r="D17" s="176"/>
      <c r="E17" s="18">
        <v>54</v>
      </c>
      <c r="F17" s="19">
        <v>54</v>
      </c>
      <c r="G17" s="20"/>
      <c r="H17" s="19"/>
      <c r="I17" s="21">
        <f t="shared" si="0"/>
        <v>108</v>
      </c>
      <c r="J17" s="21">
        <f t="shared" si="1"/>
        <v>0</v>
      </c>
      <c r="K17" s="21">
        <f t="shared" si="2"/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.75" customHeight="1" x14ac:dyDescent="0.15">
      <c r="A18" s="15">
        <v>8</v>
      </c>
      <c r="B18" s="175">
        <v>511523205008</v>
      </c>
      <c r="C18" s="22" t="s">
        <v>294</v>
      </c>
      <c r="D18" s="176"/>
      <c r="E18" s="18">
        <v>38</v>
      </c>
      <c r="F18" s="19">
        <v>0</v>
      </c>
      <c r="G18" s="19"/>
      <c r="H18" s="19"/>
      <c r="I18" s="21">
        <f t="shared" si="0"/>
        <v>38</v>
      </c>
      <c r="J18" s="21">
        <f t="shared" si="1"/>
        <v>2</v>
      </c>
      <c r="K18" s="21">
        <f t="shared" si="2"/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4.75" customHeight="1" x14ac:dyDescent="0.15">
      <c r="A19" s="15">
        <v>9</v>
      </c>
      <c r="B19" s="175">
        <v>511523205009</v>
      </c>
      <c r="C19" s="22" t="s">
        <v>295</v>
      </c>
      <c r="D19" s="176"/>
      <c r="E19" s="18">
        <v>56</v>
      </c>
      <c r="F19" s="19">
        <v>40</v>
      </c>
      <c r="G19" s="19"/>
      <c r="H19" s="20"/>
      <c r="I19" s="21">
        <f t="shared" si="0"/>
        <v>96</v>
      </c>
      <c r="J19" s="21">
        <f t="shared" si="1"/>
        <v>1</v>
      </c>
      <c r="K19" s="21">
        <f t="shared" si="2"/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4.75" customHeight="1" x14ac:dyDescent="0.15">
      <c r="A20" s="15">
        <v>10</v>
      </c>
      <c r="B20" s="175">
        <v>511523205010</v>
      </c>
      <c r="C20" s="22" t="s">
        <v>296</v>
      </c>
      <c r="D20" s="176"/>
      <c r="E20" s="18">
        <v>72</v>
      </c>
      <c r="F20" s="19">
        <v>60</v>
      </c>
      <c r="G20" s="19"/>
      <c r="H20" s="20"/>
      <c r="I20" s="21">
        <f t="shared" si="0"/>
        <v>132</v>
      </c>
      <c r="J20" s="21">
        <f t="shared" si="1"/>
        <v>0</v>
      </c>
      <c r="K20" s="21">
        <f t="shared" si="2"/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4.75" customHeight="1" x14ac:dyDescent="0.15">
      <c r="A21" s="15">
        <v>11</v>
      </c>
      <c r="B21" s="175">
        <v>511523205011</v>
      </c>
      <c r="C21" s="22" t="s">
        <v>297</v>
      </c>
      <c r="D21" s="176"/>
      <c r="E21" s="18">
        <v>62</v>
      </c>
      <c r="F21" s="19">
        <v>32</v>
      </c>
      <c r="G21" s="19"/>
      <c r="H21" s="20"/>
      <c r="I21" s="21">
        <f t="shared" si="0"/>
        <v>94</v>
      </c>
      <c r="J21" s="21">
        <f t="shared" si="1"/>
        <v>1</v>
      </c>
      <c r="K21" s="21">
        <f t="shared" si="2"/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4.75" customHeight="1" x14ac:dyDescent="0.15">
      <c r="A22" s="15">
        <v>12</v>
      </c>
      <c r="B22" s="175">
        <v>511523205012</v>
      </c>
      <c r="C22" s="22" t="s">
        <v>298</v>
      </c>
      <c r="D22" s="176"/>
      <c r="E22" s="18">
        <v>80</v>
      </c>
      <c r="F22" s="19">
        <v>68</v>
      </c>
      <c r="G22" s="19"/>
      <c r="H22" s="19"/>
      <c r="I22" s="21">
        <f t="shared" si="0"/>
        <v>148</v>
      </c>
      <c r="J22" s="21">
        <f t="shared" si="1"/>
        <v>0</v>
      </c>
      <c r="K22" s="21">
        <f t="shared" si="2"/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4.75" customHeight="1" x14ac:dyDescent="0.15">
      <c r="A23" s="15">
        <v>13</v>
      </c>
      <c r="B23" s="175">
        <v>511523205013</v>
      </c>
      <c r="C23" s="22" t="s">
        <v>299</v>
      </c>
      <c r="D23" s="176"/>
      <c r="E23" s="18">
        <v>68</v>
      </c>
      <c r="F23" s="19">
        <v>60</v>
      </c>
      <c r="G23" s="19"/>
      <c r="H23" s="19"/>
      <c r="I23" s="21">
        <f t="shared" si="0"/>
        <v>128</v>
      </c>
      <c r="J23" s="21">
        <f t="shared" si="1"/>
        <v>0</v>
      </c>
      <c r="K23" s="21">
        <f t="shared" si="2"/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4.75" customHeight="1" x14ac:dyDescent="0.15">
      <c r="A24" s="15">
        <v>14</v>
      </c>
      <c r="B24" s="175">
        <v>511523205014</v>
      </c>
      <c r="C24" s="22" t="s">
        <v>300</v>
      </c>
      <c r="D24" s="176"/>
      <c r="E24" s="18">
        <v>72</v>
      </c>
      <c r="F24" s="19">
        <v>78</v>
      </c>
      <c r="G24" s="19"/>
      <c r="H24" s="19"/>
      <c r="I24" s="21">
        <f t="shared" si="0"/>
        <v>150</v>
      </c>
      <c r="J24" s="21">
        <f t="shared" si="1"/>
        <v>0</v>
      </c>
      <c r="K24" s="21">
        <f t="shared" si="2"/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4.75" customHeight="1" x14ac:dyDescent="0.15">
      <c r="A25" s="15">
        <v>15</v>
      </c>
      <c r="B25" s="175">
        <v>511523205015</v>
      </c>
      <c r="C25" s="22" t="s">
        <v>301</v>
      </c>
      <c r="D25" s="176"/>
      <c r="E25" s="18">
        <v>72</v>
      </c>
      <c r="F25" s="19">
        <v>78</v>
      </c>
      <c r="G25" s="19"/>
      <c r="H25" s="19"/>
      <c r="I25" s="21">
        <f t="shared" si="0"/>
        <v>150</v>
      </c>
      <c r="J25" s="21">
        <f t="shared" si="1"/>
        <v>0</v>
      </c>
      <c r="K25" s="21">
        <f t="shared" si="2"/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4.75" customHeight="1" x14ac:dyDescent="0.15">
      <c r="A26" s="15">
        <v>16</v>
      </c>
      <c r="B26" s="175">
        <v>511523205016</v>
      </c>
      <c r="C26" s="22" t="s">
        <v>302</v>
      </c>
      <c r="D26" s="176"/>
      <c r="E26" s="18">
        <v>50</v>
      </c>
      <c r="F26" s="19">
        <v>54</v>
      </c>
      <c r="G26" s="19"/>
      <c r="H26" s="19"/>
      <c r="I26" s="21">
        <f t="shared" si="0"/>
        <v>104</v>
      </c>
      <c r="J26" s="21">
        <f t="shared" si="1"/>
        <v>0</v>
      </c>
      <c r="K26" s="21">
        <f t="shared" si="2"/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4.75" customHeight="1" x14ac:dyDescent="0.15">
      <c r="A27" s="15">
        <v>17</v>
      </c>
      <c r="B27" s="175">
        <v>511523205017</v>
      </c>
      <c r="C27" s="22" t="s">
        <v>303</v>
      </c>
      <c r="D27" s="176"/>
      <c r="E27" s="18">
        <v>50</v>
      </c>
      <c r="F27" s="19">
        <v>76</v>
      </c>
      <c r="G27" s="19"/>
      <c r="H27" s="19"/>
      <c r="I27" s="21">
        <f t="shared" si="0"/>
        <v>126</v>
      </c>
      <c r="J27" s="21">
        <f t="shared" si="1"/>
        <v>0</v>
      </c>
      <c r="K27" s="21">
        <f t="shared" si="2"/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4.75" customHeight="1" x14ac:dyDescent="0.15">
      <c r="A28" s="24">
        <v>18</v>
      </c>
      <c r="B28" s="177">
        <v>511523205018</v>
      </c>
      <c r="C28" s="26" t="s">
        <v>304</v>
      </c>
      <c r="D28" s="178"/>
      <c r="E28" s="28">
        <v>32</v>
      </c>
      <c r="F28" s="29" t="s">
        <v>52</v>
      </c>
      <c r="G28" s="29"/>
      <c r="H28" s="19"/>
      <c r="I28" s="70">
        <f t="shared" si="0"/>
        <v>32</v>
      </c>
      <c r="J28" s="21">
        <f t="shared" si="1"/>
        <v>1</v>
      </c>
      <c r="K28" s="21">
        <f t="shared" si="2"/>
        <v>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.75" customHeight="1" x14ac:dyDescent="0.15">
      <c r="A29" s="15">
        <v>19</v>
      </c>
      <c r="B29" s="175">
        <v>511523205019</v>
      </c>
      <c r="C29" s="22" t="s">
        <v>305</v>
      </c>
      <c r="D29" s="176"/>
      <c r="E29" s="18">
        <v>8</v>
      </c>
      <c r="F29" s="19">
        <v>64</v>
      </c>
      <c r="G29" s="19"/>
      <c r="H29" s="19"/>
      <c r="I29" s="21">
        <f t="shared" si="0"/>
        <v>72</v>
      </c>
      <c r="J29" s="21">
        <f t="shared" si="1"/>
        <v>1</v>
      </c>
      <c r="K29" s="21">
        <f t="shared" si="2"/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.75" customHeight="1" x14ac:dyDescent="0.15">
      <c r="A30" s="15">
        <v>20</v>
      </c>
      <c r="B30" s="175">
        <v>511523205020</v>
      </c>
      <c r="C30" s="22" t="s">
        <v>306</v>
      </c>
      <c r="D30" s="176"/>
      <c r="E30" s="18">
        <v>24</v>
      </c>
      <c r="F30" s="19">
        <v>40</v>
      </c>
      <c r="G30" s="19"/>
      <c r="H30" s="19"/>
      <c r="I30" s="21">
        <f t="shared" si="0"/>
        <v>64</v>
      </c>
      <c r="J30" s="21">
        <f t="shared" si="1"/>
        <v>2</v>
      </c>
      <c r="K30" s="21">
        <f t="shared" si="2"/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.75" customHeight="1" x14ac:dyDescent="0.15">
      <c r="A31" s="15">
        <v>21</v>
      </c>
      <c r="B31" s="175">
        <v>511523205021</v>
      </c>
      <c r="C31" s="22" t="s">
        <v>307</v>
      </c>
      <c r="D31" s="176"/>
      <c r="E31" s="18">
        <v>38</v>
      </c>
      <c r="F31" s="19">
        <v>56</v>
      </c>
      <c r="G31" s="19"/>
      <c r="H31" s="19"/>
      <c r="I31" s="21">
        <f t="shared" si="0"/>
        <v>94</v>
      </c>
      <c r="J31" s="21">
        <f t="shared" si="1"/>
        <v>1</v>
      </c>
      <c r="K31" s="21">
        <f t="shared" si="2"/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4.75" customHeight="1" x14ac:dyDescent="0.15">
      <c r="A32" s="15">
        <v>22</v>
      </c>
      <c r="B32" s="175">
        <v>511523205023</v>
      </c>
      <c r="C32" s="22" t="s">
        <v>308</v>
      </c>
      <c r="D32" s="176"/>
      <c r="E32" s="18">
        <v>40</v>
      </c>
      <c r="F32" s="19">
        <v>75</v>
      </c>
      <c r="G32" s="19"/>
      <c r="H32" s="20"/>
      <c r="I32" s="21">
        <f t="shared" si="0"/>
        <v>115</v>
      </c>
      <c r="J32" s="21">
        <f t="shared" si="1"/>
        <v>1</v>
      </c>
      <c r="K32" s="21">
        <f t="shared" si="2"/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4.75" customHeight="1" x14ac:dyDescent="0.15">
      <c r="A33" s="15">
        <v>23</v>
      </c>
      <c r="B33" s="175">
        <v>511523205025</v>
      </c>
      <c r="C33" s="22" t="s">
        <v>309</v>
      </c>
      <c r="D33" s="176"/>
      <c r="E33" s="18">
        <v>40</v>
      </c>
      <c r="F33" s="19">
        <v>66</v>
      </c>
      <c r="G33" s="19"/>
      <c r="H33" s="20"/>
      <c r="I33" s="21">
        <f t="shared" si="0"/>
        <v>106</v>
      </c>
      <c r="J33" s="21">
        <f t="shared" si="1"/>
        <v>1</v>
      </c>
      <c r="K33" s="21">
        <f t="shared" si="2"/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4.75" customHeight="1" x14ac:dyDescent="0.15">
      <c r="A34" s="15">
        <v>24</v>
      </c>
      <c r="B34" s="175">
        <v>511523205026</v>
      </c>
      <c r="C34" s="22" t="s">
        <v>310</v>
      </c>
      <c r="D34" s="176"/>
      <c r="E34" s="18">
        <v>10</v>
      </c>
      <c r="F34" s="19">
        <v>58</v>
      </c>
      <c r="G34" s="19"/>
      <c r="H34" s="19"/>
      <c r="I34" s="21">
        <f t="shared" si="0"/>
        <v>68</v>
      </c>
      <c r="J34" s="21">
        <f t="shared" si="1"/>
        <v>1</v>
      </c>
      <c r="K34" s="21">
        <f t="shared" si="2"/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4.75" customHeight="1" x14ac:dyDescent="0.15">
      <c r="A35" s="15">
        <v>25</v>
      </c>
      <c r="B35" s="175">
        <v>511523205027</v>
      </c>
      <c r="C35" s="22" t="s">
        <v>311</v>
      </c>
      <c r="D35" s="176"/>
      <c r="E35" s="18">
        <v>16</v>
      </c>
      <c r="F35" s="19">
        <v>28</v>
      </c>
      <c r="G35" s="19"/>
      <c r="H35" s="20"/>
      <c r="I35" s="21">
        <f t="shared" si="0"/>
        <v>44</v>
      </c>
      <c r="J35" s="21">
        <f t="shared" si="1"/>
        <v>2</v>
      </c>
      <c r="K35" s="21">
        <f t="shared" si="2"/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4.75" customHeight="1" x14ac:dyDescent="0.15">
      <c r="A36" s="15">
        <v>26</v>
      </c>
      <c r="B36" s="175">
        <v>511523205028</v>
      </c>
      <c r="C36" s="22" t="s">
        <v>312</v>
      </c>
      <c r="D36" s="176"/>
      <c r="E36" s="18">
        <v>70</v>
      </c>
      <c r="F36" s="19">
        <v>72</v>
      </c>
      <c r="G36" s="19"/>
      <c r="H36" s="19"/>
      <c r="I36" s="21">
        <f t="shared" si="0"/>
        <v>142</v>
      </c>
      <c r="J36" s="21">
        <f t="shared" si="1"/>
        <v>0</v>
      </c>
      <c r="K36" s="21">
        <f t="shared" si="2"/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4.75" customHeight="1" x14ac:dyDescent="0.15">
      <c r="A37" s="15">
        <v>27</v>
      </c>
      <c r="B37" s="175">
        <v>511523205029</v>
      </c>
      <c r="C37" s="22" t="s">
        <v>313</v>
      </c>
      <c r="D37" s="176"/>
      <c r="E37" s="18">
        <v>50</v>
      </c>
      <c r="F37" s="19">
        <v>54</v>
      </c>
      <c r="G37" s="19"/>
      <c r="H37" s="19"/>
      <c r="I37" s="21">
        <f t="shared" si="0"/>
        <v>104</v>
      </c>
      <c r="J37" s="21">
        <f t="shared" si="1"/>
        <v>0</v>
      </c>
      <c r="K37" s="21">
        <f t="shared" si="2"/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4.75" customHeight="1" x14ac:dyDescent="0.15">
      <c r="A38" s="15">
        <v>28</v>
      </c>
      <c r="B38" s="175">
        <v>511523205030</v>
      </c>
      <c r="C38" s="22" t="s">
        <v>314</v>
      </c>
      <c r="D38" s="176"/>
      <c r="E38" s="18">
        <v>50</v>
      </c>
      <c r="F38" s="19">
        <v>58</v>
      </c>
      <c r="G38" s="19"/>
      <c r="H38" s="20"/>
      <c r="I38" s="21">
        <f t="shared" si="0"/>
        <v>108</v>
      </c>
      <c r="J38" s="21">
        <f t="shared" si="1"/>
        <v>0</v>
      </c>
      <c r="K38" s="21">
        <f t="shared" si="2"/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4.75" customHeight="1" x14ac:dyDescent="0.15">
      <c r="A39" s="15">
        <v>29</v>
      </c>
      <c r="B39" s="175">
        <v>511523205031</v>
      </c>
      <c r="C39" s="22" t="s">
        <v>315</v>
      </c>
      <c r="D39" s="176"/>
      <c r="E39" s="18" t="s">
        <v>52</v>
      </c>
      <c r="F39" s="19">
        <v>56</v>
      </c>
      <c r="G39" s="19"/>
      <c r="H39" s="19"/>
      <c r="I39" s="21">
        <f t="shared" si="0"/>
        <v>56</v>
      </c>
      <c r="J39" s="21">
        <f t="shared" si="1"/>
        <v>0</v>
      </c>
      <c r="K39" s="21">
        <f t="shared" si="2"/>
        <v>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4.75" customHeight="1" x14ac:dyDescent="0.15">
      <c r="A40" s="15">
        <v>30</v>
      </c>
      <c r="B40" s="175">
        <v>511523205032</v>
      </c>
      <c r="C40" s="22" t="s">
        <v>316</v>
      </c>
      <c r="D40" s="176"/>
      <c r="E40" s="18">
        <v>76</v>
      </c>
      <c r="F40" s="19">
        <v>78</v>
      </c>
      <c r="G40" s="19"/>
      <c r="H40" s="20"/>
      <c r="I40" s="21">
        <f t="shared" si="0"/>
        <v>154</v>
      </c>
      <c r="J40" s="21">
        <f t="shared" si="1"/>
        <v>0</v>
      </c>
      <c r="K40" s="21">
        <f t="shared" si="2"/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4.75" customHeight="1" x14ac:dyDescent="0.15">
      <c r="A41" s="15">
        <v>31</v>
      </c>
      <c r="B41" s="175">
        <v>511523205033</v>
      </c>
      <c r="C41" s="22" t="s">
        <v>317</v>
      </c>
      <c r="D41" s="176"/>
      <c r="E41" s="18">
        <v>54</v>
      </c>
      <c r="F41" s="19">
        <v>60</v>
      </c>
      <c r="G41" s="19"/>
      <c r="H41" s="19"/>
      <c r="I41" s="21">
        <f t="shared" si="0"/>
        <v>114</v>
      </c>
      <c r="J41" s="21">
        <f t="shared" si="1"/>
        <v>0</v>
      </c>
      <c r="K41" s="21">
        <f t="shared" si="2"/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4.75" customHeight="1" x14ac:dyDescent="0.15">
      <c r="A42" s="15">
        <v>32</v>
      </c>
      <c r="B42" s="175">
        <v>511523205034</v>
      </c>
      <c r="C42" s="22" t="s">
        <v>318</v>
      </c>
      <c r="D42" s="176"/>
      <c r="E42" s="18">
        <v>50</v>
      </c>
      <c r="F42" s="19">
        <v>66</v>
      </c>
      <c r="G42" s="19"/>
      <c r="H42" s="19"/>
      <c r="I42" s="21">
        <f t="shared" si="0"/>
        <v>116</v>
      </c>
      <c r="J42" s="21">
        <f t="shared" si="1"/>
        <v>0</v>
      </c>
      <c r="K42" s="21">
        <f t="shared" si="2"/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4.75" customHeight="1" x14ac:dyDescent="0.15">
      <c r="A43" s="15">
        <v>33</v>
      </c>
      <c r="B43" s="175">
        <v>511523205035</v>
      </c>
      <c r="C43" s="22" t="s">
        <v>319</v>
      </c>
      <c r="D43" s="176"/>
      <c r="E43" s="18">
        <v>28</v>
      </c>
      <c r="F43" s="19">
        <v>54</v>
      </c>
      <c r="G43" s="19"/>
      <c r="H43" s="19"/>
      <c r="I43" s="21">
        <f t="shared" si="0"/>
        <v>82</v>
      </c>
      <c r="J43" s="21">
        <f t="shared" si="1"/>
        <v>1</v>
      </c>
      <c r="K43" s="21">
        <f t="shared" si="2"/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4.75" customHeight="1" x14ac:dyDescent="0.15">
      <c r="A44" s="15">
        <v>34</v>
      </c>
      <c r="B44" s="175">
        <v>511523205036</v>
      </c>
      <c r="C44" s="22" t="s">
        <v>320</v>
      </c>
      <c r="D44" s="176"/>
      <c r="E44" s="18">
        <v>50</v>
      </c>
      <c r="F44" s="19">
        <v>50</v>
      </c>
      <c r="G44" s="19"/>
      <c r="H44" s="20"/>
      <c r="I44" s="21">
        <f t="shared" si="0"/>
        <v>100</v>
      </c>
      <c r="J44" s="21">
        <f t="shared" si="1"/>
        <v>0</v>
      </c>
      <c r="K44" s="21">
        <f t="shared" si="2"/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4.75" customHeight="1" x14ac:dyDescent="0.15">
      <c r="A45" s="15">
        <v>35</v>
      </c>
      <c r="B45" s="175">
        <v>511523205037</v>
      </c>
      <c r="C45" s="22" t="s">
        <v>321</v>
      </c>
      <c r="D45" s="176"/>
      <c r="E45" s="18">
        <v>38</v>
      </c>
      <c r="F45" s="19">
        <v>50</v>
      </c>
      <c r="G45" s="19"/>
      <c r="H45" s="19"/>
      <c r="I45" s="21">
        <f t="shared" si="0"/>
        <v>88</v>
      </c>
      <c r="J45" s="21">
        <f t="shared" si="1"/>
        <v>1</v>
      </c>
      <c r="K45" s="21">
        <f t="shared" si="2"/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4.75" customHeight="1" x14ac:dyDescent="0.15">
      <c r="A46" s="15">
        <v>36</v>
      </c>
      <c r="B46" s="175">
        <v>511523205038</v>
      </c>
      <c r="C46" s="22" t="s">
        <v>322</v>
      </c>
      <c r="D46" s="176"/>
      <c r="E46" s="18">
        <v>88</v>
      </c>
      <c r="F46" s="19">
        <v>84</v>
      </c>
      <c r="G46" s="19"/>
      <c r="H46" s="19"/>
      <c r="I46" s="21">
        <f t="shared" si="0"/>
        <v>172</v>
      </c>
      <c r="J46" s="21">
        <f t="shared" si="1"/>
        <v>0</v>
      </c>
      <c r="K46" s="21">
        <f t="shared" si="2"/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4.75" customHeight="1" x14ac:dyDescent="0.15">
      <c r="A47" s="15">
        <v>37</v>
      </c>
      <c r="B47" s="175">
        <v>511523205039</v>
      </c>
      <c r="C47" s="22" t="s">
        <v>323</v>
      </c>
      <c r="D47" s="176"/>
      <c r="E47" s="18">
        <v>68</v>
      </c>
      <c r="F47" s="19">
        <v>62</v>
      </c>
      <c r="G47" s="19"/>
      <c r="H47" s="19"/>
      <c r="I47" s="21">
        <f t="shared" si="0"/>
        <v>130</v>
      </c>
      <c r="J47" s="21">
        <f t="shared" si="1"/>
        <v>0</v>
      </c>
      <c r="K47" s="21">
        <f t="shared" si="2"/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4.75" customHeight="1" x14ac:dyDescent="0.15">
      <c r="A48" s="15">
        <v>38</v>
      </c>
      <c r="B48" s="175">
        <v>511523205040</v>
      </c>
      <c r="C48" s="22" t="s">
        <v>324</v>
      </c>
      <c r="D48" s="176"/>
      <c r="E48" s="18">
        <v>38</v>
      </c>
      <c r="F48" s="19">
        <v>64</v>
      </c>
      <c r="G48" s="19"/>
      <c r="H48" s="20"/>
      <c r="I48" s="21">
        <f t="shared" si="0"/>
        <v>102</v>
      </c>
      <c r="J48" s="21">
        <f t="shared" si="1"/>
        <v>1</v>
      </c>
      <c r="K48" s="21">
        <f t="shared" si="2"/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4.75" customHeight="1" x14ac:dyDescent="0.15">
      <c r="A49" s="15">
        <v>39</v>
      </c>
      <c r="B49" s="175">
        <v>511523205041</v>
      </c>
      <c r="C49" s="22" t="s">
        <v>325</v>
      </c>
      <c r="D49" s="176"/>
      <c r="E49" s="18">
        <v>54</v>
      </c>
      <c r="F49" s="19">
        <v>68</v>
      </c>
      <c r="G49" s="19"/>
      <c r="H49" s="19"/>
      <c r="I49" s="21">
        <f t="shared" si="0"/>
        <v>122</v>
      </c>
      <c r="J49" s="21">
        <f t="shared" si="1"/>
        <v>0</v>
      </c>
      <c r="K49" s="21">
        <f t="shared" si="2"/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4.75" customHeight="1" x14ac:dyDescent="0.2">
      <c r="A50" s="15">
        <v>40</v>
      </c>
      <c r="B50" s="175">
        <v>511523205042</v>
      </c>
      <c r="C50" s="22" t="s">
        <v>326</v>
      </c>
      <c r="D50" s="176"/>
      <c r="E50" s="18">
        <v>50</v>
      </c>
      <c r="F50" s="19">
        <v>64</v>
      </c>
      <c r="G50" s="19"/>
      <c r="H50" s="19"/>
      <c r="I50" s="21">
        <f t="shared" si="0"/>
        <v>114</v>
      </c>
      <c r="J50" s="21">
        <f t="shared" si="1"/>
        <v>0</v>
      </c>
      <c r="K50" s="21">
        <f t="shared" si="2"/>
        <v>0</v>
      </c>
      <c r="L50" s="2"/>
      <c r="M50" s="31"/>
      <c r="N50" s="31"/>
      <c r="O50" s="31"/>
      <c r="P50" s="31"/>
      <c r="Q50" s="31"/>
      <c r="R50" s="31"/>
      <c r="S50" s="2"/>
      <c r="T50" s="2"/>
      <c r="U50" s="2"/>
      <c r="V50" s="2"/>
      <c r="W50" s="2"/>
      <c r="X50" s="2"/>
      <c r="Y50" s="2"/>
    </row>
    <row r="51" spans="1:25" ht="24.75" customHeight="1" x14ac:dyDescent="0.2">
      <c r="A51" s="15">
        <v>41</v>
      </c>
      <c r="B51" s="175">
        <v>511523205043</v>
      </c>
      <c r="C51" s="22" t="s">
        <v>327</v>
      </c>
      <c r="D51" s="176"/>
      <c r="E51" s="18">
        <v>54</v>
      </c>
      <c r="F51" s="19">
        <v>64</v>
      </c>
      <c r="G51" s="19"/>
      <c r="H51" s="19"/>
      <c r="I51" s="21">
        <f t="shared" si="0"/>
        <v>118</v>
      </c>
      <c r="J51" s="21">
        <f t="shared" si="1"/>
        <v>0</v>
      </c>
      <c r="K51" s="21">
        <f t="shared" si="2"/>
        <v>0</v>
      </c>
      <c r="L51" s="2"/>
      <c r="M51" s="32"/>
      <c r="N51" s="32"/>
      <c r="O51" s="32"/>
      <c r="P51" s="32"/>
      <c r="Q51" s="32"/>
      <c r="R51" s="32"/>
      <c r="S51" s="2"/>
      <c r="T51" s="2"/>
      <c r="U51" s="2"/>
      <c r="V51" s="2"/>
      <c r="W51" s="2"/>
      <c r="X51" s="2"/>
      <c r="Y51" s="2"/>
    </row>
    <row r="52" spans="1:25" ht="24.75" customHeight="1" x14ac:dyDescent="0.2">
      <c r="A52" s="15">
        <v>42</v>
      </c>
      <c r="B52" s="175">
        <v>511523205044</v>
      </c>
      <c r="C52" s="22" t="s">
        <v>328</v>
      </c>
      <c r="D52" s="176"/>
      <c r="E52" s="18">
        <v>0</v>
      </c>
      <c r="F52" s="19">
        <v>22</v>
      </c>
      <c r="G52" s="19"/>
      <c r="H52" s="19"/>
      <c r="I52" s="21">
        <f t="shared" si="0"/>
        <v>22</v>
      </c>
      <c r="J52" s="21">
        <f t="shared" si="1"/>
        <v>2</v>
      </c>
      <c r="K52" s="21">
        <f t="shared" si="2"/>
        <v>0</v>
      </c>
      <c r="L52" s="3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4.75" customHeight="1" x14ac:dyDescent="0.2">
      <c r="A53" s="15">
        <v>43</v>
      </c>
      <c r="B53" s="175">
        <v>511523205045</v>
      </c>
      <c r="C53" s="22" t="s">
        <v>329</v>
      </c>
      <c r="D53" s="176"/>
      <c r="E53" s="18">
        <v>56</v>
      </c>
      <c r="F53" s="19">
        <v>70</v>
      </c>
      <c r="G53" s="19"/>
      <c r="H53" s="19"/>
      <c r="I53" s="21">
        <f t="shared" si="0"/>
        <v>126</v>
      </c>
      <c r="J53" s="21">
        <f t="shared" si="1"/>
        <v>0</v>
      </c>
      <c r="K53" s="21">
        <f t="shared" si="2"/>
        <v>0</v>
      </c>
      <c r="L53" s="3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4.75" customHeight="1" x14ac:dyDescent="0.2">
      <c r="A54" s="15">
        <v>44</v>
      </c>
      <c r="B54" s="175">
        <v>511523205046</v>
      </c>
      <c r="C54" s="22" t="s">
        <v>330</v>
      </c>
      <c r="D54" s="176"/>
      <c r="E54" s="18">
        <v>42</v>
      </c>
      <c r="F54" s="19">
        <v>44</v>
      </c>
      <c r="G54" s="19"/>
      <c r="H54" s="19"/>
      <c r="I54" s="21">
        <f t="shared" si="0"/>
        <v>86</v>
      </c>
      <c r="J54" s="21">
        <f t="shared" si="1"/>
        <v>2</v>
      </c>
      <c r="K54" s="21">
        <f t="shared" si="2"/>
        <v>0</v>
      </c>
      <c r="L54" s="3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4.75" customHeight="1" x14ac:dyDescent="0.2">
      <c r="A55" s="15">
        <v>45</v>
      </c>
      <c r="B55" s="175">
        <v>511523205047</v>
      </c>
      <c r="C55" s="22" t="s">
        <v>331</v>
      </c>
      <c r="D55" s="176"/>
      <c r="E55" s="18">
        <v>36</v>
      </c>
      <c r="F55" s="19">
        <v>42</v>
      </c>
      <c r="G55" s="19"/>
      <c r="H55" s="19"/>
      <c r="I55" s="21">
        <f t="shared" si="0"/>
        <v>78</v>
      </c>
      <c r="J55" s="21">
        <f t="shared" si="1"/>
        <v>2</v>
      </c>
      <c r="K55" s="21">
        <f t="shared" si="2"/>
        <v>0</v>
      </c>
      <c r="L55" s="3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4.75" customHeight="1" x14ac:dyDescent="0.2">
      <c r="A56" s="15">
        <v>46</v>
      </c>
      <c r="B56" s="175">
        <v>511523205048</v>
      </c>
      <c r="C56" s="22" t="s">
        <v>332</v>
      </c>
      <c r="D56" s="176"/>
      <c r="E56" s="18">
        <v>8</v>
      </c>
      <c r="F56" s="19">
        <v>36</v>
      </c>
      <c r="G56" s="19"/>
      <c r="H56" s="19"/>
      <c r="I56" s="21">
        <f t="shared" si="0"/>
        <v>44</v>
      </c>
      <c r="J56" s="21">
        <f t="shared" si="1"/>
        <v>2</v>
      </c>
      <c r="K56" s="21">
        <f t="shared" si="2"/>
        <v>0</v>
      </c>
      <c r="L56" s="3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4.75" customHeight="1" x14ac:dyDescent="0.2">
      <c r="A57" s="15">
        <v>47</v>
      </c>
      <c r="B57" s="175">
        <v>511523205049</v>
      </c>
      <c r="C57" s="22" t="s">
        <v>333</v>
      </c>
      <c r="D57" s="176"/>
      <c r="E57" s="18">
        <v>50</v>
      </c>
      <c r="F57" s="19">
        <v>46</v>
      </c>
      <c r="G57" s="19"/>
      <c r="H57" s="19"/>
      <c r="I57" s="21">
        <f t="shared" si="0"/>
        <v>96</v>
      </c>
      <c r="J57" s="21">
        <f t="shared" si="1"/>
        <v>1</v>
      </c>
      <c r="K57" s="21">
        <f t="shared" si="2"/>
        <v>0</v>
      </c>
      <c r="L57" s="3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4.75" customHeight="1" x14ac:dyDescent="0.2">
      <c r="A58" s="15">
        <v>48</v>
      </c>
      <c r="B58" s="175">
        <v>511523205050</v>
      </c>
      <c r="C58" s="22" t="s">
        <v>334</v>
      </c>
      <c r="D58" s="176"/>
      <c r="E58" s="18">
        <v>50</v>
      </c>
      <c r="F58" s="19">
        <v>66</v>
      </c>
      <c r="G58" s="19"/>
      <c r="H58" s="20"/>
      <c r="I58" s="21">
        <f t="shared" si="0"/>
        <v>116</v>
      </c>
      <c r="J58" s="21">
        <f t="shared" si="1"/>
        <v>0</v>
      </c>
      <c r="K58" s="21">
        <f t="shared" si="2"/>
        <v>0</v>
      </c>
      <c r="L58" s="3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4.75" customHeight="1" x14ac:dyDescent="0.2">
      <c r="A59" s="15">
        <v>49</v>
      </c>
      <c r="B59" s="175">
        <v>511523205051</v>
      </c>
      <c r="C59" s="22" t="s">
        <v>335</v>
      </c>
      <c r="D59" s="176"/>
      <c r="E59" s="18">
        <v>16</v>
      </c>
      <c r="F59" s="19">
        <v>48</v>
      </c>
      <c r="G59" s="19"/>
      <c r="H59" s="19"/>
      <c r="I59" s="21">
        <f t="shared" si="0"/>
        <v>64</v>
      </c>
      <c r="J59" s="21">
        <f t="shared" si="1"/>
        <v>2</v>
      </c>
      <c r="K59" s="21">
        <f t="shared" si="2"/>
        <v>0</v>
      </c>
      <c r="L59" s="3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4.75" customHeight="1" x14ac:dyDescent="0.2">
      <c r="A60" s="15">
        <v>50</v>
      </c>
      <c r="B60" s="175">
        <v>511523205052</v>
      </c>
      <c r="C60" s="22" t="s">
        <v>336</v>
      </c>
      <c r="D60" s="176"/>
      <c r="E60" s="18">
        <v>16</v>
      </c>
      <c r="F60" s="19">
        <v>56</v>
      </c>
      <c r="G60" s="19"/>
      <c r="H60" s="19"/>
      <c r="I60" s="21">
        <f t="shared" si="0"/>
        <v>72</v>
      </c>
      <c r="J60" s="21">
        <f t="shared" si="1"/>
        <v>1</v>
      </c>
      <c r="K60" s="21">
        <f t="shared" si="2"/>
        <v>0</v>
      </c>
      <c r="L60" s="3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4.75" customHeight="1" x14ac:dyDescent="0.2">
      <c r="A61" s="15">
        <v>51</v>
      </c>
      <c r="B61" s="175">
        <v>511523205053</v>
      </c>
      <c r="C61" s="22" t="s">
        <v>337</v>
      </c>
      <c r="D61" s="176"/>
      <c r="E61" s="18">
        <v>50</v>
      </c>
      <c r="F61" s="19">
        <v>50</v>
      </c>
      <c r="G61" s="19"/>
      <c r="H61" s="19"/>
      <c r="I61" s="21">
        <f t="shared" si="0"/>
        <v>100</v>
      </c>
      <c r="J61" s="21">
        <f t="shared" si="1"/>
        <v>0</v>
      </c>
      <c r="K61" s="21">
        <f t="shared" si="2"/>
        <v>0</v>
      </c>
      <c r="L61" s="3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4.75" customHeight="1" x14ac:dyDescent="0.2">
      <c r="A62" s="15">
        <v>52</v>
      </c>
      <c r="B62" s="175">
        <v>511523205054</v>
      </c>
      <c r="C62" s="22" t="s">
        <v>338</v>
      </c>
      <c r="D62" s="176"/>
      <c r="E62" s="18">
        <v>28</v>
      </c>
      <c r="F62" s="19">
        <v>61</v>
      </c>
      <c r="G62" s="19"/>
      <c r="H62" s="19"/>
      <c r="I62" s="21">
        <f t="shared" si="0"/>
        <v>89</v>
      </c>
      <c r="J62" s="21">
        <f t="shared" si="1"/>
        <v>1</v>
      </c>
      <c r="K62" s="21">
        <f t="shared" si="2"/>
        <v>0</v>
      </c>
      <c r="L62" s="3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4.75" customHeight="1" x14ac:dyDescent="0.2">
      <c r="A63" s="15">
        <v>53</v>
      </c>
      <c r="B63" s="175">
        <v>511523205055</v>
      </c>
      <c r="C63" s="22" t="s">
        <v>339</v>
      </c>
      <c r="D63" s="176"/>
      <c r="E63" s="18">
        <v>70</v>
      </c>
      <c r="F63" s="19">
        <v>84</v>
      </c>
      <c r="G63" s="19"/>
      <c r="H63" s="19"/>
      <c r="I63" s="21">
        <f t="shared" si="0"/>
        <v>154</v>
      </c>
      <c r="J63" s="21">
        <f t="shared" si="1"/>
        <v>0</v>
      </c>
      <c r="K63" s="21">
        <f t="shared" si="2"/>
        <v>0</v>
      </c>
      <c r="L63" s="3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4.75" customHeight="1" x14ac:dyDescent="0.2">
      <c r="A64" s="15">
        <v>54</v>
      </c>
      <c r="B64" s="175">
        <v>511523205056</v>
      </c>
      <c r="C64" s="22" t="s">
        <v>340</v>
      </c>
      <c r="D64" s="176"/>
      <c r="E64" s="18">
        <v>16</v>
      </c>
      <c r="F64" s="19">
        <v>64</v>
      </c>
      <c r="G64" s="19"/>
      <c r="H64" s="19"/>
      <c r="I64" s="21">
        <f t="shared" si="0"/>
        <v>80</v>
      </c>
      <c r="J64" s="21">
        <f t="shared" si="1"/>
        <v>1</v>
      </c>
      <c r="K64" s="21">
        <f t="shared" si="2"/>
        <v>0</v>
      </c>
      <c r="L64" s="3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4.75" customHeight="1" x14ac:dyDescent="0.2">
      <c r="A65" s="15">
        <v>55</v>
      </c>
      <c r="B65" s="175">
        <v>511523205057</v>
      </c>
      <c r="C65" s="22" t="s">
        <v>341</v>
      </c>
      <c r="D65" s="176"/>
      <c r="E65" s="18">
        <v>52</v>
      </c>
      <c r="F65" s="19">
        <v>36</v>
      </c>
      <c r="G65" s="19"/>
      <c r="H65" s="19"/>
      <c r="I65" s="21">
        <f t="shared" si="0"/>
        <v>88</v>
      </c>
      <c r="J65" s="21">
        <f t="shared" si="1"/>
        <v>1</v>
      </c>
      <c r="K65" s="21">
        <f t="shared" si="2"/>
        <v>0</v>
      </c>
      <c r="L65" s="3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4.75" customHeight="1" x14ac:dyDescent="0.2">
      <c r="A66" s="15">
        <v>56</v>
      </c>
      <c r="B66" s="175">
        <v>511523205058</v>
      </c>
      <c r="C66" s="22" t="s">
        <v>342</v>
      </c>
      <c r="D66" s="176"/>
      <c r="E66" s="18">
        <v>22</v>
      </c>
      <c r="F66" s="19">
        <v>58</v>
      </c>
      <c r="G66" s="19"/>
      <c r="H66" s="19"/>
      <c r="I66" s="21">
        <f t="shared" si="0"/>
        <v>80</v>
      </c>
      <c r="J66" s="21">
        <f t="shared" si="1"/>
        <v>1</v>
      </c>
      <c r="K66" s="21">
        <f t="shared" si="2"/>
        <v>0</v>
      </c>
      <c r="L66" s="3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4.75" customHeight="1" x14ac:dyDescent="0.2">
      <c r="A67" s="15">
        <v>57</v>
      </c>
      <c r="B67" s="175">
        <v>511523205059</v>
      </c>
      <c r="C67" s="22" t="s">
        <v>343</v>
      </c>
      <c r="D67" s="176"/>
      <c r="E67" s="18">
        <v>50</v>
      </c>
      <c r="F67" s="19">
        <v>62</v>
      </c>
      <c r="G67" s="19"/>
      <c r="H67" s="19"/>
      <c r="I67" s="21">
        <f t="shared" si="0"/>
        <v>112</v>
      </c>
      <c r="J67" s="21">
        <f t="shared" si="1"/>
        <v>0</v>
      </c>
      <c r="K67" s="21">
        <f t="shared" si="2"/>
        <v>0</v>
      </c>
      <c r="L67" s="3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 customHeight="1" x14ac:dyDescent="0.15">
      <c r="A68" s="15">
        <v>58</v>
      </c>
      <c r="B68" s="175">
        <v>511523205060</v>
      </c>
      <c r="C68" s="179" t="s">
        <v>344</v>
      </c>
      <c r="D68" s="176"/>
      <c r="E68" s="18">
        <v>38</v>
      </c>
      <c r="F68" s="19">
        <v>50</v>
      </c>
      <c r="G68" s="19"/>
      <c r="H68" s="19"/>
      <c r="I68" s="21">
        <f t="shared" si="0"/>
        <v>88</v>
      </c>
      <c r="J68" s="21">
        <f t="shared" si="1"/>
        <v>1</v>
      </c>
      <c r="K68" s="21">
        <f t="shared" si="2"/>
        <v>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4.75" customHeight="1" x14ac:dyDescent="0.15">
      <c r="A69" s="15">
        <v>59</v>
      </c>
      <c r="B69" s="175">
        <v>511523205061</v>
      </c>
      <c r="C69" s="22" t="s">
        <v>345</v>
      </c>
      <c r="D69" s="176"/>
      <c r="E69" s="18">
        <v>68</v>
      </c>
      <c r="F69" s="19">
        <v>72</v>
      </c>
      <c r="G69" s="19"/>
      <c r="H69" s="19"/>
      <c r="I69" s="21">
        <f t="shared" si="0"/>
        <v>140</v>
      </c>
      <c r="J69" s="21">
        <f t="shared" si="1"/>
        <v>0</v>
      </c>
      <c r="K69" s="21">
        <f t="shared" si="2"/>
        <v>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4.75" customHeight="1" x14ac:dyDescent="0.15">
      <c r="A70" s="15">
        <v>60</v>
      </c>
      <c r="B70" s="175">
        <v>511523205062</v>
      </c>
      <c r="C70" s="22" t="s">
        <v>346</v>
      </c>
      <c r="D70" s="176"/>
      <c r="E70" s="18">
        <v>0</v>
      </c>
      <c r="F70" s="19">
        <v>50</v>
      </c>
      <c r="G70" s="19"/>
      <c r="H70" s="19"/>
      <c r="I70" s="21">
        <f t="shared" si="0"/>
        <v>50</v>
      </c>
      <c r="J70" s="21">
        <f t="shared" si="1"/>
        <v>1</v>
      </c>
      <c r="K70" s="21">
        <f t="shared" si="2"/>
        <v>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4.75" customHeight="1" x14ac:dyDescent="0.15">
      <c r="A71" s="180">
        <v>61</v>
      </c>
      <c r="B71" s="175">
        <v>511523205063</v>
      </c>
      <c r="C71" s="22" t="s">
        <v>347</v>
      </c>
      <c r="D71" s="181"/>
      <c r="E71" s="78">
        <v>6</v>
      </c>
      <c r="F71" s="79">
        <v>32</v>
      </c>
      <c r="G71" s="79"/>
      <c r="H71" s="19"/>
      <c r="I71" s="21">
        <f t="shared" si="0"/>
        <v>38</v>
      </c>
      <c r="J71" s="21">
        <f t="shared" si="1"/>
        <v>2</v>
      </c>
      <c r="K71" s="21">
        <f t="shared" si="2"/>
        <v>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75" customHeight="1" x14ac:dyDescent="0.15">
      <c r="A72" s="180">
        <v>62</v>
      </c>
      <c r="B72" s="175">
        <v>511523205064</v>
      </c>
      <c r="C72" s="22" t="s">
        <v>348</v>
      </c>
      <c r="D72" s="181"/>
      <c r="E72" s="78">
        <v>30</v>
      </c>
      <c r="F72" s="79">
        <v>50</v>
      </c>
      <c r="G72" s="79"/>
      <c r="H72" s="19"/>
      <c r="I72" s="21">
        <f t="shared" si="0"/>
        <v>80</v>
      </c>
      <c r="J72" s="21">
        <f t="shared" si="1"/>
        <v>1</v>
      </c>
      <c r="K72" s="21">
        <f t="shared" si="2"/>
        <v>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4.75" customHeight="1" x14ac:dyDescent="0.15">
      <c r="A73" s="180">
        <v>63</v>
      </c>
      <c r="B73" s="182"/>
      <c r="C73" s="183" t="s">
        <v>349</v>
      </c>
      <c r="D73" s="181"/>
      <c r="E73" s="78">
        <v>40</v>
      </c>
      <c r="F73" s="79">
        <v>48</v>
      </c>
      <c r="G73" s="79"/>
      <c r="H73" s="79"/>
      <c r="I73" s="21">
        <f t="shared" si="0"/>
        <v>88</v>
      </c>
      <c r="J73" s="21">
        <f t="shared" si="1"/>
        <v>2</v>
      </c>
      <c r="K73" s="21">
        <f t="shared" si="2"/>
        <v>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4.75" customHeight="1" x14ac:dyDescent="0.15">
      <c r="A74" s="180">
        <v>64</v>
      </c>
      <c r="B74" s="182"/>
      <c r="C74" s="183" t="s">
        <v>350</v>
      </c>
      <c r="D74" s="181"/>
      <c r="E74" s="78">
        <v>4</v>
      </c>
      <c r="F74" s="79">
        <v>0</v>
      </c>
      <c r="G74" s="79"/>
      <c r="H74" s="19"/>
      <c r="I74" s="21">
        <f t="shared" si="0"/>
        <v>4</v>
      </c>
      <c r="J74" s="21">
        <f t="shared" si="1"/>
        <v>2</v>
      </c>
      <c r="K74" s="21">
        <f t="shared" si="2"/>
        <v>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37.5" customHeight="1" x14ac:dyDescent="0.15">
      <c r="A75" s="248"/>
      <c r="B75" s="244"/>
      <c r="C75" s="244"/>
      <c r="D75" s="244"/>
      <c r="E75" s="244"/>
      <c r="F75" s="244"/>
      <c r="G75" s="244"/>
      <c r="H75" s="244"/>
      <c r="I75" s="244"/>
      <c r="J75" s="244"/>
      <c r="K75" s="35" t="s">
        <v>76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4.75" customHeight="1" x14ac:dyDescent="0.15">
      <c r="A76" s="243" t="s">
        <v>77</v>
      </c>
      <c r="B76" s="244"/>
      <c r="C76" s="245"/>
      <c r="D76" s="19">
        <v>64</v>
      </c>
      <c r="E76" s="19">
        <v>64</v>
      </c>
      <c r="F76" s="19">
        <v>64</v>
      </c>
      <c r="G76" s="19">
        <v>64</v>
      </c>
      <c r="H76" s="19">
        <v>64</v>
      </c>
      <c r="I76" s="36" t="s">
        <v>78</v>
      </c>
      <c r="J76" s="36">
        <f>COUNTIF(J11:J70,"1")</f>
        <v>21</v>
      </c>
      <c r="K76" s="23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4.75" customHeight="1" x14ac:dyDescent="0.15">
      <c r="A77" s="249" t="s">
        <v>79</v>
      </c>
      <c r="B77" s="244"/>
      <c r="C77" s="245"/>
      <c r="D77" s="19">
        <f t="shared" ref="D77:H77" si="3">COUNT(D11:D74,"!AB")</f>
        <v>0</v>
      </c>
      <c r="E77" s="19">
        <f t="shared" si="3"/>
        <v>62</v>
      </c>
      <c r="F77" s="19">
        <f t="shared" si="3"/>
        <v>63</v>
      </c>
      <c r="G77" s="19">
        <f t="shared" si="3"/>
        <v>0</v>
      </c>
      <c r="H77" s="19">
        <f t="shared" si="3"/>
        <v>0</v>
      </c>
      <c r="I77" s="36" t="s">
        <v>80</v>
      </c>
      <c r="J77" s="36">
        <f>COUNTIF(J12:J70,"2")</f>
        <v>8</v>
      </c>
      <c r="K77" s="23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4.75" customHeight="1" x14ac:dyDescent="0.15">
      <c r="A78" s="249" t="s">
        <v>81</v>
      </c>
      <c r="B78" s="244"/>
      <c r="C78" s="245"/>
      <c r="D78" s="19">
        <f>COUNTIF(D11:D70,"AB")</f>
        <v>0</v>
      </c>
      <c r="E78" s="19">
        <f>COUNTIF(E11:E74,"AB")</f>
        <v>2</v>
      </c>
      <c r="F78" s="19">
        <f t="shared" ref="F78:H78" si="4">COUNTIF(F11:F70,"AB")</f>
        <v>1</v>
      </c>
      <c r="G78" s="19">
        <f t="shared" si="4"/>
        <v>0</v>
      </c>
      <c r="H78" s="19">
        <f t="shared" si="4"/>
        <v>0</v>
      </c>
      <c r="I78" s="36" t="s">
        <v>82</v>
      </c>
      <c r="J78" s="36">
        <f>COUNTIF(J13:J70,"3")</f>
        <v>0</v>
      </c>
      <c r="K78" s="23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4.75" customHeight="1" x14ac:dyDescent="0.15">
      <c r="A79" s="249" t="s">
        <v>83</v>
      </c>
      <c r="B79" s="244"/>
      <c r="C79" s="245"/>
      <c r="D79" s="19">
        <f t="shared" ref="D79:H79" si="5">COUNTIF(D11:D70,"OD")</f>
        <v>0</v>
      </c>
      <c r="E79" s="19">
        <f t="shared" si="5"/>
        <v>0</v>
      </c>
      <c r="F79" s="19">
        <f t="shared" si="5"/>
        <v>0</v>
      </c>
      <c r="G79" s="19">
        <f t="shared" si="5"/>
        <v>0</v>
      </c>
      <c r="H79" s="19">
        <f t="shared" si="5"/>
        <v>0</v>
      </c>
      <c r="I79" s="12" t="s">
        <v>84</v>
      </c>
      <c r="J79" s="36">
        <f>COUNTIF(J14:J70,"4")</f>
        <v>0</v>
      </c>
      <c r="K79" s="23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4.75" customHeight="1" x14ac:dyDescent="0.15">
      <c r="A80" s="249" t="s">
        <v>85</v>
      </c>
      <c r="B80" s="244"/>
      <c r="C80" s="245"/>
      <c r="D80" s="19">
        <f t="shared" ref="D80:H80" si="6">COUNTIF(D11:D70,"&gt;=50")</f>
        <v>0</v>
      </c>
      <c r="E80" s="19">
        <f t="shared" si="6"/>
        <v>35</v>
      </c>
      <c r="F80" s="19">
        <f t="shared" si="6"/>
        <v>45</v>
      </c>
      <c r="G80" s="19">
        <f t="shared" si="6"/>
        <v>0</v>
      </c>
      <c r="H80" s="19">
        <f t="shared" si="6"/>
        <v>0</v>
      </c>
      <c r="I80" s="36" t="s">
        <v>86</v>
      </c>
      <c r="J80" s="36">
        <f>COUNTIF(J15:J70,"5")</f>
        <v>0</v>
      </c>
      <c r="K80" s="23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4.75" customHeight="1" x14ac:dyDescent="0.15">
      <c r="A81" s="249" t="s">
        <v>87</v>
      </c>
      <c r="B81" s="244"/>
      <c r="C81" s="245"/>
      <c r="D81" s="19">
        <f t="shared" ref="D81:H81" si="7">COUNTIF(D11:D70,"&lt;=49")</f>
        <v>0</v>
      </c>
      <c r="E81" s="19">
        <f t="shared" si="7"/>
        <v>23</v>
      </c>
      <c r="F81" s="19">
        <f t="shared" si="7"/>
        <v>14</v>
      </c>
      <c r="G81" s="19">
        <f t="shared" si="7"/>
        <v>0</v>
      </c>
      <c r="H81" s="19">
        <f t="shared" si="7"/>
        <v>0</v>
      </c>
      <c r="I81" s="37" t="s">
        <v>88</v>
      </c>
      <c r="J81" s="36">
        <f>COUNTIF(J16:J70,"6")</f>
        <v>0</v>
      </c>
      <c r="K81" s="23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4.75" customHeight="1" x14ac:dyDescent="0.15">
      <c r="A82" s="249" t="s">
        <v>89</v>
      </c>
      <c r="B82" s="244"/>
      <c r="C82" s="244"/>
      <c r="D82" s="38" t="e">
        <f t="shared" ref="D82:H82" si="8">D80/D77</f>
        <v>#DIV/0!</v>
      </c>
      <c r="E82" s="38">
        <f t="shared" si="8"/>
        <v>0.56451612903225812</v>
      </c>
      <c r="F82" s="38">
        <f t="shared" si="8"/>
        <v>0.7142857142857143</v>
      </c>
      <c r="G82" s="38" t="e">
        <f t="shared" si="8"/>
        <v>#DIV/0!</v>
      </c>
      <c r="H82" s="38" t="e">
        <f t="shared" si="8"/>
        <v>#DIV/0!</v>
      </c>
      <c r="I82" s="39"/>
      <c r="J82" s="40"/>
      <c r="K82" s="23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56.25" customHeight="1" x14ac:dyDescent="0.15">
      <c r="B83" s="42" t="s">
        <v>91</v>
      </c>
      <c r="C83" s="43" t="s">
        <v>92</v>
      </c>
      <c r="D83" s="44" t="s">
        <v>93</v>
      </c>
      <c r="E83" s="45"/>
      <c r="F83" s="46" t="s">
        <v>94</v>
      </c>
      <c r="G83" s="45"/>
      <c r="H83" s="47" t="s">
        <v>95</v>
      </c>
      <c r="I83" s="48"/>
      <c r="J83" s="49" t="s">
        <v>96</v>
      </c>
      <c r="K83" s="5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56.25" customHeight="1" x14ac:dyDescent="0.2">
      <c r="A84" s="51">
        <v>1</v>
      </c>
      <c r="B84" s="52" t="s">
        <v>10</v>
      </c>
      <c r="C84" s="52" t="s">
        <v>351</v>
      </c>
      <c r="D84" s="54"/>
      <c r="E84" s="55"/>
      <c r="F84" s="56"/>
      <c r="G84" s="55"/>
      <c r="H84" s="56"/>
      <c r="I84" s="55"/>
      <c r="J84" s="57" t="e">
        <f t="shared" ref="J84:J88" si="9">H84/D84*100</f>
        <v>#DIV/0!</v>
      </c>
      <c r="K84" s="5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39.75" customHeight="1" x14ac:dyDescent="0.2">
      <c r="A85" s="51">
        <v>2</v>
      </c>
      <c r="B85" s="52" t="s">
        <v>11</v>
      </c>
      <c r="C85" s="52" t="s">
        <v>98</v>
      </c>
      <c r="D85" s="184"/>
      <c r="E85" s="55"/>
      <c r="F85" s="56"/>
      <c r="G85" s="55"/>
      <c r="H85" s="56"/>
      <c r="I85" s="55"/>
      <c r="J85" s="57" t="e">
        <f t="shared" si="9"/>
        <v>#DIV/0!</v>
      </c>
      <c r="K85" s="5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45" customHeight="1" x14ac:dyDescent="0.2">
      <c r="A86" s="51">
        <v>3</v>
      </c>
      <c r="B86" s="52" t="s">
        <v>352</v>
      </c>
      <c r="C86" s="52" t="s">
        <v>99</v>
      </c>
      <c r="D86" s="54"/>
      <c r="E86" s="55"/>
      <c r="F86" s="56"/>
      <c r="G86" s="55"/>
      <c r="H86" s="56"/>
      <c r="I86" s="55"/>
      <c r="J86" s="57" t="e">
        <f t="shared" si="9"/>
        <v>#DIV/0!</v>
      </c>
      <c r="K86" s="5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60.75" customHeight="1" x14ac:dyDescent="0.2">
      <c r="A87" s="51">
        <v>4</v>
      </c>
      <c r="B87" s="60" t="s">
        <v>13</v>
      </c>
      <c r="C87" s="52" t="s">
        <v>100</v>
      </c>
      <c r="D87" s="54"/>
      <c r="E87" s="55"/>
      <c r="F87" s="56"/>
      <c r="G87" s="55"/>
      <c r="H87" s="56"/>
      <c r="I87" s="55"/>
      <c r="J87" s="57" t="e">
        <f t="shared" si="9"/>
        <v>#DIV/0!</v>
      </c>
      <c r="K87" s="5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45" customHeight="1" x14ac:dyDescent="0.2">
      <c r="A88" s="51">
        <v>5</v>
      </c>
      <c r="B88" s="52" t="s">
        <v>14</v>
      </c>
      <c r="C88" s="52" t="s">
        <v>353</v>
      </c>
      <c r="D88" s="54"/>
      <c r="E88" s="55"/>
      <c r="F88" s="56"/>
      <c r="G88" s="55"/>
      <c r="H88" s="56"/>
      <c r="I88" s="55"/>
      <c r="J88" s="59" t="e">
        <f t="shared" si="9"/>
        <v>#DIV/0!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15">
      <c r="A89" s="2"/>
      <c r="B89" s="61"/>
      <c r="C89" s="62"/>
      <c r="D89" s="61"/>
      <c r="E89" s="61"/>
      <c r="F89" s="61"/>
      <c r="G89" s="61"/>
      <c r="H89" s="61"/>
      <c r="I89" s="61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15">
      <c r="A90" s="2"/>
      <c r="B90" s="61"/>
      <c r="C90" s="62"/>
      <c r="D90" s="61"/>
      <c r="E90" s="61"/>
      <c r="F90" s="61"/>
      <c r="G90" s="61"/>
      <c r="H90" s="61"/>
      <c r="I90" s="6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15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15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15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15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1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15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15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15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15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15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1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15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15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15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1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15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15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15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15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15">
      <c r="A110" s="2"/>
      <c r="B110" s="241" t="s">
        <v>102</v>
      </c>
      <c r="C110" s="242"/>
      <c r="D110" s="2"/>
      <c r="E110" s="63" t="s">
        <v>103</v>
      </c>
      <c r="F110" s="63"/>
      <c r="G110" s="63"/>
      <c r="H110" s="63" t="s">
        <v>104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15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15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15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15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15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15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15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15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15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15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15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15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15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1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15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15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15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15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15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15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1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15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15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1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15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15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15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15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15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15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15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15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15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1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15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15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15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15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15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15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15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15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15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1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15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15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15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15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15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15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15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15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15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1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15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15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15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15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15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15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15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15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15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1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15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15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15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15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15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15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15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15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15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1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15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15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15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15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15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15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15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15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15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1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15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15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15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15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15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15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15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15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15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1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15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15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15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15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15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15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15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15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15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15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15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15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15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15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15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15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15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15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1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15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15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15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15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15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15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15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15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15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1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15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15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15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15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15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15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15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15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15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1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15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15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15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15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15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15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15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15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15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1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15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15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15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15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15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15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15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15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15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1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15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15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15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15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15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15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15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15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15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1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15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15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15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15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15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15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15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15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15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1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15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15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15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15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15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15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15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15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15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1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15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15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15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15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15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15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15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15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15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1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15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15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15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15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15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15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15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15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15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15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15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15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15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15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15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15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15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15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1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15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15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15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15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15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15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15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15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15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1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15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15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15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15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15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15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15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15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15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1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15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15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15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15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15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15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15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15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15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1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15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15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15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15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15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15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15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15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15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1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15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15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15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15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15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15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15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15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15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1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15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15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15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15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15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15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15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15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15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1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15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15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15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15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15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15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15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15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15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1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15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15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15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15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15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15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15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15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15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1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15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15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15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15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15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15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15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15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15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15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15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15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15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15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15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15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15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15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1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15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15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15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15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15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15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15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15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15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1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15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15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15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15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15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15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15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15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15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1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15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15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15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15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15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15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15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15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15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1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15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15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15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15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15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15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15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15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15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1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15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15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15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15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15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15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15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15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15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1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15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15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15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15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15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15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15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15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15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1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15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15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15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15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15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15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15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15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15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1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15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15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15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15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1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1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1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1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1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1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1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1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15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15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15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15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15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15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15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15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15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15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15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15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15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15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15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15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1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15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15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15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15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15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15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15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15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15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1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15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15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15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15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15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15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15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15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15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1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15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15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15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15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15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15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15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15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15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1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15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15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15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15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15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15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15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15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15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1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15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15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15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15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15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15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15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15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15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1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15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15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15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15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15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15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15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15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15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1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15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15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15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15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15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15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15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15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15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1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15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15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15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15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15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15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15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15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15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1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15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15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15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15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15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15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15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15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15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15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15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15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15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15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15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15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15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15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1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15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15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15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15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15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15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15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15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15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1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15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15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15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15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15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15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15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15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15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1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15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15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15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15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15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15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15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15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15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1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15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15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15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15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15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15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15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15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15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1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15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15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15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15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15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15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15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15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15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1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15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15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15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15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15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15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15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15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15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1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15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15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15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15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15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15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15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15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15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1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15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15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15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15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15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15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15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15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15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1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15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15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15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15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15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15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15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15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15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15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15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15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15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15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15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15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15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15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1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15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15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15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15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15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15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15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15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15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1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15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15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15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15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15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15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15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15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15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1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15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15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15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15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15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15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15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15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15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1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15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15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15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15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15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15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15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15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15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1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15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15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15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15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15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15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15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15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15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1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15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15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15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15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15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15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15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15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15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1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15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15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15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15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15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15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15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15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15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1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15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15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15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15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15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15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15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15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15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1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15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15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15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15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15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15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15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15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15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15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15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15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15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15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15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15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15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15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1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15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15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15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15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15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15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15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15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15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1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15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15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15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15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15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15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15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15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15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1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15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15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15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15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15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15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15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15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15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1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15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15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15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15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15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15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15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15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15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1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15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15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15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15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15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15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15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15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15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1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15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15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15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15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15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15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15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15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15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1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15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15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15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15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15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15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15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15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15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1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15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15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15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15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15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15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15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15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15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1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15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15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15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15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15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15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15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15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15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15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15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15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15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15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15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15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15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15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1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15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15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15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15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15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15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15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15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15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1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15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15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15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15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15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15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15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15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15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1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15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15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15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15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15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15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15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15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15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1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15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15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15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15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15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15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15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15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15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1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15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15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15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15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15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15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15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15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15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1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15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15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15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15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15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15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15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" customHeight="1" x14ac:dyDescent="0.15">
      <c r="B983" s="2"/>
      <c r="C983" s="3"/>
      <c r="D983" s="2"/>
      <c r="E983" s="2"/>
      <c r="F983" s="2"/>
      <c r="G983" s="2"/>
      <c r="H983" s="2"/>
      <c r="I983" s="2"/>
      <c r="J983" s="2"/>
    </row>
  </sheetData>
  <mergeCells count="17">
    <mergeCell ref="A7:I7"/>
    <mergeCell ref="J9:J10"/>
    <mergeCell ref="K9:K10"/>
    <mergeCell ref="K76:K82"/>
    <mergeCell ref="I9:I10"/>
    <mergeCell ref="B110:C110"/>
    <mergeCell ref="A76:C76"/>
    <mergeCell ref="A9:A10"/>
    <mergeCell ref="B9:B10"/>
    <mergeCell ref="C9:C10"/>
    <mergeCell ref="A75:J75"/>
    <mergeCell ref="A82:C82"/>
    <mergeCell ref="A77:C77"/>
    <mergeCell ref="A80:C80"/>
    <mergeCell ref="A79:C79"/>
    <mergeCell ref="A78:C78"/>
    <mergeCell ref="A81:C81"/>
  </mergeCells>
  <conditionalFormatting sqref="I11:I74 I76:I78 I80:I82">
    <cfRule type="cellIs" dxfId="5" priority="1" stopIfTrue="1" operator="lessThan">
      <formula>50</formula>
    </cfRule>
    <cfRule type="cellIs" dxfId="4" priority="2" stopIfTrue="1" operator="equal">
      <formula>"AB"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982"/>
  <sheetViews>
    <sheetView workbookViewId="0"/>
  </sheetViews>
  <sheetFormatPr defaultColWidth="12" defaultRowHeight="15" customHeight="1" x14ac:dyDescent="0.15"/>
  <cols>
    <col min="1" max="1" width="9.3046875" customWidth="1"/>
    <col min="2" max="2" width="17.93359375" customWidth="1"/>
    <col min="3" max="3" width="20.49609375" customWidth="1"/>
    <col min="4" max="5" width="14.5625" customWidth="1"/>
    <col min="6" max="6" width="14.0234375" customWidth="1"/>
    <col min="7" max="8" width="13.88671875" customWidth="1"/>
    <col min="9" max="9" width="16.046875" customWidth="1"/>
    <col min="10" max="10" width="16.1796875" customWidth="1"/>
  </cols>
  <sheetData>
    <row r="1" spans="1:24" ht="15.75" customHeight="1" x14ac:dyDescent="0.15">
      <c r="A1" s="2"/>
      <c r="B1" s="2"/>
      <c r="C1" s="2"/>
      <c r="D1" s="18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2"/>
      <c r="B2" s="2"/>
      <c r="C2" s="2"/>
      <c r="D2" s="18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2"/>
      <c r="B3" s="2"/>
      <c r="C3" s="2"/>
      <c r="D3" s="18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2"/>
      <c r="B4" s="2"/>
      <c r="C4" s="2"/>
      <c r="D4" s="18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customHeight="1" x14ac:dyDescent="0.15">
      <c r="A5" s="2"/>
      <c r="B5" s="2"/>
      <c r="C5" s="2"/>
      <c r="D5" s="18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2"/>
      <c r="B6" s="2"/>
      <c r="C6" s="2"/>
      <c r="D6" s="18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2">
      <c r="A7" s="250" t="s">
        <v>283</v>
      </c>
      <c r="B7" s="242"/>
      <c r="C7" s="242"/>
      <c r="D7" s="242"/>
      <c r="E7" s="242"/>
      <c r="F7" s="242"/>
      <c r="G7" s="242"/>
      <c r="H7" s="242"/>
      <c r="I7" s="242"/>
      <c r="J7" s="242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customHeight="1" x14ac:dyDescent="0.2">
      <c r="A8" s="5" t="s">
        <v>354</v>
      </c>
      <c r="B8" s="5"/>
      <c r="C8" s="5"/>
      <c r="D8" s="186"/>
      <c r="E8" s="8" t="s">
        <v>2</v>
      </c>
      <c r="F8" s="9"/>
      <c r="G8" s="9"/>
      <c r="H8" s="9" t="s">
        <v>355</v>
      </c>
      <c r="I8" s="187" t="s">
        <v>356</v>
      </c>
      <c r="J8" s="11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.75" customHeight="1" x14ac:dyDescent="0.15">
      <c r="A9" s="246" t="s">
        <v>4</v>
      </c>
      <c r="B9" s="246" t="s">
        <v>5</v>
      </c>
      <c r="C9" s="247" t="s">
        <v>6</v>
      </c>
      <c r="D9" s="188"/>
      <c r="E9" s="12"/>
      <c r="F9" s="12"/>
      <c r="G9" s="12"/>
      <c r="H9" s="12"/>
      <c r="I9" s="64"/>
      <c r="J9" s="240" t="s">
        <v>7</v>
      </c>
      <c r="K9" s="235" t="s">
        <v>8</v>
      </c>
      <c r="L9" s="237" t="s">
        <v>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77.25" customHeight="1" x14ac:dyDescent="0.2">
      <c r="A10" s="239"/>
      <c r="B10" s="239"/>
      <c r="C10" s="239"/>
      <c r="D10" s="25" t="s">
        <v>109</v>
      </c>
      <c r="E10" s="13" t="s">
        <v>357</v>
      </c>
      <c r="F10" s="13" t="s">
        <v>358</v>
      </c>
      <c r="G10" s="189" t="s">
        <v>359</v>
      </c>
      <c r="H10" s="13" t="s">
        <v>360</v>
      </c>
      <c r="I10" s="13" t="s">
        <v>114</v>
      </c>
      <c r="J10" s="236"/>
      <c r="K10" s="236"/>
      <c r="L10" s="23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.75" customHeight="1" x14ac:dyDescent="0.15">
      <c r="A11" s="15">
        <v>1</v>
      </c>
      <c r="B11" s="65">
        <v>511522205001</v>
      </c>
      <c r="C11" s="65" t="s">
        <v>361</v>
      </c>
      <c r="D11" s="28">
        <v>36</v>
      </c>
      <c r="E11" s="18">
        <v>46</v>
      </c>
      <c r="F11" s="18" t="s">
        <v>52</v>
      </c>
      <c r="G11" s="18" t="s">
        <v>52</v>
      </c>
      <c r="H11" s="18" t="s">
        <v>52</v>
      </c>
      <c r="I11" s="18" t="s">
        <v>52</v>
      </c>
      <c r="J11" s="21">
        <f t="shared" ref="J11:J66" si="0">SUM(D11:I11)</f>
        <v>82</v>
      </c>
      <c r="K11" s="21">
        <f t="shared" ref="K11:K66" si="1">COUNTIF(D11:I11,"&lt;=49")</f>
        <v>2</v>
      </c>
      <c r="L11" s="21">
        <f>COUNTIF(C11:J11,"AB")</f>
        <v>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4.75" customHeight="1" x14ac:dyDescent="0.15">
      <c r="A12" s="15">
        <v>2</v>
      </c>
      <c r="B12" s="65">
        <v>511522205002</v>
      </c>
      <c r="C12" s="65" t="s">
        <v>362</v>
      </c>
      <c r="D12" s="28">
        <v>52</v>
      </c>
      <c r="E12" s="18">
        <v>26</v>
      </c>
      <c r="F12" s="18">
        <v>74</v>
      </c>
      <c r="G12" s="18">
        <v>60</v>
      </c>
      <c r="H12" s="18">
        <v>74</v>
      </c>
      <c r="I12" s="18">
        <v>54</v>
      </c>
      <c r="J12" s="21">
        <f t="shared" si="0"/>
        <v>340</v>
      </c>
      <c r="K12" s="21">
        <f t="shared" si="1"/>
        <v>1</v>
      </c>
      <c r="L12" s="21">
        <f t="shared" ref="L12:L66" si="2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4.75" customHeight="1" x14ac:dyDescent="0.15">
      <c r="A13" s="15">
        <v>3</v>
      </c>
      <c r="B13" s="65">
        <v>511522205003</v>
      </c>
      <c r="C13" s="65" t="s">
        <v>363</v>
      </c>
      <c r="D13" s="28">
        <v>52</v>
      </c>
      <c r="E13" s="18">
        <v>62</v>
      </c>
      <c r="F13" s="18">
        <v>72</v>
      </c>
      <c r="G13" s="18">
        <v>82</v>
      </c>
      <c r="H13" s="18">
        <v>80</v>
      </c>
      <c r="I13" s="18">
        <v>52</v>
      </c>
      <c r="J13" s="21">
        <f t="shared" si="0"/>
        <v>400</v>
      </c>
      <c r="K13" s="21">
        <f t="shared" si="1"/>
        <v>0</v>
      </c>
      <c r="L13" s="21">
        <f t="shared" si="2"/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4.75" customHeight="1" x14ac:dyDescent="0.15">
      <c r="A14" s="15">
        <v>4</v>
      </c>
      <c r="B14" s="65">
        <v>511522205004</v>
      </c>
      <c r="C14" s="65" t="s">
        <v>364</v>
      </c>
      <c r="D14" s="28" t="s">
        <v>52</v>
      </c>
      <c r="E14" s="18" t="s">
        <v>52</v>
      </c>
      <c r="F14" s="18" t="s">
        <v>52</v>
      </c>
      <c r="G14" s="18" t="s">
        <v>52</v>
      </c>
      <c r="H14" s="18" t="s">
        <v>52</v>
      </c>
      <c r="I14" s="18" t="s">
        <v>52</v>
      </c>
      <c r="J14" s="21">
        <f t="shared" si="0"/>
        <v>0</v>
      </c>
      <c r="K14" s="21">
        <f t="shared" si="1"/>
        <v>0</v>
      </c>
      <c r="L14" s="21">
        <f t="shared" si="2"/>
        <v>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4.75" customHeight="1" x14ac:dyDescent="0.15">
      <c r="A15" s="15">
        <v>5</v>
      </c>
      <c r="B15" s="65">
        <v>511522205006</v>
      </c>
      <c r="C15" s="65" t="s">
        <v>365</v>
      </c>
      <c r="D15" s="28">
        <v>24</v>
      </c>
      <c r="E15" s="18">
        <v>0</v>
      </c>
      <c r="F15" s="18">
        <v>26</v>
      </c>
      <c r="G15" s="18">
        <v>26</v>
      </c>
      <c r="H15" s="18">
        <v>34</v>
      </c>
      <c r="I15" s="190">
        <v>4</v>
      </c>
      <c r="J15" s="21">
        <f t="shared" si="0"/>
        <v>114</v>
      </c>
      <c r="K15" s="21">
        <f t="shared" si="1"/>
        <v>6</v>
      </c>
      <c r="L15" s="21">
        <f t="shared" si="2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3.75" customHeight="1" x14ac:dyDescent="0.15">
      <c r="A16" s="15">
        <v>6</v>
      </c>
      <c r="B16" s="65">
        <v>511522205007</v>
      </c>
      <c r="C16" s="65" t="s">
        <v>366</v>
      </c>
      <c r="D16" s="28">
        <v>6</v>
      </c>
      <c r="E16" s="18">
        <v>28</v>
      </c>
      <c r="F16" s="18">
        <v>28</v>
      </c>
      <c r="G16" s="18">
        <v>22</v>
      </c>
      <c r="H16" s="18">
        <v>32</v>
      </c>
      <c r="I16" s="18">
        <v>20</v>
      </c>
      <c r="J16" s="21">
        <f t="shared" si="0"/>
        <v>136</v>
      </c>
      <c r="K16" s="21">
        <f t="shared" si="1"/>
        <v>6</v>
      </c>
      <c r="L16" s="21">
        <f t="shared" si="2"/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4.75" customHeight="1" x14ac:dyDescent="0.15">
      <c r="A17" s="15">
        <v>7</v>
      </c>
      <c r="B17" s="65">
        <v>511522205008</v>
      </c>
      <c r="C17" s="65" t="s">
        <v>367</v>
      </c>
      <c r="D17" s="28">
        <v>28</v>
      </c>
      <c r="E17" s="18">
        <v>62</v>
      </c>
      <c r="F17" s="18">
        <v>60</v>
      </c>
      <c r="G17" s="18">
        <v>61</v>
      </c>
      <c r="H17" s="18">
        <v>84</v>
      </c>
      <c r="I17" s="190">
        <v>52</v>
      </c>
      <c r="J17" s="21">
        <f t="shared" si="0"/>
        <v>347</v>
      </c>
      <c r="K17" s="21">
        <f t="shared" si="1"/>
        <v>1</v>
      </c>
      <c r="L17" s="21">
        <f t="shared" si="2"/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4.75" customHeight="1" x14ac:dyDescent="0.15">
      <c r="A18" s="15">
        <v>8</v>
      </c>
      <c r="B18" s="65">
        <v>511522205009</v>
      </c>
      <c r="C18" s="65" t="s">
        <v>368</v>
      </c>
      <c r="D18" s="28">
        <v>48</v>
      </c>
      <c r="E18" s="18">
        <v>84</v>
      </c>
      <c r="F18" s="18">
        <v>58</v>
      </c>
      <c r="G18" s="18">
        <v>66</v>
      </c>
      <c r="H18" s="18">
        <v>76</v>
      </c>
      <c r="I18" s="18">
        <v>52</v>
      </c>
      <c r="J18" s="21">
        <f t="shared" si="0"/>
        <v>384</v>
      </c>
      <c r="K18" s="21">
        <f t="shared" si="1"/>
        <v>1</v>
      </c>
      <c r="L18" s="21">
        <f t="shared" si="2"/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4.75" customHeight="1" x14ac:dyDescent="0.15">
      <c r="A19" s="15">
        <v>9</v>
      </c>
      <c r="B19" s="65">
        <v>511522205010</v>
      </c>
      <c r="C19" s="65" t="s">
        <v>369</v>
      </c>
      <c r="D19" s="28">
        <v>46</v>
      </c>
      <c r="E19" s="18">
        <v>62</v>
      </c>
      <c r="F19" s="18">
        <v>86</v>
      </c>
      <c r="G19" s="18">
        <v>76</v>
      </c>
      <c r="H19" s="18">
        <v>76</v>
      </c>
      <c r="I19" s="18">
        <v>50</v>
      </c>
      <c r="J19" s="21">
        <f t="shared" si="0"/>
        <v>396</v>
      </c>
      <c r="K19" s="21">
        <f t="shared" si="1"/>
        <v>1</v>
      </c>
      <c r="L19" s="21">
        <f t="shared" si="2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4.75" customHeight="1" x14ac:dyDescent="0.15">
      <c r="A20" s="15">
        <v>10</v>
      </c>
      <c r="B20" s="65">
        <v>511522205011</v>
      </c>
      <c r="C20" s="65" t="s">
        <v>370</v>
      </c>
      <c r="D20" s="28">
        <v>46</v>
      </c>
      <c r="E20" s="18">
        <v>66</v>
      </c>
      <c r="F20" s="18">
        <v>84</v>
      </c>
      <c r="G20" s="18">
        <v>76</v>
      </c>
      <c r="H20" s="18">
        <v>76</v>
      </c>
      <c r="I20" s="190">
        <v>50</v>
      </c>
      <c r="J20" s="21">
        <f t="shared" si="0"/>
        <v>398</v>
      </c>
      <c r="K20" s="21">
        <f t="shared" si="1"/>
        <v>1</v>
      </c>
      <c r="L20" s="21">
        <f t="shared" si="2"/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4.75" customHeight="1" x14ac:dyDescent="0.15">
      <c r="A21" s="15">
        <v>11</v>
      </c>
      <c r="B21" s="65">
        <v>511522205012</v>
      </c>
      <c r="C21" s="65" t="s">
        <v>371</v>
      </c>
      <c r="D21" s="28">
        <v>50</v>
      </c>
      <c r="E21" s="18">
        <v>60</v>
      </c>
      <c r="F21" s="18">
        <v>76</v>
      </c>
      <c r="G21" s="18">
        <v>80</v>
      </c>
      <c r="H21" s="18">
        <v>84</v>
      </c>
      <c r="I21" s="18">
        <v>50</v>
      </c>
      <c r="J21" s="21">
        <f t="shared" si="0"/>
        <v>400</v>
      </c>
      <c r="K21" s="21">
        <f t="shared" si="1"/>
        <v>0</v>
      </c>
      <c r="L21" s="21">
        <f t="shared" si="2"/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4.75" customHeight="1" x14ac:dyDescent="0.15">
      <c r="A22" s="15">
        <v>12</v>
      </c>
      <c r="B22" s="65">
        <v>511522205013</v>
      </c>
      <c r="C22" s="65" t="s">
        <v>372</v>
      </c>
      <c r="D22" s="28" t="s">
        <v>52</v>
      </c>
      <c r="E22" s="18" t="s">
        <v>52</v>
      </c>
      <c r="F22" s="18" t="s">
        <v>52</v>
      </c>
      <c r="G22" s="18" t="s">
        <v>52</v>
      </c>
      <c r="H22" s="18" t="s">
        <v>52</v>
      </c>
      <c r="I22" s="18" t="s">
        <v>52</v>
      </c>
      <c r="J22" s="21">
        <f t="shared" si="0"/>
        <v>0</v>
      </c>
      <c r="K22" s="21">
        <f t="shared" si="1"/>
        <v>0</v>
      </c>
      <c r="L22" s="21">
        <f t="shared" si="2"/>
        <v>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4.75" customHeight="1" x14ac:dyDescent="0.15">
      <c r="A23" s="15">
        <v>13</v>
      </c>
      <c r="B23" s="65">
        <v>511522205014</v>
      </c>
      <c r="C23" s="65" t="s">
        <v>373</v>
      </c>
      <c r="D23" s="28">
        <v>50</v>
      </c>
      <c r="E23" s="18">
        <v>62</v>
      </c>
      <c r="F23" s="18">
        <v>92</v>
      </c>
      <c r="G23" s="18">
        <v>80</v>
      </c>
      <c r="H23" s="18">
        <v>74</v>
      </c>
      <c r="I23" s="190">
        <v>56</v>
      </c>
      <c r="J23" s="21">
        <f t="shared" si="0"/>
        <v>414</v>
      </c>
      <c r="K23" s="21">
        <f t="shared" si="1"/>
        <v>0</v>
      </c>
      <c r="L23" s="21">
        <f t="shared" si="2"/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4.75" customHeight="1" x14ac:dyDescent="0.15">
      <c r="A24" s="15">
        <v>14</v>
      </c>
      <c r="B24" s="65">
        <v>511522205015</v>
      </c>
      <c r="C24" s="65" t="s">
        <v>374</v>
      </c>
      <c r="D24" s="28">
        <v>32</v>
      </c>
      <c r="E24" s="18">
        <v>62</v>
      </c>
      <c r="F24" s="18">
        <v>56</v>
      </c>
      <c r="G24" s="18">
        <v>60</v>
      </c>
      <c r="H24" s="18">
        <v>60</v>
      </c>
      <c r="I24" s="18">
        <v>52</v>
      </c>
      <c r="J24" s="21">
        <f t="shared" si="0"/>
        <v>322</v>
      </c>
      <c r="K24" s="21">
        <f t="shared" si="1"/>
        <v>1</v>
      </c>
      <c r="L24" s="21">
        <f t="shared" si="2"/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4.75" customHeight="1" x14ac:dyDescent="0.15">
      <c r="A25" s="15">
        <v>15</v>
      </c>
      <c r="B25" s="65">
        <v>511522205016</v>
      </c>
      <c r="C25" s="65" t="s">
        <v>375</v>
      </c>
      <c r="D25" s="28">
        <v>24</v>
      </c>
      <c r="E25" s="18">
        <v>48</v>
      </c>
      <c r="F25" s="18">
        <v>64</v>
      </c>
      <c r="G25" s="18">
        <v>54</v>
      </c>
      <c r="H25" s="18">
        <v>74</v>
      </c>
      <c r="I25" s="18">
        <v>50</v>
      </c>
      <c r="J25" s="21">
        <f t="shared" si="0"/>
        <v>314</v>
      </c>
      <c r="K25" s="21">
        <f t="shared" si="1"/>
        <v>2</v>
      </c>
      <c r="L25" s="21">
        <f t="shared" si="2"/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4.75" customHeight="1" x14ac:dyDescent="0.15">
      <c r="A26" s="15">
        <v>16</v>
      </c>
      <c r="B26" s="65">
        <v>511522205017</v>
      </c>
      <c r="C26" s="65" t="s">
        <v>376</v>
      </c>
      <c r="D26" s="28">
        <v>6</v>
      </c>
      <c r="E26" s="18">
        <v>0</v>
      </c>
      <c r="F26" s="18" t="s">
        <v>52</v>
      </c>
      <c r="G26" s="18">
        <v>8</v>
      </c>
      <c r="H26" s="18">
        <v>44</v>
      </c>
      <c r="I26" s="18" t="s">
        <v>52</v>
      </c>
      <c r="J26" s="21">
        <f t="shared" si="0"/>
        <v>58</v>
      </c>
      <c r="K26" s="21">
        <f t="shared" si="1"/>
        <v>4</v>
      </c>
      <c r="L26" s="21">
        <f t="shared" si="2"/>
        <v>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4.75" customHeight="1" x14ac:dyDescent="0.15">
      <c r="A27" s="15">
        <v>17</v>
      </c>
      <c r="B27" s="65">
        <v>511522205018</v>
      </c>
      <c r="C27" s="65" t="s">
        <v>377</v>
      </c>
      <c r="D27" s="28">
        <v>0</v>
      </c>
      <c r="E27" s="18">
        <v>26</v>
      </c>
      <c r="F27" s="18">
        <v>20</v>
      </c>
      <c r="G27" s="18">
        <v>20</v>
      </c>
      <c r="H27" s="18" t="s">
        <v>52</v>
      </c>
      <c r="I27" s="18" t="s">
        <v>52</v>
      </c>
      <c r="J27" s="21">
        <f t="shared" si="0"/>
        <v>66</v>
      </c>
      <c r="K27" s="21">
        <f t="shared" si="1"/>
        <v>4</v>
      </c>
      <c r="L27" s="21">
        <f t="shared" si="2"/>
        <v>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4.75" customHeight="1" x14ac:dyDescent="0.15">
      <c r="A28" s="15">
        <v>18</v>
      </c>
      <c r="B28" s="65">
        <v>511522205019</v>
      </c>
      <c r="C28" s="65" t="s">
        <v>378</v>
      </c>
      <c r="D28" s="28">
        <v>56</v>
      </c>
      <c r="E28" s="18">
        <v>70</v>
      </c>
      <c r="F28" s="18">
        <v>84</v>
      </c>
      <c r="G28" s="18">
        <v>74</v>
      </c>
      <c r="H28" s="18">
        <v>76</v>
      </c>
      <c r="I28" s="190">
        <v>68</v>
      </c>
      <c r="J28" s="21">
        <f t="shared" si="0"/>
        <v>428</v>
      </c>
      <c r="K28" s="21">
        <f t="shared" si="1"/>
        <v>0</v>
      </c>
      <c r="L28" s="21">
        <f t="shared" si="2"/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4.75" customHeight="1" x14ac:dyDescent="0.15">
      <c r="A29" s="15">
        <v>19</v>
      </c>
      <c r="B29" s="65">
        <v>511522205020</v>
      </c>
      <c r="C29" s="65" t="s">
        <v>379</v>
      </c>
      <c r="D29" s="28">
        <v>54</v>
      </c>
      <c r="E29" s="18">
        <v>76</v>
      </c>
      <c r="F29" s="18">
        <v>74</v>
      </c>
      <c r="G29" s="18">
        <v>76</v>
      </c>
      <c r="H29" s="18">
        <v>72</v>
      </c>
      <c r="I29" s="18">
        <v>50</v>
      </c>
      <c r="J29" s="21">
        <f t="shared" si="0"/>
        <v>402</v>
      </c>
      <c r="K29" s="21">
        <f t="shared" si="1"/>
        <v>0</v>
      </c>
      <c r="L29" s="21">
        <f t="shared" si="2"/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4.75" customHeight="1" x14ac:dyDescent="0.15">
      <c r="A30" s="15">
        <v>20</v>
      </c>
      <c r="B30" s="65">
        <v>511522205021</v>
      </c>
      <c r="C30" s="65" t="s">
        <v>380</v>
      </c>
      <c r="D30" s="28">
        <v>48</v>
      </c>
      <c r="E30" s="18">
        <v>0</v>
      </c>
      <c r="F30" s="18">
        <v>50</v>
      </c>
      <c r="G30" s="18">
        <v>26</v>
      </c>
      <c r="H30" s="18">
        <v>62</v>
      </c>
      <c r="I30" s="18">
        <v>24</v>
      </c>
      <c r="J30" s="21">
        <f t="shared" si="0"/>
        <v>210</v>
      </c>
      <c r="K30" s="21">
        <f t="shared" si="1"/>
        <v>4</v>
      </c>
      <c r="L30" s="21">
        <f t="shared" si="2"/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4.75" customHeight="1" x14ac:dyDescent="0.15">
      <c r="A31" s="15">
        <v>21</v>
      </c>
      <c r="B31" s="65">
        <v>511522205022</v>
      </c>
      <c r="C31" s="65" t="s">
        <v>381</v>
      </c>
      <c r="D31" s="28">
        <v>54</v>
      </c>
      <c r="E31" s="18">
        <v>58</v>
      </c>
      <c r="F31" s="18">
        <v>64</v>
      </c>
      <c r="G31" s="18">
        <v>66</v>
      </c>
      <c r="H31" s="18">
        <v>44</v>
      </c>
      <c r="I31" s="18">
        <v>56</v>
      </c>
      <c r="J31" s="21">
        <f t="shared" si="0"/>
        <v>342</v>
      </c>
      <c r="K31" s="21">
        <f t="shared" si="1"/>
        <v>1</v>
      </c>
      <c r="L31" s="21">
        <f t="shared" si="2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4.75" customHeight="1" x14ac:dyDescent="0.15">
      <c r="A32" s="15">
        <v>22</v>
      </c>
      <c r="B32" s="65">
        <v>511522205024</v>
      </c>
      <c r="C32" s="65" t="s">
        <v>382</v>
      </c>
      <c r="D32" s="28">
        <v>28</v>
      </c>
      <c r="E32" s="18">
        <v>52</v>
      </c>
      <c r="F32" s="18">
        <v>54</v>
      </c>
      <c r="G32" s="18">
        <v>66</v>
      </c>
      <c r="H32" s="18">
        <v>54</v>
      </c>
      <c r="I32" s="18">
        <v>38</v>
      </c>
      <c r="J32" s="21">
        <f t="shared" si="0"/>
        <v>292</v>
      </c>
      <c r="K32" s="21">
        <f t="shared" si="1"/>
        <v>2</v>
      </c>
      <c r="L32" s="21">
        <f t="shared" si="2"/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4.75" customHeight="1" x14ac:dyDescent="0.15">
      <c r="A33" s="15">
        <v>23</v>
      </c>
      <c r="B33" s="65">
        <v>511522205025</v>
      </c>
      <c r="C33" s="65" t="s">
        <v>383</v>
      </c>
      <c r="D33" s="28">
        <v>56</v>
      </c>
      <c r="E33" s="18">
        <v>72</v>
      </c>
      <c r="F33" s="18">
        <v>58</v>
      </c>
      <c r="G33" s="18">
        <v>88</v>
      </c>
      <c r="H33" s="18">
        <v>74</v>
      </c>
      <c r="I33" s="190">
        <v>56</v>
      </c>
      <c r="J33" s="21">
        <f t="shared" si="0"/>
        <v>404</v>
      </c>
      <c r="K33" s="21">
        <f t="shared" si="1"/>
        <v>0</v>
      </c>
      <c r="L33" s="21">
        <f t="shared" si="2"/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24.75" customHeight="1" x14ac:dyDescent="0.15">
      <c r="A34" s="15">
        <v>24</v>
      </c>
      <c r="B34" s="65">
        <v>511522205026</v>
      </c>
      <c r="C34" s="65" t="s">
        <v>384</v>
      </c>
      <c r="D34" s="28">
        <v>12</v>
      </c>
      <c r="E34" s="18">
        <v>40</v>
      </c>
      <c r="F34" s="18">
        <v>50</v>
      </c>
      <c r="G34" s="18">
        <v>60</v>
      </c>
      <c r="H34" s="18">
        <v>56</v>
      </c>
      <c r="I34" s="18">
        <v>28</v>
      </c>
      <c r="J34" s="21">
        <f t="shared" si="0"/>
        <v>246</v>
      </c>
      <c r="K34" s="21">
        <f t="shared" si="1"/>
        <v>3</v>
      </c>
      <c r="L34" s="21">
        <f t="shared" si="2"/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24.75" customHeight="1" x14ac:dyDescent="0.15">
      <c r="A35" s="15">
        <v>25</v>
      </c>
      <c r="B35" s="65">
        <v>511522205027</v>
      </c>
      <c r="C35" s="65" t="s">
        <v>385</v>
      </c>
      <c r="D35" s="28">
        <v>54</v>
      </c>
      <c r="E35" s="18">
        <v>72</v>
      </c>
      <c r="F35" s="18">
        <v>64</v>
      </c>
      <c r="G35" s="18">
        <v>84</v>
      </c>
      <c r="H35" s="18">
        <v>76</v>
      </c>
      <c r="I35" s="18">
        <v>50</v>
      </c>
      <c r="J35" s="21">
        <f t="shared" si="0"/>
        <v>400</v>
      </c>
      <c r="K35" s="21">
        <f t="shared" si="1"/>
        <v>0</v>
      </c>
      <c r="L35" s="21">
        <f t="shared" si="2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4.75" customHeight="1" x14ac:dyDescent="0.15">
      <c r="A36" s="15">
        <v>26</v>
      </c>
      <c r="B36" s="65">
        <v>511522205028</v>
      </c>
      <c r="C36" s="65" t="s">
        <v>386</v>
      </c>
      <c r="D36" s="28">
        <v>24</v>
      </c>
      <c r="E36" s="18">
        <v>66</v>
      </c>
      <c r="F36" s="18">
        <v>62</v>
      </c>
      <c r="G36" s="18">
        <v>60</v>
      </c>
      <c r="H36" s="18">
        <v>68</v>
      </c>
      <c r="I36" s="18">
        <v>56</v>
      </c>
      <c r="J36" s="21">
        <f t="shared" si="0"/>
        <v>336</v>
      </c>
      <c r="K36" s="21">
        <f t="shared" si="1"/>
        <v>1</v>
      </c>
      <c r="L36" s="21">
        <f t="shared" si="2"/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4.75" customHeight="1" x14ac:dyDescent="0.15">
      <c r="A37" s="15">
        <v>27</v>
      </c>
      <c r="B37" s="65">
        <v>511522205029</v>
      </c>
      <c r="C37" s="65" t="s">
        <v>387</v>
      </c>
      <c r="D37" s="28">
        <v>46</v>
      </c>
      <c r="E37" s="18">
        <v>50</v>
      </c>
      <c r="F37" s="18">
        <v>76</v>
      </c>
      <c r="G37" s="18">
        <v>62</v>
      </c>
      <c r="H37" s="18">
        <v>68</v>
      </c>
      <c r="I37" s="18">
        <v>50</v>
      </c>
      <c r="J37" s="21">
        <f t="shared" si="0"/>
        <v>352</v>
      </c>
      <c r="K37" s="21">
        <f t="shared" si="1"/>
        <v>1</v>
      </c>
      <c r="L37" s="21">
        <f t="shared" si="2"/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24.75" customHeight="1" x14ac:dyDescent="0.15">
      <c r="A38" s="15">
        <v>28</v>
      </c>
      <c r="B38" s="65">
        <v>511522205030</v>
      </c>
      <c r="C38" s="65" t="s">
        <v>388</v>
      </c>
      <c r="D38" s="28">
        <v>34</v>
      </c>
      <c r="E38" s="18">
        <v>50</v>
      </c>
      <c r="F38" s="18">
        <v>54</v>
      </c>
      <c r="G38" s="18">
        <v>60</v>
      </c>
      <c r="H38" s="18">
        <v>72</v>
      </c>
      <c r="I38" s="190">
        <v>52</v>
      </c>
      <c r="J38" s="21">
        <f t="shared" si="0"/>
        <v>322</v>
      </c>
      <c r="K38" s="21">
        <f t="shared" si="1"/>
        <v>1</v>
      </c>
      <c r="L38" s="21">
        <f t="shared" si="2"/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4.75" customHeight="1" x14ac:dyDescent="0.15">
      <c r="A39" s="15">
        <v>29</v>
      </c>
      <c r="B39" s="65">
        <v>511522205031</v>
      </c>
      <c r="C39" s="65" t="s">
        <v>389</v>
      </c>
      <c r="D39" s="28" t="s">
        <v>52</v>
      </c>
      <c r="E39" s="18" t="s">
        <v>52</v>
      </c>
      <c r="F39" s="18" t="s">
        <v>52</v>
      </c>
      <c r="G39" s="18" t="s">
        <v>52</v>
      </c>
      <c r="H39" s="18" t="s">
        <v>52</v>
      </c>
      <c r="I39" s="18" t="s">
        <v>52</v>
      </c>
      <c r="J39" s="21">
        <f t="shared" si="0"/>
        <v>0</v>
      </c>
      <c r="K39" s="21">
        <f t="shared" si="1"/>
        <v>0</v>
      </c>
      <c r="L39" s="21">
        <f t="shared" si="2"/>
        <v>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4.75" customHeight="1" x14ac:dyDescent="0.15">
      <c r="A40" s="15">
        <v>30</v>
      </c>
      <c r="B40" s="65">
        <v>511522205032</v>
      </c>
      <c r="C40" s="65" t="s">
        <v>390</v>
      </c>
      <c r="D40" s="28" t="s">
        <v>52</v>
      </c>
      <c r="E40" s="18" t="s">
        <v>52</v>
      </c>
      <c r="F40" s="18">
        <v>20</v>
      </c>
      <c r="G40" s="18">
        <v>42</v>
      </c>
      <c r="H40" s="18">
        <v>68</v>
      </c>
      <c r="I40" s="190">
        <v>50</v>
      </c>
      <c r="J40" s="21">
        <f t="shared" si="0"/>
        <v>180</v>
      </c>
      <c r="K40" s="21">
        <f t="shared" si="1"/>
        <v>2</v>
      </c>
      <c r="L40" s="21">
        <f t="shared" si="2"/>
        <v>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4.75" customHeight="1" x14ac:dyDescent="0.15">
      <c r="A41" s="15">
        <v>31</v>
      </c>
      <c r="B41" s="65">
        <v>511522205033</v>
      </c>
      <c r="C41" s="65" t="s">
        <v>391</v>
      </c>
      <c r="D41" s="28">
        <v>2</v>
      </c>
      <c r="E41" s="18">
        <v>24</v>
      </c>
      <c r="F41" s="18">
        <v>4</v>
      </c>
      <c r="G41" s="18">
        <v>32</v>
      </c>
      <c r="H41" s="18">
        <v>24</v>
      </c>
      <c r="I41" s="18">
        <v>20</v>
      </c>
      <c r="J41" s="21">
        <f t="shared" si="0"/>
        <v>106</v>
      </c>
      <c r="K41" s="21">
        <f t="shared" si="1"/>
        <v>6</v>
      </c>
      <c r="L41" s="21">
        <f t="shared" si="2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4.75" customHeight="1" x14ac:dyDescent="0.15">
      <c r="A42" s="15">
        <v>32</v>
      </c>
      <c r="B42" s="65">
        <v>511522205034</v>
      </c>
      <c r="C42" s="65" t="s">
        <v>392</v>
      </c>
      <c r="D42" s="28">
        <v>18</v>
      </c>
      <c r="E42" s="18">
        <v>10</v>
      </c>
      <c r="F42" s="18">
        <v>20</v>
      </c>
      <c r="G42" s="18">
        <v>18</v>
      </c>
      <c r="H42" s="18">
        <v>16</v>
      </c>
      <c r="I42" s="18">
        <v>18</v>
      </c>
      <c r="J42" s="21">
        <f t="shared" si="0"/>
        <v>100</v>
      </c>
      <c r="K42" s="21">
        <f t="shared" si="1"/>
        <v>6</v>
      </c>
      <c r="L42" s="21">
        <f t="shared" si="2"/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4.75" customHeight="1" x14ac:dyDescent="0.15">
      <c r="A43" s="15">
        <v>33</v>
      </c>
      <c r="B43" s="65">
        <v>511522205035</v>
      </c>
      <c r="C43" s="65" t="s">
        <v>393</v>
      </c>
      <c r="D43" s="28">
        <v>18</v>
      </c>
      <c r="E43" s="18">
        <v>60</v>
      </c>
      <c r="F43" s="18">
        <v>66</v>
      </c>
      <c r="G43" s="18">
        <v>60</v>
      </c>
      <c r="H43" s="18">
        <v>68</v>
      </c>
      <c r="I43" s="18">
        <v>56</v>
      </c>
      <c r="J43" s="21">
        <f t="shared" si="0"/>
        <v>328</v>
      </c>
      <c r="K43" s="21">
        <f t="shared" si="1"/>
        <v>1</v>
      </c>
      <c r="L43" s="21">
        <f t="shared" si="2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24.75" customHeight="1" x14ac:dyDescent="0.15">
      <c r="A44" s="15">
        <v>34</v>
      </c>
      <c r="B44" s="65">
        <v>511522205036</v>
      </c>
      <c r="C44" s="65" t="s">
        <v>394</v>
      </c>
      <c r="D44" s="28">
        <v>36</v>
      </c>
      <c r="E44" s="18">
        <v>22</v>
      </c>
      <c r="F44" s="18">
        <v>70</v>
      </c>
      <c r="G44" s="18">
        <v>64</v>
      </c>
      <c r="H44" s="18">
        <v>52</v>
      </c>
      <c r="I44" s="18">
        <v>24</v>
      </c>
      <c r="J44" s="21">
        <f t="shared" si="0"/>
        <v>268</v>
      </c>
      <c r="K44" s="21">
        <f t="shared" si="1"/>
        <v>3</v>
      </c>
      <c r="L44" s="21">
        <f t="shared" si="2"/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4.75" customHeight="1" x14ac:dyDescent="0.15">
      <c r="A45" s="15">
        <v>35</v>
      </c>
      <c r="B45" s="65">
        <v>511522205037</v>
      </c>
      <c r="C45" s="65" t="s">
        <v>395</v>
      </c>
      <c r="D45" s="28">
        <v>14</v>
      </c>
      <c r="E45" s="18" t="s">
        <v>52</v>
      </c>
      <c r="F45" s="18">
        <v>54</v>
      </c>
      <c r="G45" s="18">
        <v>46</v>
      </c>
      <c r="H45" s="18">
        <v>56</v>
      </c>
      <c r="I45" s="18">
        <v>12</v>
      </c>
      <c r="J45" s="21">
        <f t="shared" si="0"/>
        <v>182</v>
      </c>
      <c r="K45" s="21">
        <f t="shared" si="1"/>
        <v>3</v>
      </c>
      <c r="L45" s="21">
        <f t="shared" si="2"/>
        <v>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4.75" customHeight="1" x14ac:dyDescent="0.15">
      <c r="A46" s="15">
        <v>36</v>
      </c>
      <c r="B46" s="65">
        <v>511522205038</v>
      </c>
      <c r="C46" s="65" t="s">
        <v>396</v>
      </c>
      <c r="D46" s="28">
        <v>38</v>
      </c>
      <c r="E46" s="18">
        <v>22</v>
      </c>
      <c r="F46" s="18">
        <v>34</v>
      </c>
      <c r="G46" s="18">
        <v>50</v>
      </c>
      <c r="H46" s="18">
        <v>64</v>
      </c>
      <c r="I46" s="18">
        <v>52</v>
      </c>
      <c r="J46" s="21">
        <f t="shared" si="0"/>
        <v>260</v>
      </c>
      <c r="K46" s="21">
        <f t="shared" si="1"/>
        <v>3</v>
      </c>
      <c r="L46" s="21">
        <f t="shared" si="2"/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4.75" customHeight="1" x14ac:dyDescent="0.15">
      <c r="A47" s="15">
        <v>37</v>
      </c>
      <c r="B47" s="65">
        <v>511522205039</v>
      </c>
      <c r="C47" s="65" t="s">
        <v>397</v>
      </c>
      <c r="D47" s="28">
        <v>28</v>
      </c>
      <c r="E47" s="18">
        <v>26</v>
      </c>
      <c r="F47" s="18">
        <v>10</v>
      </c>
      <c r="G47" s="18">
        <v>52</v>
      </c>
      <c r="H47" s="18">
        <v>56</v>
      </c>
      <c r="I47" s="190">
        <v>28</v>
      </c>
      <c r="J47" s="21">
        <f t="shared" si="0"/>
        <v>200</v>
      </c>
      <c r="K47" s="21">
        <f t="shared" si="1"/>
        <v>4</v>
      </c>
      <c r="L47" s="21">
        <f t="shared" si="2"/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24.75" customHeight="1" x14ac:dyDescent="0.15">
      <c r="A48" s="15">
        <v>38</v>
      </c>
      <c r="B48" s="65">
        <v>511522205040</v>
      </c>
      <c r="C48" s="65" t="s">
        <v>398</v>
      </c>
      <c r="D48" s="28">
        <v>40</v>
      </c>
      <c r="E48" s="18">
        <v>44</v>
      </c>
      <c r="F48" s="18">
        <v>50</v>
      </c>
      <c r="G48" s="18">
        <v>58</v>
      </c>
      <c r="H48" s="18">
        <v>68</v>
      </c>
      <c r="I48" s="18">
        <v>26</v>
      </c>
      <c r="J48" s="21">
        <f t="shared" si="0"/>
        <v>286</v>
      </c>
      <c r="K48" s="21">
        <f t="shared" si="1"/>
        <v>3</v>
      </c>
      <c r="L48" s="21">
        <f t="shared" si="2"/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4.75" customHeight="1" x14ac:dyDescent="0.15">
      <c r="A49" s="15">
        <v>39</v>
      </c>
      <c r="B49" s="65">
        <v>511522205041</v>
      </c>
      <c r="C49" s="65" t="s">
        <v>399</v>
      </c>
      <c r="D49" s="28">
        <v>16</v>
      </c>
      <c r="E49" s="18">
        <v>16</v>
      </c>
      <c r="F49" s="18">
        <v>52</v>
      </c>
      <c r="G49" s="18">
        <v>58</v>
      </c>
      <c r="H49" s="18">
        <v>56</v>
      </c>
      <c r="I49" s="18">
        <v>34</v>
      </c>
      <c r="J49" s="21">
        <f t="shared" si="0"/>
        <v>232</v>
      </c>
      <c r="K49" s="21">
        <f t="shared" si="1"/>
        <v>3</v>
      </c>
      <c r="L49" s="21">
        <f t="shared" si="2"/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4.75" customHeight="1" x14ac:dyDescent="0.2">
      <c r="A50" s="15">
        <v>40</v>
      </c>
      <c r="B50" s="65">
        <v>511522205042</v>
      </c>
      <c r="C50" s="65" t="s">
        <v>400</v>
      </c>
      <c r="D50" s="28">
        <v>20</v>
      </c>
      <c r="E50" s="18">
        <v>36</v>
      </c>
      <c r="F50" s="18">
        <v>46</v>
      </c>
      <c r="G50" s="18">
        <v>42</v>
      </c>
      <c r="H50" s="18">
        <v>12</v>
      </c>
      <c r="I50" s="18">
        <v>16</v>
      </c>
      <c r="J50" s="21">
        <f t="shared" si="0"/>
        <v>172</v>
      </c>
      <c r="K50" s="21">
        <f t="shared" si="1"/>
        <v>6</v>
      </c>
      <c r="L50" s="21">
        <f t="shared" si="2"/>
        <v>0</v>
      </c>
      <c r="M50" s="31"/>
      <c r="N50" s="31"/>
      <c r="O50" s="31"/>
      <c r="P50" s="31"/>
      <c r="Q50" s="31"/>
      <c r="R50" s="2"/>
      <c r="S50" s="2"/>
      <c r="T50" s="2"/>
      <c r="U50" s="2"/>
      <c r="V50" s="2"/>
      <c r="W50" s="2"/>
      <c r="X50" s="2"/>
    </row>
    <row r="51" spans="1:24" ht="24.75" customHeight="1" x14ac:dyDescent="0.2">
      <c r="A51" s="15">
        <v>41</v>
      </c>
      <c r="B51" s="65">
        <v>511522205043</v>
      </c>
      <c r="C51" s="65" t="s">
        <v>401</v>
      </c>
      <c r="D51" s="28">
        <v>14</v>
      </c>
      <c r="E51" s="18">
        <v>32</v>
      </c>
      <c r="F51" s="18">
        <v>56</v>
      </c>
      <c r="G51" s="18">
        <v>46</v>
      </c>
      <c r="H51" s="18">
        <v>70</v>
      </c>
      <c r="I51" s="18">
        <v>44</v>
      </c>
      <c r="J51" s="21">
        <f t="shared" si="0"/>
        <v>262</v>
      </c>
      <c r="K51" s="21">
        <f t="shared" si="1"/>
        <v>4</v>
      </c>
      <c r="L51" s="21">
        <f t="shared" si="2"/>
        <v>0</v>
      </c>
      <c r="M51" s="32"/>
      <c r="N51" s="32"/>
      <c r="O51" s="32"/>
      <c r="P51" s="32"/>
      <c r="Q51" s="32"/>
      <c r="R51" s="2"/>
      <c r="S51" s="2"/>
      <c r="T51" s="2"/>
      <c r="U51" s="2"/>
      <c r="V51" s="2"/>
      <c r="W51" s="2"/>
      <c r="X51" s="2"/>
    </row>
    <row r="52" spans="1:24" ht="24.75" customHeight="1" x14ac:dyDescent="0.15">
      <c r="A52" s="15">
        <v>42</v>
      </c>
      <c r="B52" s="65">
        <v>511522205045</v>
      </c>
      <c r="C52" s="65" t="s">
        <v>337</v>
      </c>
      <c r="D52" s="28">
        <v>24</v>
      </c>
      <c r="E52" s="18">
        <v>58</v>
      </c>
      <c r="F52" s="18">
        <v>58</v>
      </c>
      <c r="G52" s="18">
        <v>30</v>
      </c>
      <c r="H52" s="18">
        <v>42</v>
      </c>
      <c r="I52" s="18">
        <v>34</v>
      </c>
      <c r="J52" s="21">
        <f t="shared" si="0"/>
        <v>246</v>
      </c>
      <c r="K52" s="21">
        <f t="shared" si="1"/>
        <v>4</v>
      </c>
      <c r="L52" s="21">
        <f t="shared" si="2"/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4.75" customHeight="1" x14ac:dyDescent="0.15">
      <c r="A53" s="15">
        <v>43</v>
      </c>
      <c r="B53" s="65">
        <v>511522205047</v>
      </c>
      <c r="C53" s="65" t="s">
        <v>402</v>
      </c>
      <c r="D53" s="28">
        <v>32</v>
      </c>
      <c r="E53" s="18">
        <v>30</v>
      </c>
      <c r="F53" s="18">
        <v>36</v>
      </c>
      <c r="G53" s="18">
        <v>30</v>
      </c>
      <c r="H53" s="18">
        <v>26</v>
      </c>
      <c r="I53" s="18">
        <v>28</v>
      </c>
      <c r="J53" s="21">
        <f t="shared" si="0"/>
        <v>182</v>
      </c>
      <c r="K53" s="21">
        <f t="shared" si="1"/>
        <v>6</v>
      </c>
      <c r="L53" s="21">
        <f t="shared" si="2"/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4.75" customHeight="1" x14ac:dyDescent="0.15">
      <c r="A54" s="15">
        <v>44</v>
      </c>
      <c r="B54" s="65">
        <v>511522205048</v>
      </c>
      <c r="C54" s="65" t="s">
        <v>403</v>
      </c>
      <c r="D54" s="28">
        <v>18</v>
      </c>
      <c r="E54" s="18">
        <v>28</v>
      </c>
      <c r="F54" s="18">
        <v>6</v>
      </c>
      <c r="G54" s="18">
        <v>24</v>
      </c>
      <c r="H54" s="18">
        <v>54</v>
      </c>
      <c r="I54" s="190">
        <v>14</v>
      </c>
      <c r="J54" s="21">
        <f t="shared" si="0"/>
        <v>144</v>
      </c>
      <c r="K54" s="21">
        <f t="shared" si="1"/>
        <v>5</v>
      </c>
      <c r="L54" s="21">
        <f t="shared" si="2"/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4.75" customHeight="1" x14ac:dyDescent="0.15">
      <c r="A55" s="15">
        <v>45</v>
      </c>
      <c r="B55" s="65">
        <v>511522205049</v>
      </c>
      <c r="C55" s="65" t="s">
        <v>404</v>
      </c>
      <c r="D55" s="28">
        <v>14</v>
      </c>
      <c r="E55" s="18">
        <v>52</v>
      </c>
      <c r="F55" s="18">
        <v>28</v>
      </c>
      <c r="G55" s="18">
        <v>50</v>
      </c>
      <c r="H55" s="18">
        <v>80</v>
      </c>
      <c r="I55" s="18">
        <v>62</v>
      </c>
      <c r="J55" s="21">
        <f t="shared" si="0"/>
        <v>286</v>
      </c>
      <c r="K55" s="21">
        <f t="shared" si="1"/>
        <v>2</v>
      </c>
      <c r="L55" s="21">
        <f t="shared" si="2"/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4.75" customHeight="1" x14ac:dyDescent="0.15">
      <c r="A56" s="15">
        <v>46</v>
      </c>
      <c r="B56" s="65">
        <v>511522205050</v>
      </c>
      <c r="C56" s="65" t="s">
        <v>405</v>
      </c>
      <c r="D56" s="28">
        <v>28</v>
      </c>
      <c r="E56" s="18">
        <v>54</v>
      </c>
      <c r="F56" s="18">
        <v>52</v>
      </c>
      <c r="G56" s="18">
        <v>38</v>
      </c>
      <c r="H56" s="18">
        <v>72</v>
      </c>
      <c r="I56" s="18">
        <v>38</v>
      </c>
      <c r="J56" s="21">
        <f t="shared" si="0"/>
        <v>282</v>
      </c>
      <c r="K56" s="21">
        <f t="shared" si="1"/>
        <v>3</v>
      </c>
      <c r="L56" s="21">
        <f t="shared" si="2"/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4.75" customHeight="1" x14ac:dyDescent="0.15">
      <c r="A57" s="15">
        <v>47</v>
      </c>
      <c r="B57" s="65">
        <v>511522205051</v>
      </c>
      <c r="C57" s="65" t="s">
        <v>406</v>
      </c>
      <c r="D57" s="28">
        <v>36</v>
      </c>
      <c r="E57" s="18">
        <v>54</v>
      </c>
      <c r="F57" s="18">
        <v>44</v>
      </c>
      <c r="G57" s="18">
        <v>52</v>
      </c>
      <c r="H57" s="18">
        <v>64</v>
      </c>
      <c r="I57" s="191">
        <v>50</v>
      </c>
      <c r="J57" s="21">
        <f t="shared" si="0"/>
        <v>300</v>
      </c>
      <c r="K57" s="21">
        <f t="shared" si="1"/>
        <v>2</v>
      </c>
      <c r="L57" s="21">
        <f t="shared" si="2"/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4.75" customHeight="1" x14ac:dyDescent="0.15">
      <c r="A58" s="15">
        <v>48</v>
      </c>
      <c r="B58" s="65">
        <v>511522205052</v>
      </c>
      <c r="C58" s="65" t="s">
        <v>407</v>
      </c>
      <c r="D58" s="28">
        <v>40</v>
      </c>
      <c r="E58" s="18">
        <v>50</v>
      </c>
      <c r="F58" s="18">
        <v>38</v>
      </c>
      <c r="G58" s="18">
        <v>60</v>
      </c>
      <c r="H58" s="18">
        <v>72</v>
      </c>
      <c r="I58" s="18">
        <v>40</v>
      </c>
      <c r="J58" s="21">
        <f t="shared" si="0"/>
        <v>300</v>
      </c>
      <c r="K58" s="21">
        <f t="shared" si="1"/>
        <v>3</v>
      </c>
      <c r="L58" s="21">
        <f t="shared" si="2"/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4.75" customHeight="1" x14ac:dyDescent="0.15">
      <c r="A59" s="15">
        <v>49</v>
      </c>
      <c r="B59" s="65">
        <v>511522205053</v>
      </c>
      <c r="C59" s="65" t="s">
        <v>408</v>
      </c>
      <c r="D59" s="192">
        <v>36</v>
      </c>
      <c r="E59" s="18">
        <v>54</v>
      </c>
      <c r="F59" s="18">
        <v>58</v>
      </c>
      <c r="G59" s="18">
        <v>40</v>
      </c>
      <c r="H59" s="18">
        <v>60</v>
      </c>
      <c r="I59" s="18">
        <v>24</v>
      </c>
      <c r="J59" s="21">
        <f t="shared" si="0"/>
        <v>272</v>
      </c>
      <c r="K59" s="21">
        <f t="shared" si="1"/>
        <v>3</v>
      </c>
      <c r="L59" s="21">
        <f t="shared" si="2"/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4.75" customHeight="1" x14ac:dyDescent="0.15">
      <c r="A60" s="15">
        <v>50</v>
      </c>
      <c r="B60" s="65">
        <v>511522205054</v>
      </c>
      <c r="C60" s="65" t="s">
        <v>409</v>
      </c>
      <c r="D60" s="28">
        <v>40</v>
      </c>
      <c r="E60" s="18">
        <v>76</v>
      </c>
      <c r="F60" s="18">
        <v>94</v>
      </c>
      <c r="G60" s="18">
        <v>86</v>
      </c>
      <c r="H60" s="18">
        <v>74</v>
      </c>
      <c r="I60" s="190">
        <v>78</v>
      </c>
      <c r="J60" s="21">
        <f t="shared" si="0"/>
        <v>448</v>
      </c>
      <c r="K60" s="21">
        <f t="shared" si="1"/>
        <v>1</v>
      </c>
      <c r="L60" s="21">
        <f t="shared" si="2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4.75" customHeight="1" x14ac:dyDescent="0.15">
      <c r="A61" s="15">
        <v>51</v>
      </c>
      <c r="B61" s="65">
        <v>511522205055</v>
      </c>
      <c r="C61" s="65" t="s">
        <v>410</v>
      </c>
      <c r="D61" s="28">
        <v>4</v>
      </c>
      <c r="E61" s="18">
        <v>28</v>
      </c>
      <c r="F61" s="18">
        <v>34</v>
      </c>
      <c r="G61" s="18">
        <v>32</v>
      </c>
      <c r="H61" s="18">
        <v>36</v>
      </c>
      <c r="I61" s="18">
        <v>28</v>
      </c>
      <c r="J61" s="21">
        <f t="shared" si="0"/>
        <v>162</v>
      </c>
      <c r="K61" s="21">
        <f t="shared" si="1"/>
        <v>6</v>
      </c>
      <c r="L61" s="21">
        <f t="shared" si="2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4.75" customHeight="1" x14ac:dyDescent="0.15">
      <c r="A62" s="15">
        <v>52</v>
      </c>
      <c r="B62" s="65">
        <v>511522205056</v>
      </c>
      <c r="C62" s="65" t="s">
        <v>411</v>
      </c>
      <c r="D62" s="28">
        <v>10</v>
      </c>
      <c r="E62" s="18">
        <v>24</v>
      </c>
      <c r="F62" s="18">
        <v>36</v>
      </c>
      <c r="G62" s="18">
        <v>28</v>
      </c>
      <c r="H62" s="18">
        <v>34</v>
      </c>
      <c r="I62" s="18">
        <v>18</v>
      </c>
      <c r="J62" s="21">
        <f t="shared" si="0"/>
        <v>150</v>
      </c>
      <c r="K62" s="21">
        <f t="shared" si="1"/>
        <v>6</v>
      </c>
      <c r="L62" s="21">
        <f t="shared" si="2"/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4.75" customHeight="1" x14ac:dyDescent="0.15">
      <c r="A63" s="15">
        <v>53</v>
      </c>
      <c r="B63" s="65">
        <v>511522205057</v>
      </c>
      <c r="C63" s="65" t="s">
        <v>412</v>
      </c>
      <c r="D63" s="28">
        <v>2</v>
      </c>
      <c r="E63" s="18">
        <v>6</v>
      </c>
      <c r="F63" s="18">
        <v>4</v>
      </c>
      <c r="G63" s="18">
        <v>18</v>
      </c>
      <c r="H63" s="18">
        <v>12</v>
      </c>
      <c r="I63" s="18">
        <v>8</v>
      </c>
      <c r="J63" s="21">
        <f t="shared" si="0"/>
        <v>50</v>
      </c>
      <c r="K63" s="21">
        <f t="shared" si="1"/>
        <v>6</v>
      </c>
      <c r="L63" s="21">
        <f t="shared" si="2"/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4.75" customHeight="1" x14ac:dyDescent="0.15">
      <c r="A64" s="15">
        <v>54</v>
      </c>
      <c r="B64" s="65">
        <v>511522205058</v>
      </c>
      <c r="C64" s="65" t="s">
        <v>413</v>
      </c>
      <c r="D64" s="28">
        <v>20</v>
      </c>
      <c r="E64" s="18">
        <v>50</v>
      </c>
      <c r="F64" s="18">
        <v>40</v>
      </c>
      <c r="G64" s="18">
        <v>42</v>
      </c>
      <c r="H64" s="18">
        <v>66</v>
      </c>
      <c r="I64" s="18">
        <v>34</v>
      </c>
      <c r="J64" s="21">
        <f t="shared" si="0"/>
        <v>252</v>
      </c>
      <c r="K64" s="21">
        <f t="shared" si="1"/>
        <v>4</v>
      </c>
      <c r="L64" s="21">
        <f t="shared" si="2"/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24.75" customHeight="1" x14ac:dyDescent="0.15">
      <c r="A65" s="15">
        <v>55</v>
      </c>
      <c r="B65" s="193">
        <v>511522205301</v>
      </c>
      <c r="C65" s="194" t="s">
        <v>414</v>
      </c>
      <c r="D65" s="28">
        <v>28</v>
      </c>
      <c r="E65" s="18">
        <v>54</v>
      </c>
      <c r="F65" s="18">
        <v>42</v>
      </c>
      <c r="G65" s="18">
        <v>56</v>
      </c>
      <c r="H65" s="18">
        <v>64</v>
      </c>
      <c r="I65" s="190">
        <v>38</v>
      </c>
      <c r="J65" s="21">
        <f t="shared" si="0"/>
        <v>282</v>
      </c>
      <c r="K65" s="21">
        <f t="shared" si="1"/>
        <v>3</v>
      </c>
      <c r="L65" s="21">
        <f t="shared" si="2"/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4.75" customHeight="1" x14ac:dyDescent="0.15">
      <c r="A66" s="15">
        <v>56</v>
      </c>
      <c r="B66" s="193">
        <v>511522205302</v>
      </c>
      <c r="C66" s="194" t="s">
        <v>415</v>
      </c>
      <c r="D66" s="28" t="s">
        <v>52</v>
      </c>
      <c r="E66" s="18" t="s">
        <v>52</v>
      </c>
      <c r="F66" s="18" t="s">
        <v>52</v>
      </c>
      <c r="G66" s="18" t="s">
        <v>52</v>
      </c>
      <c r="H66" s="18" t="s">
        <v>52</v>
      </c>
      <c r="I66" s="18" t="s">
        <v>52</v>
      </c>
      <c r="J66" s="21">
        <f t="shared" si="0"/>
        <v>0</v>
      </c>
      <c r="K66" s="21">
        <f t="shared" si="1"/>
        <v>0</v>
      </c>
      <c r="L66" s="21">
        <f t="shared" si="2"/>
        <v>5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4.75" customHeight="1" x14ac:dyDescent="0.15">
      <c r="A67" s="15">
        <v>57</v>
      </c>
      <c r="B67" s="193">
        <v>511522205303</v>
      </c>
      <c r="C67" s="194" t="s">
        <v>416</v>
      </c>
      <c r="D67" s="28">
        <v>20</v>
      </c>
      <c r="E67" s="18">
        <v>56</v>
      </c>
      <c r="F67" s="18">
        <v>52</v>
      </c>
      <c r="G67" s="18">
        <v>56</v>
      </c>
      <c r="H67" s="18">
        <v>56</v>
      </c>
      <c r="I67" s="190">
        <v>34</v>
      </c>
      <c r="J67" s="21"/>
      <c r="K67" s="21"/>
      <c r="L67" s="2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4.75" customHeight="1" x14ac:dyDescent="0.15">
      <c r="A68" s="15">
        <v>58</v>
      </c>
      <c r="B68" s="193">
        <v>511522205304</v>
      </c>
      <c r="C68" s="194" t="s">
        <v>417</v>
      </c>
      <c r="D68" s="28">
        <v>6</v>
      </c>
      <c r="E68" s="18">
        <v>16</v>
      </c>
      <c r="F68" s="18" t="s">
        <v>52</v>
      </c>
      <c r="G68" s="18" t="s">
        <v>52</v>
      </c>
      <c r="H68" s="18">
        <v>4</v>
      </c>
      <c r="I68" s="18">
        <v>26</v>
      </c>
      <c r="K68" s="21"/>
      <c r="L68" s="2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37.5" customHeight="1" x14ac:dyDescent="0.15">
      <c r="A69" s="15"/>
      <c r="B69" s="195"/>
      <c r="C69" s="195"/>
      <c r="D69" s="196"/>
      <c r="E69" s="195"/>
      <c r="F69" s="195"/>
      <c r="G69" s="195"/>
      <c r="H69" s="195"/>
      <c r="I69" s="195"/>
      <c r="J69" s="195"/>
      <c r="K69" s="195"/>
      <c r="L69" s="35" t="s">
        <v>76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24.75" customHeight="1" x14ac:dyDescent="0.15">
      <c r="A70" s="243" t="s">
        <v>77</v>
      </c>
      <c r="B70" s="244"/>
      <c r="C70" s="245"/>
      <c r="D70" s="28">
        <v>58</v>
      </c>
      <c r="E70" s="28">
        <v>58</v>
      </c>
      <c r="F70" s="28">
        <v>58</v>
      </c>
      <c r="G70" s="28">
        <v>58</v>
      </c>
      <c r="H70" s="28">
        <v>58</v>
      </c>
      <c r="I70" s="28">
        <v>58</v>
      </c>
      <c r="J70" s="197" t="s">
        <v>418</v>
      </c>
      <c r="K70" s="36">
        <f>COUNTIF(K11:K68,"1")</f>
        <v>12</v>
      </c>
      <c r="L70" s="238">
        <f>COUNTIF(K11:K68,"0")</f>
        <v>11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4.75" customHeight="1" x14ac:dyDescent="0.15">
      <c r="A71" s="249" t="s">
        <v>79</v>
      </c>
      <c r="B71" s="244"/>
      <c r="C71" s="245"/>
      <c r="D71" s="29">
        <f t="shared" ref="D71:I71" si="3">COUNT(D11:D68,"!AB")</f>
        <v>53</v>
      </c>
      <c r="E71" s="19">
        <f t="shared" si="3"/>
        <v>52</v>
      </c>
      <c r="F71" s="19">
        <f t="shared" si="3"/>
        <v>51</v>
      </c>
      <c r="G71" s="19">
        <f t="shared" si="3"/>
        <v>52</v>
      </c>
      <c r="H71" s="19">
        <f t="shared" si="3"/>
        <v>52</v>
      </c>
      <c r="I71" s="19">
        <f t="shared" si="3"/>
        <v>51</v>
      </c>
      <c r="J71" s="36" t="s">
        <v>80</v>
      </c>
      <c r="K71" s="36">
        <f>COUNTIF(K12:K68,"2")</f>
        <v>5</v>
      </c>
      <c r="L71" s="23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4.75" customHeight="1" x14ac:dyDescent="0.15">
      <c r="A72" s="249" t="s">
        <v>81</v>
      </c>
      <c r="B72" s="244"/>
      <c r="C72" s="245"/>
      <c r="D72" s="29">
        <f t="shared" ref="D72:I72" si="4">COUNTIF(D11:D68,"AB")</f>
        <v>5</v>
      </c>
      <c r="E72" s="19">
        <f t="shared" si="4"/>
        <v>6</v>
      </c>
      <c r="F72" s="19">
        <f t="shared" si="4"/>
        <v>7</v>
      </c>
      <c r="G72" s="19">
        <f t="shared" si="4"/>
        <v>6</v>
      </c>
      <c r="H72" s="19">
        <f t="shared" si="4"/>
        <v>6</v>
      </c>
      <c r="I72" s="19">
        <f t="shared" si="4"/>
        <v>7</v>
      </c>
      <c r="J72" s="36" t="s">
        <v>82</v>
      </c>
      <c r="K72" s="36">
        <f>COUNTIF(K13:K68,"3")</f>
        <v>10</v>
      </c>
      <c r="L72" s="23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4.75" customHeight="1" x14ac:dyDescent="0.15">
      <c r="A73" s="249" t="s">
        <v>83</v>
      </c>
      <c r="B73" s="244"/>
      <c r="C73" s="245"/>
      <c r="D73" s="29">
        <f t="shared" ref="D73:I73" si="5">COUNTIF(D11:D68,"OD")</f>
        <v>0</v>
      </c>
      <c r="E73" s="19">
        <f t="shared" si="5"/>
        <v>0</v>
      </c>
      <c r="F73" s="19">
        <f t="shared" si="5"/>
        <v>0</v>
      </c>
      <c r="G73" s="19">
        <f t="shared" si="5"/>
        <v>0</v>
      </c>
      <c r="H73" s="19">
        <f t="shared" si="5"/>
        <v>0</v>
      </c>
      <c r="I73" s="19">
        <f t="shared" si="5"/>
        <v>0</v>
      </c>
      <c r="J73" s="12" t="s">
        <v>84</v>
      </c>
      <c r="K73" s="36">
        <f>COUNTIF(K14:K68,"4")</f>
        <v>7</v>
      </c>
      <c r="L73" s="23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4.75" customHeight="1" x14ac:dyDescent="0.15">
      <c r="A74" s="249" t="s">
        <v>85</v>
      </c>
      <c r="B74" s="244"/>
      <c r="C74" s="245"/>
      <c r="D74" s="29">
        <f t="shared" ref="D74:I74" si="6">COUNTIF(D11:D68,"&gt;=50")</f>
        <v>9</v>
      </c>
      <c r="E74" s="19">
        <f t="shared" si="6"/>
        <v>28</v>
      </c>
      <c r="F74" s="19">
        <f t="shared" si="6"/>
        <v>32</v>
      </c>
      <c r="G74" s="19">
        <f t="shared" si="6"/>
        <v>32</v>
      </c>
      <c r="H74" s="19">
        <f t="shared" si="6"/>
        <v>39</v>
      </c>
      <c r="I74" s="19">
        <f t="shared" si="6"/>
        <v>24</v>
      </c>
      <c r="J74" s="36" t="s">
        <v>86</v>
      </c>
      <c r="K74" s="36">
        <f>COUNTIF(K15:K68,"5")</f>
        <v>1</v>
      </c>
      <c r="L74" s="23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4.75" customHeight="1" x14ac:dyDescent="0.15">
      <c r="A75" s="249" t="s">
        <v>87</v>
      </c>
      <c r="B75" s="244"/>
      <c r="C75" s="245"/>
      <c r="D75" s="29">
        <f t="shared" ref="D75:I75" si="7">COUNTIF(D11:D68,"&lt;=49")</f>
        <v>44</v>
      </c>
      <c r="E75" s="19">
        <f t="shared" si="7"/>
        <v>24</v>
      </c>
      <c r="F75" s="19">
        <f t="shared" si="7"/>
        <v>19</v>
      </c>
      <c r="G75" s="19">
        <f t="shared" si="7"/>
        <v>20</v>
      </c>
      <c r="H75" s="19">
        <f t="shared" si="7"/>
        <v>13</v>
      </c>
      <c r="I75" s="19">
        <f t="shared" si="7"/>
        <v>27</v>
      </c>
      <c r="J75" s="37" t="s">
        <v>88</v>
      </c>
      <c r="K75" s="36">
        <f>COUNTIF(K16:K68,"6")</f>
        <v>8</v>
      </c>
      <c r="L75" s="23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4.75" customHeight="1" x14ac:dyDescent="0.15">
      <c r="A76" s="249" t="s">
        <v>89</v>
      </c>
      <c r="B76" s="244"/>
      <c r="C76" s="244"/>
      <c r="D76" s="198">
        <f t="shared" ref="D76:I76" si="8">D74/D71</f>
        <v>0.16981132075471697</v>
      </c>
      <c r="E76" s="38">
        <f t="shared" si="8"/>
        <v>0.53846153846153844</v>
      </c>
      <c r="F76" s="38">
        <f t="shared" si="8"/>
        <v>0.62745098039215685</v>
      </c>
      <c r="G76" s="38">
        <f t="shared" si="8"/>
        <v>0.61538461538461542</v>
      </c>
      <c r="H76" s="38">
        <f t="shared" si="8"/>
        <v>0.75</v>
      </c>
      <c r="I76" s="38">
        <f t="shared" si="8"/>
        <v>0.47058823529411764</v>
      </c>
      <c r="J76" s="39"/>
      <c r="K76" s="40"/>
      <c r="L76" s="23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9.75" customHeight="1" x14ac:dyDescent="0.15">
      <c r="A77" s="199"/>
      <c r="B77" s="200"/>
      <c r="C77" s="201"/>
      <c r="D77" s="202"/>
      <c r="E77" s="201"/>
      <c r="F77" s="203"/>
      <c r="G77" s="204"/>
      <c r="H77" s="20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</row>
    <row r="78" spans="1:24" ht="39.75" customHeight="1" x14ac:dyDescent="0.15">
      <c r="A78" s="206" t="s">
        <v>180</v>
      </c>
      <c r="B78" s="271" t="s">
        <v>91</v>
      </c>
      <c r="C78" s="272"/>
      <c r="D78" s="273"/>
      <c r="E78" s="280" t="s">
        <v>92</v>
      </c>
      <c r="F78" s="273"/>
      <c r="G78" s="202" t="s">
        <v>93</v>
      </c>
      <c r="H78" s="201" t="s">
        <v>94</v>
      </c>
      <c r="I78" s="203" t="s">
        <v>95</v>
      </c>
      <c r="J78" s="204" t="s">
        <v>96</v>
      </c>
      <c r="K78" s="185"/>
      <c r="L78" s="185"/>
      <c r="M78" s="185"/>
      <c r="N78" s="185"/>
      <c r="O78" s="185"/>
      <c r="P78" s="185"/>
      <c r="Q78" s="185"/>
      <c r="R78" s="185"/>
      <c r="S78" s="185"/>
      <c r="T78" s="185"/>
    </row>
    <row r="79" spans="1:24" ht="22.5" customHeight="1" x14ac:dyDescent="0.15">
      <c r="A79" s="199">
        <v>1</v>
      </c>
      <c r="B79" s="268" t="s">
        <v>109</v>
      </c>
      <c r="C79" s="274"/>
      <c r="D79" s="269"/>
      <c r="E79" s="268" t="s">
        <v>181</v>
      </c>
      <c r="F79" s="269"/>
      <c r="G79" s="207">
        <v>53</v>
      </c>
      <c r="H79" s="208">
        <v>5</v>
      </c>
      <c r="I79" s="208">
        <v>9</v>
      </c>
      <c r="J79" s="209">
        <f t="shared" ref="J79:J84" si="9">I79/G79*100</f>
        <v>16.981132075471699</v>
      </c>
      <c r="K79" s="185"/>
      <c r="L79" s="185"/>
      <c r="M79" s="185"/>
      <c r="N79" s="185"/>
      <c r="O79" s="185"/>
      <c r="P79" s="185"/>
      <c r="Q79" s="185"/>
      <c r="R79" s="185"/>
      <c r="S79" s="185"/>
      <c r="T79" s="185"/>
    </row>
    <row r="80" spans="1:24" ht="22.5" customHeight="1" x14ac:dyDescent="0.15">
      <c r="A80" s="199">
        <v>2</v>
      </c>
      <c r="B80" s="268" t="s">
        <v>357</v>
      </c>
      <c r="C80" s="275"/>
      <c r="D80" s="270"/>
      <c r="E80" s="268" t="s">
        <v>419</v>
      </c>
      <c r="F80" s="270"/>
      <c r="G80" s="207">
        <v>52</v>
      </c>
      <c r="H80" s="208">
        <v>6</v>
      </c>
      <c r="I80" s="208">
        <v>28</v>
      </c>
      <c r="J80" s="210">
        <f t="shared" si="9"/>
        <v>53.846153846153847</v>
      </c>
      <c r="K80" s="185"/>
      <c r="L80" s="185"/>
      <c r="M80" s="185"/>
      <c r="N80" s="185"/>
      <c r="O80" s="185"/>
      <c r="P80" s="185"/>
      <c r="Q80" s="185"/>
      <c r="R80" s="185"/>
      <c r="S80" s="185"/>
      <c r="T80" s="185"/>
    </row>
    <row r="81" spans="1:24" ht="22.5" customHeight="1" x14ac:dyDescent="0.15">
      <c r="A81" s="199">
        <v>3</v>
      </c>
      <c r="B81" s="268" t="s">
        <v>358</v>
      </c>
      <c r="C81" s="274"/>
      <c r="D81" s="269"/>
      <c r="E81" s="268" t="s">
        <v>420</v>
      </c>
      <c r="F81" s="269"/>
      <c r="G81" s="207">
        <v>51</v>
      </c>
      <c r="H81" s="208">
        <v>7</v>
      </c>
      <c r="I81" s="208">
        <v>32</v>
      </c>
      <c r="J81" s="210">
        <f t="shared" si="9"/>
        <v>62.745098039215684</v>
      </c>
      <c r="K81" s="185"/>
      <c r="L81" s="185"/>
      <c r="M81" s="185"/>
      <c r="N81" s="185"/>
      <c r="O81" s="185"/>
      <c r="P81" s="185"/>
      <c r="Q81" s="185"/>
      <c r="R81" s="185"/>
      <c r="S81" s="185"/>
      <c r="T81" s="185"/>
    </row>
    <row r="82" spans="1:24" ht="22.5" customHeight="1" x14ac:dyDescent="0.15">
      <c r="A82" s="206">
        <v>4</v>
      </c>
      <c r="B82" s="276" t="s">
        <v>359</v>
      </c>
      <c r="C82" s="275"/>
      <c r="D82" s="270"/>
      <c r="E82" s="268" t="s">
        <v>182</v>
      </c>
      <c r="F82" s="270"/>
      <c r="G82" s="207">
        <v>52</v>
      </c>
      <c r="H82" s="208">
        <v>6</v>
      </c>
      <c r="I82" s="208">
        <v>32</v>
      </c>
      <c r="J82" s="210">
        <f t="shared" si="9"/>
        <v>61.53846153846154</v>
      </c>
      <c r="K82" s="185"/>
      <c r="L82" s="185"/>
      <c r="M82" s="185"/>
      <c r="N82" s="185"/>
      <c r="O82" s="185"/>
      <c r="P82" s="185"/>
      <c r="Q82" s="185"/>
      <c r="R82" s="185"/>
      <c r="S82" s="185"/>
      <c r="T82" s="185"/>
    </row>
    <row r="83" spans="1:24" ht="22.5" customHeight="1" x14ac:dyDescent="0.15">
      <c r="A83" s="199">
        <v>5</v>
      </c>
      <c r="B83" s="268" t="s">
        <v>360</v>
      </c>
      <c r="C83" s="274"/>
      <c r="D83" s="269"/>
      <c r="E83" s="277" t="s">
        <v>421</v>
      </c>
      <c r="F83" s="278"/>
      <c r="G83" s="207">
        <v>52</v>
      </c>
      <c r="H83" s="208">
        <v>6</v>
      </c>
      <c r="I83" s="208">
        <v>39</v>
      </c>
      <c r="J83" s="210">
        <f t="shared" si="9"/>
        <v>75</v>
      </c>
      <c r="K83" s="185"/>
      <c r="L83" s="185"/>
      <c r="M83" s="185"/>
      <c r="N83" s="185"/>
      <c r="O83" s="185"/>
      <c r="P83" s="185"/>
      <c r="Q83" s="185"/>
      <c r="R83" s="185"/>
      <c r="S83" s="185"/>
      <c r="T83" s="185"/>
    </row>
    <row r="84" spans="1:24" ht="22.5" customHeight="1" x14ac:dyDescent="0.15">
      <c r="A84" s="199">
        <v>6</v>
      </c>
      <c r="B84" s="268" t="s">
        <v>114</v>
      </c>
      <c r="C84" s="275"/>
      <c r="D84" s="270"/>
      <c r="E84" s="268" t="s">
        <v>422</v>
      </c>
      <c r="F84" s="270"/>
      <c r="G84" s="28">
        <v>51</v>
      </c>
      <c r="H84" s="28">
        <v>7</v>
      </c>
      <c r="I84" s="28">
        <v>24</v>
      </c>
      <c r="J84" s="210">
        <f t="shared" si="9"/>
        <v>47.058823529411761</v>
      </c>
      <c r="K84" s="185"/>
      <c r="L84" s="185"/>
      <c r="M84" s="185"/>
      <c r="N84" s="185"/>
      <c r="O84" s="185"/>
      <c r="P84" s="185"/>
      <c r="Q84" s="185"/>
      <c r="R84" s="185"/>
      <c r="S84" s="185"/>
      <c r="T84" s="185"/>
    </row>
    <row r="85" spans="1:24" ht="24.75" customHeight="1" x14ac:dyDescent="0.15">
      <c r="A85" s="7"/>
      <c r="B85" s="252" t="s">
        <v>187</v>
      </c>
      <c r="C85" s="253"/>
      <c r="D85" s="253"/>
      <c r="E85" s="253"/>
      <c r="F85" s="253"/>
      <c r="G85" s="253"/>
      <c r="H85" s="253"/>
      <c r="I85" s="254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4.75" customHeight="1" x14ac:dyDescent="0.15">
      <c r="A86" s="7"/>
      <c r="B86" s="257" t="s">
        <v>188</v>
      </c>
      <c r="C86" s="211" t="s">
        <v>189</v>
      </c>
      <c r="D86" s="279" t="s">
        <v>190</v>
      </c>
      <c r="E86" s="244"/>
      <c r="F86" s="244"/>
      <c r="G86" s="244"/>
      <c r="H86" s="244"/>
      <c r="I86" s="245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4.75" customHeight="1" x14ac:dyDescent="0.15">
      <c r="A87" s="7"/>
      <c r="B87" s="236"/>
      <c r="C87" s="212">
        <v>0</v>
      </c>
      <c r="D87" s="213" t="s">
        <v>191</v>
      </c>
      <c r="E87" s="91" t="s">
        <v>192</v>
      </c>
      <c r="F87" s="91" t="s">
        <v>193</v>
      </c>
      <c r="G87" s="91" t="s">
        <v>194</v>
      </c>
      <c r="H87" s="91" t="s">
        <v>195</v>
      </c>
      <c r="I87" s="91" t="s">
        <v>196</v>
      </c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24.75" customHeight="1" x14ac:dyDescent="0.15">
      <c r="A88" s="7"/>
      <c r="B88" s="92" t="s">
        <v>197</v>
      </c>
      <c r="C88" s="91">
        <v>0</v>
      </c>
      <c r="D88" s="213">
        <f>K70</f>
        <v>12</v>
      </c>
      <c r="E88" s="91">
        <f>K71</f>
        <v>5</v>
      </c>
      <c r="F88" s="91">
        <f>K72</f>
        <v>10</v>
      </c>
      <c r="G88" s="91">
        <f>K73</f>
        <v>7</v>
      </c>
      <c r="H88" s="91">
        <f>K74</f>
        <v>1</v>
      </c>
      <c r="I88" s="91">
        <f>K75</f>
        <v>8</v>
      </c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15">
      <c r="A89" s="7"/>
      <c r="B89" s="92" t="s">
        <v>198</v>
      </c>
      <c r="C89" s="214">
        <f>C87/G79*100</f>
        <v>0</v>
      </c>
      <c r="D89" s="215"/>
      <c r="E89" s="94"/>
      <c r="F89" s="94"/>
      <c r="G89" s="94"/>
      <c r="H89" s="94"/>
      <c r="I89" s="94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15">
      <c r="A90" s="2"/>
      <c r="B90" s="61"/>
      <c r="C90" s="61"/>
      <c r="D90" s="216"/>
      <c r="E90" s="61"/>
      <c r="F90" s="61"/>
      <c r="G90" s="61"/>
      <c r="H90" s="61"/>
      <c r="I90" s="61"/>
      <c r="J90" s="61"/>
      <c r="K90" s="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15">
      <c r="A91" s="2"/>
      <c r="B91" s="61"/>
      <c r="C91" s="61"/>
      <c r="D91" s="216"/>
      <c r="E91" s="61"/>
      <c r="F91" s="61"/>
      <c r="G91" s="61"/>
      <c r="H91" s="61"/>
      <c r="I91" s="61"/>
      <c r="J91" s="6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15">
      <c r="A92" s="2"/>
      <c r="B92" s="2"/>
      <c r="C92" s="2"/>
      <c r="D92" s="185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15">
      <c r="A93" s="2"/>
      <c r="B93" s="241" t="s">
        <v>102</v>
      </c>
      <c r="C93" s="242"/>
      <c r="D93" s="185"/>
      <c r="E93" s="63" t="s">
        <v>103</v>
      </c>
      <c r="F93" s="63"/>
      <c r="G93" s="63"/>
      <c r="H93" s="63" t="s">
        <v>104</v>
      </c>
      <c r="I93" s="6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15">
      <c r="A94" s="2"/>
      <c r="B94" s="2"/>
      <c r="C94" s="2"/>
      <c r="D94" s="18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15">
      <c r="A95" s="2"/>
      <c r="B95" s="2"/>
      <c r="C95" s="2"/>
      <c r="D95" s="185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15">
      <c r="A96" s="2"/>
      <c r="B96" s="2"/>
      <c r="C96" s="2"/>
      <c r="D96" s="185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15">
      <c r="A97" s="2"/>
      <c r="B97" s="2"/>
      <c r="C97" s="2"/>
      <c r="D97" s="18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15">
      <c r="A98" s="2"/>
      <c r="B98" s="2"/>
      <c r="C98" s="2"/>
      <c r="D98" s="18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15">
      <c r="A99" s="2"/>
      <c r="B99" s="2"/>
      <c r="C99" s="2"/>
      <c r="D99" s="18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15">
      <c r="A100" s="2"/>
      <c r="B100" s="2"/>
      <c r="C100" s="2"/>
      <c r="D100" s="185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15">
      <c r="A101" s="2"/>
      <c r="B101" s="2"/>
      <c r="C101" s="2"/>
      <c r="D101" s="18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15">
      <c r="A102" s="2"/>
      <c r="B102" s="2"/>
      <c r="C102" s="2"/>
      <c r="D102" s="18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15">
      <c r="A103" s="2"/>
      <c r="B103" s="2"/>
      <c r="C103" s="2"/>
      <c r="D103" s="185"/>
      <c r="E103" s="2"/>
      <c r="F103" s="9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15">
      <c r="A104" s="2"/>
      <c r="B104" s="2"/>
      <c r="C104" s="2"/>
      <c r="D104" s="18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15">
      <c r="A105" s="2"/>
      <c r="B105" s="2"/>
      <c r="C105" s="81"/>
      <c r="D105" s="217"/>
      <c r="E105" s="83"/>
      <c r="F105" s="82"/>
      <c r="G105" s="82"/>
      <c r="H105" s="82"/>
      <c r="I105" s="8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15">
      <c r="A106" s="2"/>
      <c r="B106" s="2"/>
      <c r="C106" s="81"/>
      <c r="D106" s="218"/>
      <c r="E106" s="219"/>
      <c r="F106" s="220"/>
      <c r="G106" s="220"/>
      <c r="H106" s="220"/>
      <c r="I106" s="22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15">
      <c r="A107" s="2"/>
      <c r="B107" s="2"/>
      <c r="C107" s="81"/>
      <c r="D107" s="218"/>
      <c r="E107" s="219"/>
      <c r="F107" s="220"/>
      <c r="G107" s="220"/>
      <c r="H107" s="220"/>
      <c r="I107" s="22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15">
      <c r="A108" s="2"/>
      <c r="B108" s="2"/>
      <c r="C108" s="81"/>
      <c r="D108" s="218"/>
      <c r="E108" s="219"/>
      <c r="F108" s="220"/>
      <c r="G108" s="220"/>
      <c r="H108" s="220"/>
      <c r="I108" s="22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15">
      <c r="A109" s="2"/>
      <c r="B109" s="2"/>
      <c r="C109" s="2"/>
      <c r="D109" s="18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15">
      <c r="A110" s="2"/>
      <c r="B110" s="2"/>
      <c r="C110" s="2"/>
      <c r="D110" s="18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15">
      <c r="A111" s="2"/>
      <c r="B111" s="2"/>
      <c r="C111" s="2"/>
      <c r="D111" s="18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15">
      <c r="A112" s="2"/>
      <c r="B112" s="2"/>
      <c r="C112" s="2"/>
      <c r="D112" s="18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15">
      <c r="A113" s="2"/>
      <c r="B113" s="2"/>
      <c r="C113" s="2"/>
      <c r="D113" s="18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15">
      <c r="A114" s="2"/>
      <c r="B114" s="2"/>
      <c r="C114" s="2"/>
      <c r="D114" s="18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15">
      <c r="A115" s="2"/>
      <c r="B115" s="2"/>
      <c r="C115" s="2"/>
      <c r="D115" s="18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15">
      <c r="A116" s="2"/>
      <c r="B116" s="2"/>
      <c r="C116" s="2"/>
      <c r="D116" s="18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15">
      <c r="A117" s="2"/>
      <c r="B117" s="2"/>
      <c r="C117" s="2"/>
      <c r="D117" s="18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15">
      <c r="A118" s="2"/>
      <c r="B118" s="2"/>
      <c r="C118" s="2"/>
      <c r="D118" s="18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15">
      <c r="A119" s="2"/>
      <c r="B119" s="2"/>
      <c r="C119" s="2"/>
      <c r="D119" s="18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15">
      <c r="A120" s="2"/>
      <c r="B120" s="2"/>
      <c r="C120" s="2"/>
      <c r="D120" s="18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15">
      <c r="A121" s="2"/>
      <c r="B121" s="2"/>
      <c r="C121" s="2"/>
      <c r="D121" s="18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15">
      <c r="A122" s="2"/>
      <c r="B122" s="2"/>
      <c r="C122" s="2"/>
      <c r="D122" s="18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15">
      <c r="A123" s="2"/>
      <c r="B123" s="2"/>
      <c r="C123" s="2"/>
      <c r="D123" s="18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15">
      <c r="A124" s="2"/>
      <c r="B124" s="2"/>
      <c r="C124" s="2"/>
      <c r="D124" s="18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15">
      <c r="A125" s="2"/>
      <c r="B125" s="2"/>
      <c r="C125" s="2"/>
      <c r="D125" s="18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15">
      <c r="A126" s="2"/>
      <c r="B126" s="2"/>
      <c r="C126" s="2"/>
      <c r="D126" s="18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15">
      <c r="A127" s="2"/>
      <c r="B127" s="2"/>
      <c r="C127" s="2"/>
      <c r="D127" s="18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15">
      <c r="A128" s="2"/>
      <c r="B128" s="2"/>
      <c r="C128" s="2"/>
      <c r="D128" s="18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15">
      <c r="A129" s="2"/>
      <c r="B129" s="2"/>
      <c r="C129" s="2"/>
      <c r="D129" s="18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15">
      <c r="A130" s="2"/>
      <c r="B130" s="2"/>
      <c r="C130" s="2"/>
      <c r="D130" s="18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15">
      <c r="A131" s="2"/>
      <c r="B131" s="2"/>
      <c r="C131" s="2"/>
      <c r="D131" s="18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15">
      <c r="A132" s="2"/>
      <c r="B132" s="2"/>
      <c r="C132" s="2"/>
      <c r="D132" s="18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15">
      <c r="A133" s="2"/>
      <c r="B133" s="2"/>
      <c r="C133" s="2"/>
      <c r="D133" s="18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15">
      <c r="A134" s="2"/>
      <c r="B134" s="2"/>
      <c r="C134" s="2"/>
      <c r="D134" s="18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15">
      <c r="A135" s="2"/>
      <c r="B135" s="2"/>
      <c r="C135" s="2"/>
      <c r="D135" s="18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15">
      <c r="A136" s="2"/>
      <c r="B136" s="2"/>
      <c r="C136" s="2"/>
      <c r="D136" s="18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15">
      <c r="A137" s="2"/>
      <c r="B137" s="2"/>
      <c r="C137" s="2"/>
      <c r="D137" s="18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15">
      <c r="A138" s="2"/>
      <c r="B138" s="2"/>
      <c r="C138" s="2"/>
      <c r="D138" s="18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15">
      <c r="A139" s="2"/>
      <c r="B139" s="2"/>
      <c r="C139" s="2"/>
      <c r="D139" s="18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15">
      <c r="A140" s="2"/>
      <c r="B140" s="2"/>
      <c r="C140" s="2"/>
      <c r="D140" s="18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15">
      <c r="A141" s="2"/>
      <c r="B141" s="2"/>
      <c r="C141" s="2"/>
      <c r="D141" s="18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15">
      <c r="A142" s="2"/>
      <c r="B142" s="2"/>
      <c r="C142" s="2"/>
      <c r="D142" s="18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15">
      <c r="A143" s="2"/>
      <c r="B143" s="2"/>
      <c r="C143" s="2"/>
      <c r="D143" s="18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15">
      <c r="A144" s="2"/>
      <c r="B144" s="2"/>
      <c r="C144" s="2"/>
      <c r="D144" s="18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15">
      <c r="A145" s="2"/>
      <c r="B145" s="2"/>
      <c r="C145" s="2"/>
      <c r="D145" s="18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15">
      <c r="A146" s="2"/>
      <c r="B146" s="2"/>
      <c r="C146" s="2"/>
      <c r="D146" s="18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15">
      <c r="A147" s="2"/>
      <c r="B147" s="2"/>
      <c r="C147" s="2"/>
      <c r="D147" s="18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15">
      <c r="A148" s="2"/>
      <c r="B148" s="2"/>
      <c r="C148" s="2"/>
      <c r="D148" s="18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15">
      <c r="A149" s="2"/>
      <c r="B149" s="2"/>
      <c r="C149" s="2"/>
      <c r="D149" s="18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15">
      <c r="A150" s="2"/>
      <c r="B150" s="2"/>
      <c r="C150" s="2"/>
      <c r="D150" s="18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15">
      <c r="A151" s="2"/>
      <c r="B151" s="2"/>
      <c r="C151" s="2"/>
      <c r="D151" s="18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15">
      <c r="A152" s="2"/>
      <c r="B152" s="2"/>
      <c r="C152" s="2"/>
      <c r="D152" s="18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15">
      <c r="A153" s="2"/>
      <c r="B153" s="2"/>
      <c r="C153" s="2"/>
      <c r="D153" s="18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15">
      <c r="A154" s="2"/>
      <c r="B154" s="2"/>
      <c r="C154" s="2"/>
      <c r="D154" s="18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15">
      <c r="A155" s="2"/>
      <c r="B155" s="2"/>
      <c r="C155" s="2"/>
      <c r="D155" s="18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15">
      <c r="A156" s="2"/>
      <c r="B156" s="2"/>
      <c r="C156" s="2"/>
      <c r="D156" s="18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15">
      <c r="A157" s="2"/>
      <c r="B157" s="2"/>
      <c r="C157" s="2"/>
      <c r="D157" s="18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15">
      <c r="A158" s="2"/>
      <c r="B158" s="2"/>
      <c r="C158" s="2"/>
      <c r="D158" s="18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15">
      <c r="A159" s="2"/>
      <c r="B159" s="2"/>
      <c r="C159" s="2"/>
      <c r="D159" s="18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15">
      <c r="A160" s="2"/>
      <c r="B160" s="2"/>
      <c r="C160" s="2"/>
      <c r="D160" s="18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15">
      <c r="A161" s="2"/>
      <c r="B161" s="2"/>
      <c r="C161" s="2"/>
      <c r="D161" s="18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15">
      <c r="A162" s="2"/>
      <c r="B162" s="2"/>
      <c r="C162" s="2"/>
      <c r="D162" s="18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15">
      <c r="A163" s="2"/>
      <c r="B163" s="2"/>
      <c r="C163" s="2"/>
      <c r="D163" s="18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15">
      <c r="A164" s="2"/>
      <c r="B164" s="2"/>
      <c r="C164" s="2"/>
      <c r="D164" s="18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15">
      <c r="A165" s="2"/>
      <c r="B165" s="2"/>
      <c r="C165" s="2"/>
      <c r="D165" s="18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15">
      <c r="A166" s="2"/>
      <c r="B166" s="2"/>
      <c r="C166" s="2"/>
      <c r="D166" s="18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15">
      <c r="A167" s="2"/>
      <c r="B167" s="2"/>
      <c r="C167" s="2"/>
      <c r="D167" s="18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15">
      <c r="A168" s="2"/>
      <c r="B168" s="2"/>
      <c r="C168" s="2"/>
      <c r="D168" s="18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15">
      <c r="A169" s="2"/>
      <c r="B169" s="2"/>
      <c r="C169" s="2"/>
      <c r="D169" s="18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15">
      <c r="A170" s="2"/>
      <c r="B170" s="2"/>
      <c r="C170" s="2"/>
      <c r="D170" s="18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15">
      <c r="A171" s="2"/>
      <c r="B171" s="2"/>
      <c r="C171" s="2"/>
      <c r="D171" s="18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15">
      <c r="A172" s="2"/>
      <c r="B172" s="2"/>
      <c r="C172" s="2"/>
      <c r="D172" s="18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15">
      <c r="A173" s="2"/>
      <c r="B173" s="2"/>
      <c r="C173" s="2"/>
      <c r="D173" s="18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15">
      <c r="A174" s="2"/>
      <c r="B174" s="2"/>
      <c r="C174" s="2"/>
      <c r="D174" s="18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15">
      <c r="A175" s="2"/>
      <c r="B175" s="2"/>
      <c r="C175" s="2"/>
      <c r="D175" s="18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15">
      <c r="A176" s="2"/>
      <c r="B176" s="2"/>
      <c r="C176" s="2"/>
      <c r="D176" s="18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15">
      <c r="A177" s="2"/>
      <c r="B177" s="2"/>
      <c r="C177" s="2"/>
      <c r="D177" s="18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15">
      <c r="A178" s="2"/>
      <c r="B178" s="2"/>
      <c r="C178" s="2"/>
      <c r="D178" s="18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15">
      <c r="A179" s="2"/>
      <c r="B179" s="2"/>
      <c r="C179" s="2"/>
      <c r="D179" s="18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15">
      <c r="A180" s="2"/>
      <c r="B180" s="2"/>
      <c r="C180" s="2"/>
      <c r="D180" s="18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15">
      <c r="A181" s="2"/>
      <c r="B181" s="2"/>
      <c r="C181" s="2"/>
      <c r="D181" s="18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15">
      <c r="A182" s="2"/>
      <c r="B182" s="2"/>
      <c r="C182" s="2"/>
      <c r="D182" s="18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15">
      <c r="A183" s="2"/>
      <c r="B183" s="2"/>
      <c r="C183" s="2"/>
      <c r="D183" s="18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15">
      <c r="A184" s="2"/>
      <c r="B184" s="2"/>
      <c r="C184" s="2"/>
      <c r="D184" s="18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15">
      <c r="A185" s="2"/>
      <c r="B185" s="2"/>
      <c r="C185" s="2"/>
      <c r="D185" s="18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15">
      <c r="A186" s="2"/>
      <c r="B186" s="2"/>
      <c r="C186" s="2"/>
      <c r="D186" s="18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15">
      <c r="A187" s="2"/>
      <c r="B187" s="2"/>
      <c r="C187" s="2"/>
      <c r="D187" s="18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15">
      <c r="A188" s="2"/>
      <c r="B188" s="2"/>
      <c r="C188" s="2"/>
      <c r="D188" s="18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15">
      <c r="A189" s="2"/>
      <c r="B189" s="2"/>
      <c r="C189" s="2"/>
      <c r="D189" s="18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15">
      <c r="A190" s="2"/>
      <c r="B190" s="2"/>
      <c r="C190" s="2"/>
      <c r="D190" s="18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15">
      <c r="A191" s="2"/>
      <c r="B191" s="2"/>
      <c r="C191" s="2"/>
      <c r="D191" s="18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15">
      <c r="A192" s="2"/>
      <c r="B192" s="2"/>
      <c r="C192" s="2"/>
      <c r="D192" s="18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15">
      <c r="A193" s="2"/>
      <c r="B193" s="2"/>
      <c r="C193" s="2"/>
      <c r="D193" s="18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15">
      <c r="A194" s="2"/>
      <c r="B194" s="2"/>
      <c r="C194" s="2"/>
      <c r="D194" s="18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15">
      <c r="A195" s="2"/>
      <c r="B195" s="2"/>
      <c r="C195" s="2"/>
      <c r="D195" s="18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15">
      <c r="A196" s="2"/>
      <c r="B196" s="2"/>
      <c r="C196" s="2"/>
      <c r="D196" s="18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15">
      <c r="A197" s="2"/>
      <c r="B197" s="2"/>
      <c r="C197" s="2"/>
      <c r="D197" s="18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15">
      <c r="A198" s="2"/>
      <c r="B198" s="2"/>
      <c r="C198" s="2"/>
      <c r="D198" s="18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15">
      <c r="A199" s="2"/>
      <c r="B199" s="2"/>
      <c r="C199" s="2"/>
      <c r="D199" s="18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15">
      <c r="A200" s="2"/>
      <c r="B200" s="2"/>
      <c r="C200" s="2"/>
      <c r="D200" s="18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15">
      <c r="A201" s="2"/>
      <c r="B201" s="2"/>
      <c r="C201" s="2"/>
      <c r="D201" s="18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15">
      <c r="A202" s="2"/>
      <c r="B202" s="2"/>
      <c r="C202" s="2"/>
      <c r="D202" s="18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15">
      <c r="A203" s="2"/>
      <c r="B203" s="2"/>
      <c r="C203" s="2"/>
      <c r="D203" s="18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15">
      <c r="A204" s="2"/>
      <c r="B204" s="2"/>
      <c r="C204" s="2"/>
      <c r="D204" s="18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15">
      <c r="A205" s="2"/>
      <c r="B205" s="2"/>
      <c r="C205" s="2"/>
      <c r="D205" s="18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15">
      <c r="A206" s="2"/>
      <c r="B206" s="2"/>
      <c r="C206" s="2"/>
      <c r="D206" s="18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15">
      <c r="A207" s="2"/>
      <c r="B207" s="2"/>
      <c r="C207" s="2"/>
      <c r="D207" s="18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15">
      <c r="A208" s="2"/>
      <c r="B208" s="2"/>
      <c r="C208" s="2"/>
      <c r="D208" s="18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15">
      <c r="A209" s="2"/>
      <c r="B209" s="2"/>
      <c r="C209" s="2"/>
      <c r="D209" s="18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15">
      <c r="A210" s="2"/>
      <c r="B210" s="2"/>
      <c r="C210" s="2"/>
      <c r="D210" s="18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15">
      <c r="A211" s="2"/>
      <c r="B211" s="2"/>
      <c r="C211" s="2"/>
      <c r="D211" s="18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15">
      <c r="A212" s="2"/>
      <c r="B212" s="2"/>
      <c r="C212" s="2"/>
      <c r="D212" s="18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15">
      <c r="A213" s="2"/>
      <c r="B213" s="2"/>
      <c r="C213" s="2"/>
      <c r="D213" s="18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15">
      <c r="A214" s="2"/>
      <c r="B214" s="2"/>
      <c r="C214" s="2"/>
      <c r="D214" s="18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15">
      <c r="A215" s="2"/>
      <c r="B215" s="2"/>
      <c r="C215" s="2"/>
      <c r="D215" s="18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15">
      <c r="A216" s="2"/>
      <c r="B216" s="2"/>
      <c r="C216" s="2"/>
      <c r="D216" s="18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15">
      <c r="A217" s="2"/>
      <c r="B217" s="2"/>
      <c r="C217" s="2"/>
      <c r="D217" s="18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15">
      <c r="A218" s="2"/>
      <c r="B218" s="2"/>
      <c r="C218" s="2"/>
      <c r="D218" s="18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15">
      <c r="A219" s="2"/>
      <c r="B219" s="2"/>
      <c r="C219" s="2"/>
      <c r="D219" s="18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15">
      <c r="A220" s="2"/>
      <c r="B220" s="2"/>
      <c r="C220" s="2"/>
      <c r="D220" s="18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15">
      <c r="A221" s="2"/>
      <c r="B221" s="2"/>
      <c r="C221" s="2"/>
      <c r="D221" s="18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15">
      <c r="A222" s="2"/>
      <c r="B222" s="2"/>
      <c r="C222" s="2"/>
      <c r="D222" s="18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15">
      <c r="A223" s="2"/>
      <c r="B223" s="2"/>
      <c r="C223" s="2"/>
      <c r="D223" s="18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15">
      <c r="A224" s="2"/>
      <c r="B224" s="2"/>
      <c r="C224" s="2"/>
      <c r="D224" s="18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15">
      <c r="A225" s="2"/>
      <c r="B225" s="2"/>
      <c r="C225" s="2"/>
      <c r="D225" s="18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15">
      <c r="A226" s="2"/>
      <c r="B226" s="2"/>
      <c r="C226" s="2"/>
      <c r="D226" s="18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15">
      <c r="A227" s="2"/>
      <c r="B227" s="2"/>
      <c r="C227" s="2"/>
      <c r="D227" s="18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15">
      <c r="A228" s="2"/>
      <c r="B228" s="2"/>
      <c r="C228" s="2"/>
      <c r="D228" s="18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15">
      <c r="A229" s="2"/>
      <c r="B229" s="2"/>
      <c r="C229" s="2"/>
      <c r="D229" s="18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15">
      <c r="A230" s="2"/>
      <c r="B230" s="2"/>
      <c r="C230" s="2"/>
      <c r="D230" s="18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15">
      <c r="A231" s="2"/>
      <c r="B231" s="2"/>
      <c r="C231" s="2"/>
      <c r="D231" s="18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15">
      <c r="A232" s="2"/>
      <c r="B232" s="2"/>
      <c r="C232" s="2"/>
      <c r="D232" s="18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15">
      <c r="A233" s="2"/>
      <c r="B233" s="2"/>
      <c r="C233" s="2"/>
      <c r="D233" s="18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15">
      <c r="A234" s="2"/>
      <c r="B234" s="2"/>
      <c r="C234" s="2"/>
      <c r="D234" s="18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15">
      <c r="A235" s="2"/>
      <c r="B235" s="2"/>
      <c r="C235" s="2"/>
      <c r="D235" s="18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15">
      <c r="A236" s="2"/>
      <c r="B236" s="2"/>
      <c r="C236" s="2"/>
      <c r="D236" s="18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15">
      <c r="A237" s="2"/>
      <c r="B237" s="2"/>
      <c r="C237" s="2"/>
      <c r="D237" s="18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15">
      <c r="A238" s="2"/>
      <c r="B238" s="2"/>
      <c r="C238" s="2"/>
      <c r="D238" s="18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15">
      <c r="A239" s="2"/>
      <c r="B239" s="2"/>
      <c r="C239" s="2"/>
      <c r="D239" s="18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15">
      <c r="A240" s="2"/>
      <c r="B240" s="2"/>
      <c r="C240" s="2"/>
      <c r="D240" s="18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15">
      <c r="A241" s="2"/>
      <c r="B241" s="2"/>
      <c r="C241" s="2"/>
      <c r="D241" s="18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15">
      <c r="A242" s="2"/>
      <c r="B242" s="2"/>
      <c r="C242" s="2"/>
      <c r="D242" s="18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15">
      <c r="A243" s="2"/>
      <c r="B243" s="2"/>
      <c r="C243" s="2"/>
      <c r="D243" s="18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15">
      <c r="A244" s="2"/>
      <c r="B244" s="2"/>
      <c r="C244" s="2"/>
      <c r="D244" s="18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15">
      <c r="A245" s="2"/>
      <c r="B245" s="2"/>
      <c r="C245" s="2"/>
      <c r="D245" s="18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15">
      <c r="A246" s="2"/>
      <c r="B246" s="2"/>
      <c r="C246" s="2"/>
      <c r="D246" s="18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15">
      <c r="A247" s="2"/>
      <c r="B247" s="2"/>
      <c r="C247" s="2"/>
      <c r="D247" s="18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15">
      <c r="A248" s="2"/>
      <c r="B248" s="2"/>
      <c r="C248" s="2"/>
      <c r="D248" s="18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15">
      <c r="A249" s="2"/>
      <c r="B249" s="2"/>
      <c r="C249" s="2"/>
      <c r="D249" s="18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15">
      <c r="A250" s="2"/>
      <c r="B250" s="2"/>
      <c r="C250" s="2"/>
      <c r="D250" s="18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15">
      <c r="A251" s="2"/>
      <c r="B251" s="2"/>
      <c r="C251" s="2"/>
      <c r="D251" s="18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15">
      <c r="A252" s="2"/>
      <c r="B252" s="2"/>
      <c r="C252" s="2"/>
      <c r="D252" s="18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15">
      <c r="A253" s="2"/>
      <c r="B253" s="2"/>
      <c r="C253" s="2"/>
      <c r="D253" s="18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15">
      <c r="A254" s="2"/>
      <c r="B254" s="2"/>
      <c r="C254" s="2"/>
      <c r="D254" s="18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15">
      <c r="A255" s="2"/>
      <c r="B255" s="2"/>
      <c r="C255" s="2"/>
      <c r="D255" s="18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15">
      <c r="A256" s="2"/>
      <c r="B256" s="2"/>
      <c r="C256" s="2"/>
      <c r="D256" s="18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15">
      <c r="A257" s="2"/>
      <c r="B257" s="2"/>
      <c r="C257" s="2"/>
      <c r="D257" s="18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15">
      <c r="A258" s="2"/>
      <c r="B258" s="2"/>
      <c r="C258" s="2"/>
      <c r="D258" s="18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15">
      <c r="A259" s="2"/>
      <c r="B259" s="2"/>
      <c r="C259" s="2"/>
      <c r="D259" s="18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15">
      <c r="A260" s="2"/>
      <c r="B260" s="2"/>
      <c r="C260" s="2"/>
      <c r="D260" s="18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15">
      <c r="A261" s="2"/>
      <c r="B261" s="2"/>
      <c r="C261" s="2"/>
      <c r="D261" s="18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15">
      <c r="A262" s="2"/>
      <c r="B262" s="2"/>
      <c r="C262" s="2"/>
      <c r="D262" s="18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15">
      <c r="A263" s="2"/>
      <c r="B263" s="2"/>
      <c r="C263" s="2"/>
      <c r="D263" s="18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15">
      <c r="A264" s="2"/>
      <c r="B264" s="2"/>
      <c r="C264" s="2"/>
      <c r="D264" s="18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15">
      <c r="A265" s="2"/>
      <c r="B265" s="2"/>
      <c r="C265" s="2"/>
      <c r="D265" s="18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15">
      <c r="A266" s="2"/>
      <c r="B266" s="2"/>
      <c r="C266" s="2"/>
      <c r="D266" s="18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15">
      <c r="A267" s="2"/>
      <c r="B267" s="2"/>
      <c r="C267" s="2"/>
      <c r="D267" s="18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15">
      <c r="A268" s="2"/>
      <c r="B268" s="2"/>
      <c r="C268" s="2"/>
      <c r="D268" s="18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15">
      <c r="A269" s="2"/>
      <c r="B269" s="2"/>
      <c r="C269" s="2"/>
      <c r="D269" s="18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15">
      <c r="A270" s="2"/>
      <c r="B270" s="2"/>
      <c r="C270" s="2"/>
      <c r="D270" s="18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15">
      <c r="A271" s="2"/>
      <c r="B271" s="2"/>
      <c r="C271" s="2"/>
      <c r="D271" s="18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15">
      <c r="A272" s="2"/>
      <c r="B272" s="2"/>
      <c r="C272" s="2"/>
      <c r="D272" s="18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15">
      <c r="A273" s="2"/>
      <c r="B273" s="2"/>
      <c r="C273" s="2"/>
      <c r="D273" s="18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15">
      <c r="A274" s="2"/>
      <c r="B274" s="2"/>
      <c r="C274" s="2"/>
      <c r="D274" s="18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15">
      <c r="A275" s="2"/>
      <c r="B275" s="2"/>
      <c r="C275" s="2"/>
      <c r="D275" s="18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15">
      <c r="A276" s="2"/>
      <c r="B276" s="2"/>
      <c r="C276" s="2"/>
      <c r="D276" s="18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15">
      <c r="A277" s="2"/>
      <c r="B277" s="2"/>
      <c r="C277" s="2"/>
      <c r="D277" s="18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15">
      <c r="A278" s="2"/>
      <c r="B278" s="2"/>
      <c r="C278" s="2"/>
      <c r="D278" s="18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15">
      <c r="A279" s="2"/>
      <c r="B279" s="2"/>
      <c r="C279" s="2"/>
      <c r="D279" s="18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15">
      <c r="A280" s="2"/>
      <c r="B280" s="2"/>
      <c r="C280" s="2"/>
      <c r="D280" s="18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15">
      <c r="A281" s="2"/>
      <c r="B281" s="2"/>
      <c r="C281" s="2"/>
      <c r="D281" s="18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15">
      <c r="A282" s="2"/>
      <c r="B282" s="2"/>
      <c r="C282" s="2"/>
      <c r="D282" s="18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15">
      <c r="A283" s="2"/>
      <c r="B283" s="2"/>
      <c r="C283" s="2"/>
      <c r="D283" s="18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15">
      <c r="A284" s="2"/>
      <c r="B284" s="2"/>
      <c r="C284" s="2"/>
      <c r="D284" s="18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15">
      <c r="A285" s="2"/>
      <c r="B285" s="2"/>
      <c r="C285" s="2"/>
      <c r="D285" s="18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15">
      <c r="A286" s="2"/>
      <c r="B286" s="2"/>
      <c r="C286" s="2"/>
      <c r="D286" s="18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15">
      <c r="A287" s="2"/>
      <c r="B287" s="2"/>
      <c r="C287" s="2"/>
      <c r="D287" s="18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15">
      <c r="A288" s="2"/>
      <c r="B288" s="2"/>
      <c r="C288" s="2"/>
      <c r="D288" s="18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15">
      <c r="A289" s="2"/>
      <c r="B289" s="2"/>
      <c r="C289" s="2"/>
      <c r="D289" s="18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15">
      <c r="A290" s="2"/>
      <c r="B290" s="2"/>
      <c r="C290" s="2"/>
      <c r="D290" s="18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15">
      <c r="A291" s="2"/>
      <c r="B291" s="2"/>
      <c r="C291" s="2"/>
      <c r="D291" s="18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15">
      <c r="A292" s="2"/>
      <c r="B292" s="2"/>
      <c r="C292" s="2"/>
      <c r="D292" s="18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15">
      <c r="A293" s="2"/>
      <c r="B293" s="2"/>
      <c r="C293" s="2"/>
      <c r="D293" s="18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15">
      <c r="A294" s="2"/>
      <c r="B294" s="2"/>
      <c r="C294" s="2"/>
      <c r="D294" s="18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15">
      <c r="A295" s="2"/>
      <c r="B295" s="2"/>
      <c r="C295" s="2"/>
      <c r="D295" s="18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15">
      <c r="A296" s="2"/>
      <c r="B296" s="2"/>
      <c r="C296" s="2"/>
      <c r="D296" s="18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15">
      <c r="A297" s="2"/>
      <c r="B297" s="2"/>
      <c r="C297" s="2"/>
      <c r="D297" s="18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15">
      <c r="A298" s="2"/>
      <c r="B298" s="2"/>
      <c r="C298" s="2"/>
      <c r="D298" s="18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15">
      <c r="A299" s="2"/>
      <c r="B299" s="2"/>
      <c r="C299" s="2"/>
      <c r="D299" s="18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15">
      <c r="A300" s="2"/>
      <c r="B300" s="2"/>
      <c r="C300" s="2"/>
      <c r="D300" s="18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15">
      <c r="A301" s="2"/>
      <c r="B301" s="2"/>
      <c r="C301" s="2"/>
      <c r="D301" s="18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15">
      <c r="A302" s="2"/>
      <c r="B302" s="2"/>
      <c r="C302" s="2"/>
      <c r="D302" s="18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15">
      <c r="A303" s="2"/>
      <c r="B303" s="2"/>
      <c r="C303" s="2"/>
      <c r="D303" s="18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15">
      <c r="A304" s="2"/>
      <c r="B304" s="2"/>
      <c r="C304" s="2"/>
      <c r="D304" s="18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15">
      <c r="A305" s="2"/>
      <c r="B305" s="2"/>
      <c r="C305" s="2"/>
      <c r="D305" s="18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15">
      <c r="A306" s="2"/>
      <c r="B306" s="2"/>
      <c r="C306" s="2"/>
      <c r="D306" s="18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15">
      <c r="A307" s="2"/>
      <c r="B307" s="2"/>
      <c r="C307" s="2"/>
      <c r="D307" s="18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15">
      <c r="A308" s="2"/>
      <c r="B308" s="2"/>
      <c r="C308" s="2"/>
      <c r="D308" s="18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15">
      <c r="A309" s="2"/>
      <c r="B309" s="2"/>
      <c r="C309" s="2"/>
      <c r="D309" s="18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15">
      <c r="A310" s="2"/>
      <c r="B310" s="2"/>
      <c r="C310" s="2"/>
      <c r="D310" s="18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15">
      <c r="A311" s="2"/>
      <c r="B311" s="2"/>
      <c r="C311" s="2"/>
      <c r="D311" s="18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15">
      <c r="A312" s="2"/>
      <c r="B312" s="2"/>
      <c r="C312" s="2"/>
      <c r="D312" s="18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15">
      <c r="A313" s="2"/>
      <c r="B313" s="2"/>
      <c r="C313" s="2"/>
      <c r="D313" s="18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15">
      <c r="A314" s="2"/>
      <c r="B314" s="2"/>
      <c r="C314" s="2"/>
      <c r="D314" s="18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15">
      <c r="A315" s="2"/>
      <c r="B315" s="2"/>
      <c r="C315" s="2"/>
      <c r="D315" s="18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15">
      <c r="A316" s="2"/>
      <c r="B316" s="2"/>
      <c r="C316" s="2"/>
      <c r="D316" s="18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15">
      <c r="A317" s="2"/>
      <c r="B317" s="2"/>
      <c r="C317" s="2"/>
      <c r="D317" s="18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15">
      <c r="A318" s="2"/>
      <c r="B318" s="2"/>
      <c r="C318" s="2"/>
      <c r="D318" s="18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15">
      <c r="A319" s="2"/>
      <c r="B319" s="2"/>
      <c r="C319" s="2"/>
      <c r="D319" s="18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15">
      <c r="A320" s="2"/>
      <c r="B320" s="2"/>
      <c r="C320" s="2"/>
      <c r="D320" s="18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15">
      <c r="A321" s="2"/>
      <c r="B321" s="2"/>
      <c r="C321" s="2"/>
      <c r="D321" s="18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15">
      <c r="A322" s="2"/>
      <c r="B322" s="2"/>
      <c r="C322" s="2"/>
      <c r="D322" s="18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15">
      <c r="A323" s="2"/>
      <c r="B323" s="2"/>
      <c r="C323" s="2"/>
      <c r="D323" s="18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15">
      <c r="A324" s="2"/>
      <c r="B324" s="2"/>
      <c r="C324" s="2"/>
      <c r="D324" s="18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15">
      <c r="A325" s="2"/>
      <c r="B325" s="2"/>
      <c r="C325" s="2"/>
      <c r="D325" s="18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15">
      <c r="A326" s="2"/>
      <c r="B326" s="2"/>
      <c r="C326" s="2"/>
      <c r="D326" s="18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15">
      <c r="A327" s="2"/>
      <c r="B327" s="2"/>
      <c r="C327" s="2"/>
      <c r="D327" s="18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15">
      <c r="A328" s="2"/>
      <c r="B328" s="2"/>
      <c r="C328" s="2"/>
      <c r="D328" s="18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15">
      <c r="A329" s="2"/>
      <c r="B329" s="2"/>
      <c r="C329" s="2"/>
      <c r="D329" s="18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15">
      <c r="A330" s="2"/>
      <c r="B330" s="2"/>
      <c r="C330" s="2"/>
      <c r="D330" s="18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15">
      <c r="A331" s="2"/>
      <c r="B331" s="2"/>
      <c r="C331" s="2"/>
      <c r="D331" s="18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15">
      <c r="A332" s="2"/>
      <c r="B332" s="2"/>
      <c r="C332" s="2"/>
      <c r="D332" s="18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15">
      <c r="A333" s="2"/>
      <c r="B333" s="2"/>
      <c r="C333" s="2"/>
      <c r="D333" s="18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15">
      <c r="A334" s="2"/>
      <c r="B334" s="2"/>
      <c r="C334" s="2"/>
      <c r="D334" s="18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15">
      <c r="A335" s="2"/>
      <c r="B335" s="2"/>
      <c r="C335" s="2"/>
      <c r="D335" s="18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15">
      <c r="A336" s="2"/>
      <c r="B336" s="2"/>
      <c r="C336" s="2"/>
      <c r="D336" s="18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15">
      <c r="A337" s="2"/>
      <c r="B337" s="2"/>
      <c r="C337" s="2"/>
      <c r="D337" s="18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15">
      <c r="A338" s="2"/>
      <c r="B338" s="2"/>
      <c r="C338" s="2"/>
      <c r="D338" s="18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15">
      <c r="A339" s="2"/>
      <c r="B339" s="2"/>
      <c r="C339" s="2"/>
      <c r="D339" s="18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15">
      <c r="A340" s="2"/>
      <c r="B340" s="2"/>
      <c r="C340" s="2"/>
      <c r="D340" s="18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15">
      <c r="A341" s="2"/>
      <c r="B341" s="2"/>
      <c r="C341" s="2"/>
      <c r="D341" s="18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15">
      <c r="A342" s="2"/>
      <c r="B342" s="2"/>
      <c r="C342" s="2"/>
      <c r="D342" s="18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15">
      <c r="A343" s="2"/>
      <c r="B343" s="2"/>
      <c r="C343" s="2"/>
      <c r="D343" s="18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15">
      <c r="A344" s="2"/>
      <c r="B344" s="2"/>
      <c r="C344" s="2"/>
      <c r="D344" s="18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15">
      <c r="A345" s="2"/>
      <c r="B345" s="2"/>
      <c r="C345" s="2"/>
      <c r="D345" s="18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15">
      <c r="A346" s="2"/>
      <c r="B346" s="2"/>
      <c r="C346" s="2"/>
      <c r="D346" s="18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15">
      <c r="A347" s="2"/>
      <c r="B347" s="2"/>
      <c r="C347" s="2"/>
      <c r="D347" s="18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15">
      <c r="A348" s="2"/>
      <c r="B348" s="2"/>
      <c r="C348" s="2"/>
      <c r="D348" s="18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15">
      <c r="A349" s="2"/>
      <c r="B349" s="2"/>
      <c r="C349" s="2"/>
      <c r="D349" s="18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15">
      <c r="A350" s="2"/>
      <c r="B350" s="2"/>
      <c r="C350" s="2"/>
      <c r="D350" s="18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15">
      <c r="A351" s="2"/>
      <c r="B351" s="2"/>
      <c r="C351" s="2"/>
      <c r="D351" s="18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15">
      <c r="A352" s="2"/>
      <c r="B352" s="2"/>
      <c r="C352" s="2"/>
      <c r="D352" s="18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15">
      <c r="A353" s="2"/>
      <c r="B353" s="2"/>
      <c r="C353" s="2"/>
      <c r="D353" s="18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15">
      <c r="A354" s="2"/>
      <c r="B354" s="2"/>
      <c r="C354" s="2"/>
      <c r="D354" s="18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15">
      <c r="A355" s="2"/>
      <c r="B355" s="2"/>
      <c r="C355" s="2"/>
      <c r="D355" s="18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15">
      <c r="A356" s="2"/>
      <c r="B356" s="2"/>
      <c r="C356" s="2"/>
      <c r="D356" s="18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15">
      <c r="A357" s="2"/>
      <c r="B357" s="2"/>
      <c r="C357" s="2"/>
      <c r="D357" s="18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15">
      <c r="A358" s="2"/>
      <c r="B358" s="2"/>
      <c r="C358" s="2"/>
      <c r="D358" s="18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15">
      <c r="A359" s="2"/>
      <c r="B359" s="2"/>
      <c r="C359" s="2"/>
      <c r="D359" s="18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15">
      <c r="A360" s="2"/>
      <c r="B360" s="2"/>
      <c r="C360" s="2"/>
      <c r="D360" s="18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15">
      <c r="A361" s="2"/>
      <c r="B361" s="2"/>
      <c r="C361" s="2"/>
      <c r="D361" s="18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15">
      <c r="A362" s="2"/>
      <c r="B362" s="2"/>
      <c r="C362" s="2"/>
      <c r="D362" s="18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15">
      <c r="A363" s="2"/>
      <c r="B363" s="2"/>
      <c r="C363" s="2"/>
      <c r="D363" s="18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15">
      <c r="A364" s="2"/>
      <c r="B364" s="2"/>
      <c r="C364" s="2"/>
      <c r="D364" s="18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15">
      <c r="A365" s="2"/>
      <c r="B365" s="2"/>
      <c r="C365" s="2"/>
      <c r="D365" s="18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15">
      <c r="A366" s="2"/>
      <c r="B366" s="2"/>
      <c r="C366" s="2"/>
      <c r="D366" s="18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15">
      <c r="A367" s="2"/>
      <c r="B367" s="2"/>
      <c r="C367" s="2"/>
      <c r="D367" s="18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15">
      <c r="A368" s="2"/>
      <c r="B368" s="2"/>
      <c r="C368" s="2"/>
      <c r="D368" s="18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15">
      <c r="A369" s="2"/>
      <c r="B369" s="2"/>
      <c r="C369" s="2"/>
      <c r="D369" s="18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15">
      <c r="A370" s="2"/>
      <c r="B370" s="2"/>
      <c r="C370" s="2"/>
      <c r="D370" s="18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15">
      <c r="A371" s="2"/>
      <c r="B371" s="2"/>
      <c r="C371" s="2"/>
      <c r="D371" s="18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15">
      <c r="A372" s="2"/>
      <c r="B372" s="2"/>
      <c r="C372" s="2"/>
      <c r="D372" s="18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15">
      <c r="A373" s="2"/>
      <c r="B373" s="2"/>
      <c r="C373" s="2"/>
      <c r="D373" s="18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15">
      <c r="A374" s="2"/>
      <c r="B374" s="2"/>
      <c r="C374" s="2"/>
      <c r="D374" s="18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15">
      <c r="A375" s="2"/>
      <c r="B375" s="2"/>
      <c r="C375" s="2"/>
      <c r="D375" s="18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15">
      <c r="A376" s="2"/>
      <c r="B376" s="2"/>
      <c r="C376" s="2"/>
      <c r="D376" s="18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15">
      <c r="A377" s="2"/>
      <c r="B377" s="2"/>
      <c r="C377" s="2"/>
      <c r="D377" s="18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15">
      <c r="A378" s="2"/>
      <c r="B378" s="2"/>
      <c r="C378" s="2"/>
      <c r="D378" s="18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15">
      <c r="A379" s="2"/>
      <c r="B379" s="2"/>
      <c r="C379" s="2"/>
      <c r="D379" s="18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15">
      <c r="A380" s="2"/>
      <c r="B380" s="2"/>
      <c r="C380" s="2"/>
      <c r="D380" s="18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15">
      <c r="A381" s="2"/>
      <c r="B381" s="2"/>
      <c r="C381" s="2"/>
      <c r="D381" s="18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15">
      <c r="A382" s="2"/>
      <c r="B382" s="2"/>
      <c r="C382" s="2"/>
      <c r="D382" s="18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15">
      <c r="A383" s="2"/>
      <c r="B383" s="2"/>
      <c r="C383" s="2"/>
      <c r="D383" s="18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15">
      <c r="A384" s="2"/>
      <c r="B384" s="2"/>
      <c r="C384" s="2"/>
      <c r="D384" s="18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15">
      <c r="A385" s="2"/>
      <c r="B385" s="2"/>
      <c r="C385" s="2"/>
      <c r="D385" s="18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15">
      <c r="A386" s="2"/>
      <c r="B386" s="2"/>
      <c r="C386" s="2"/>
      <c r="D386" s="18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15">
      <c r="A387" s="2"/>
      <c r="B387" s="2"/>
      <c r="C387" s="2"/>
      <c r="D387" s="18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15">
      <c r="A388" s="2"/>
      <c r="B388" s="2"/>
      <c r="C388" s="2"/>
      <c r="D388" s="18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15">
      <c r="A389" s="2"/>
      <c r="B389" s="2"/>
      <c r="C389" s="2"/>
      <c r="D389" s="18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15">
      <c r="A390" s="2"/>
      <c r="B390" s="2"/>
      <c r="C390" s="2"/>
      <c r="D390" s="18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15">
      <c r="A391" s="2"/>
      <c r="B391" s="2"/>
      <c r="C391" s="2"/>
      <c r="D391" s="18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15">
      <c r="A392" s="2"/>
      <c r="B392" s="2"/>
      <c r="C392" s="2"/>
      <c r="D392" s="18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15">
      <c r="A393" s="2"/>
      <c r="B393" s="2"/>
      <c r="C393" s="2"/>
      <c r="D393" s="18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15">
      <c r="A394" s="2"/>
      <c r="B394" s="2"/>
      <c r="C394" s="2"/>
      <c r="D394" s="18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15">
      <c r="A395" s="2"/>
      <c r="B395" s="2"/>
      <c r="C395" s="2"/>
      <c r="D395" s="18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15">
      <c r="A396" s="2"/>
      <c r="B396" s="2"/>
      <c r="C396" s="2"/>
      <c r="D396" s="18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15">
      <c r="A397" s="2"/>
      <c r="B397" s="2"/>
      <c r="C397" s="2"/>
      <c r="D397" s="18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15">
      <c r="A398" s="2"/>
      <c r="B398" s="2"/>
      <c r="C398" s="2"/>
      <c r="D398" s="18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15">
      <c r="A399" s="2"/>
      <c r="B399" s="2"/>
      <c r="C399" s="2"/>
      <c r="D399" s="18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15">
      <c r="A400" s="2"/>
      <c r="B400" s="2"/>
      <c r="C400" s="2"/>
      <c r="D400" s="18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15">
      <c r="A401" s="2"/>
      <c r="B401" s="2"/>
      <c r="C401" s="2"/>
      <c r="D401" s="18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15">
      <c r="A402" s="2"/>
      <c r="B402" s="2"/>
      <c r="C402" s="2"/>
      <c r="D402" s="18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15">
      <c r="A403" s="2"/>
      <c r="B403" s="2"/>
      <c r="C403" s="2"/>
      <c r="D403" s="18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15">
      <c r="A404" s="2"/>
      <c r="B404" s="2"/>
      <c r="C404" s="2"/>
      <c r="D404" s="18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15">
      <c r="A405" s="2"/>
      <c r="B405" s="2"/>
      <c r="C405" s="2"/>
      <c r="D405" s="18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15">
      <c r="A406" s="2"/>
      <c r="B406" s="2"/>
      <c r="C406" s="2"/>
      <c r="D406" s="18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15">
      <c r="A407" s="2"/>
      <c r="B407" s="2"/>
      <c r="C407" s="2"/>
      <c r="D407" s="18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15">
      <c r="A408" s="2"/>
      <c r="B408" s="2"/>
      <c r="C408" s="2"/>
      <c r="D408" s="18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15">
      <c r="A409" s="2"/>
      <c r="B409" s="2"/>
      <c r="C409" s="2"/>
      <c r="D409" s="18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15">
      <c r="A410" s="2"/>
      <c r="B410" s="2"/>
      <c r="C410" s="2"/>
      <c r="D410" s="18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15">
      <c r="A411" s="2"/>
      <c r="B411" s="2"/>
      <c r="C411" s="2"/>
      <c r="D411" s="18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15">
      <c r="A412" s="2"/>
      <c r="B412" s="2"/>
      <c r="C412" s="2"/>
      <c r="D412" s="18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15">
      <c r="A413" s="2"/>
      <c r="B413" s="2"/>
      <c r="C413" s="2"/>
      <c r="D413" s="18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15">
      <c r="A414" s="2"/>
      <c r="B414" s="2"/>
      <c r="C414" s="2"/>
      <c r="D414" s="18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15">
      <c r="A415" s="2"/>
      <c r="B415" s="2"/>
      <c r="C415" s="2"/>
      <c r="D415" s="18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15">
      <c r="A416" s="2"/>
      <c r="B416" s="2"/>
      <c r="C416" s="2"/>
      <c r="D416" s="18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15">
      <c r="A417" s="2"/>
      <c r="B417" s="2"/>
      <c r="C417" s="2"/>
      <c r="D417" s="18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15">
      <c r="A418" s="2"/>
      <c r="B418" s="2"/>
      <c r="C418" s="2"/>
      <c r="D418" s="18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15">
      <c r="A419" s="2"/>
      <c r="B419" s="2"/>
      <c r="C419" s="2"/>
      <c r="D419" s="18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15">
      <c r="A420" s="2"/>
      <c r="B420" s="2"/>
      <c r="C420" s="2"/>
      <c r="D420" s="18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15">
      <c r="A421" s="2"/>
      <c r="B421" s="2"/>
      <c r="C421" s="2"/>
      <c r="D421" s="18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15">
      <c r="A422" s="2"/>
      <c r="B422" s="2"/>
      <c r="C422" s="2"/>
      <c r="D422" s="18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15">
      <c r="A423" s="2"/>
      <c r="B423" s="2"/>
      <c r="C423" s="2"/>
      <c r="D423" s="18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15">
      <c r="A424" s="2"/>
      <c r="B424" s="2"/>
      <c r="C424" s="2"/>
      <c r="D424" s="18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15">
      <c r="A425" s="2"/>
      <c r="B425" s="2"/>
      <c r="C425" s="2"/>
      <c r="D425" s="18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15">
      <c r="A426" s="2"/>
      <c r="B426" s="2"/>
      <c r="C426" s="2"/>
      <c r="D426" s="18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15">
      <c r="A427" s="2"/>
      <c r="B427" s="2"/>
      <c r="C427" s="2"/>
      <c r="D427" s="18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15">
      <c r="A428" s="2"/>
      <c r="B428" s="2"/>
      <c r="C428" s="2"/>
      <c r="D428" s="18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15">
      <c r="A429" s="2"/>
      <c r="B429" s="2"/>
      <c r="C429" s="2"/>
      <c r="D429" s="18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15">
      <c r="A430" s="2"/>
      <c r="B430" s="2"/>
      <c r="C430" s="2"/>
      <c r="D430" s="18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15">
      <c r="A431" s="2"/>
      <c r="B431" s="2"/>
      <c r="C431" s="2"/>
      <c r="D431" s="18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15">
      <c r="A432" s="2"/>
      <c r="B432" s="2"/>
      <c r="C432" s="2"/>
      <c r="D432" s="18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15">
      <c r="A433" s="2"/>
      <c r="B433" s="2"/>
      <c r="C433" s="2"/>
      <c r="D433" s="18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15">
      <c r="A434" s="2"/>
      <c r="B434" s="2"/>
      <c r="C434" s="2"/>
      <c r="D434" s="18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15">
      <c r="A435" s="2"/>
      <c r="B435" s="2"/>
      <c r="C435" s="2"/>
      <c r="D435" s="18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15">
      <c r="A436" s="2"/>
      <c r="B436" s="2"/>
      <c r="C436" s="2"/>
      <c r="D436" s="18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15">
      <c r="A437" s="2"/>
      <c r="B437" s="2"/>
      <c r="C437" s="2"/>
      <c r="D437" s="18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15">
      <c r="A438" s="2"/>
      <c r="B438" s="2"/>
      <c r="C438" s="2"/>
      <c r="D438" s="18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15">
      <c r="A439" s="2"/>
      <c r="B439" s="2"/>
      <c r="C439" s="2"/>
      <c r="D439" s="18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15">
      <c r="A440" s="2"/>
      <c r="B440" s="2"/>
      <c r="C440" s="2"/>
      <c r="D440" s="18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15">
      <c r="A441" s="2"/>
      <c r="B441" s="2"/>
      <c r="C441" s="2"/>
      <c r="D441" s="18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15">
      <c r="A442" s="2"/>
      <c r="B442" s="2"/>
      <c r="C442" s="2"/>
      <c r="D442" s="18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15">
      <c r="A443" s="2"/>
      <c r="B443" s="2"/>
      <c r="C443" s="2"/>
      <c r="D443" s="18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15">
      <c r="A444" s="2"/>
      <c r="B444" s="2"/>
      <c r="C444" s="2"/>
      <c r="D444" s="18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15">
      <c r="A445" s="2"/>
      <c r="B445" s="2"/>
      <c r="C445" s="2"/>
      <c r="D445" s="18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15">
      <c r="A446" s="2"/>
      <c r="B446" s="2"/>
      <c r="C446" s="2"/>
      <c r="D446" s="18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15">
      <c r="A447" s="2"/>
      <c r="B447" s="2"/>
      <c r="C447" s="2"/>
      <c r="D447" s="18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15">
      <c r="A448" s="2"/>
      <c r="B448" s="2"/>
      <c r="C448" s="2"/>
      <c r="D448" s="18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15">
      <c r="A449" s="2"/>
      <c r="B449" s="2"/>
      <c r="C449" s="2"/>
      <c r="D449" s="18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15">
      <c r="A450" s="2"/>
      <c r="B450" s="2"/>
      <c r="C450" s="2"/>
      <c r="D450" s="18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15">
      <c r="A451" s="2"/>
      <c r="B451" s="2"/>
      <c r="C451" s="2"/>
      <c r="D451" s="18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15">
      <c r="A452" s="2"/>
      <c r="B452" s="2"/>
      <c r="C452" s="2"/>
      <c r="D452" s="18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15">
      <c r="A453" s="2"/>
      <c r="B453" s="2"/>
      <c r="C453" s="2"/>
      <c r="D453" s="18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15">
      <c r="A454" s="2"/>
      <c r="B454" s="2"/>
      <c r="C454" s="2"/>
      <c r="D454" s="18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15">
      <c r="A455" s="2"/>
      <c r="B455" s="2"/>
      <c r="C455" s="2"/>
      <c r="D455" s="18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15">
      <c r="A456" s="2"/>
      <c r="B456" s="2"/>
      <c r="C456" s="2"/>
      <c r="D456" s="18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15">
      <c r="A457" s="2"/>
      <c r="B457" s="2"/>
      <c r="C457" s="2"/>
      <c r="D457" s="18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15">
      <c r="A458" s="2"/>
      <c r="B458" s="2"/>
      <c r="C458" s="2"/>
      <c r="D458" s="18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15">
      <c r="A459" s="2"/>
      <c r="B459" s="2"/>
      <c r="C459" s="2"/>
      <c r="D459" s="18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15">
      <c r="A460" s="2"/>
      <c r="B460" s="2"/>
      <c r="C460" s="2"/>
      <c r="D460" s="18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15">
      <c r="A461" s="2"/>
      <c r="B461" s="2"/>
      <c r="C461" s="2"/>
      <c r="D461" s="18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15">
      <c r="A462" s="2"/>
      <c r="B462" s="2"/>
      <c r="C462" s="2"/>
      <c r="D462" s="18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15">
      <c r="A463" s="2"/>
      <c r="B463" s="2"/>
      <c r="C463" s="2"/>
      <c r="D463" s="18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15">
      <c r="A464" s="2"/>
      <c r="B464" s="2"/>
      <c r="C464" s="2"/>
      <c r="D464" s="18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15">
      <c r="A465" s="2"/>
      <c r="B465" s="2"/>
      <c r="C465" s="2"/>
      <c r="D465" s="18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15">
      <c r="A466" s="2"/>
      <c r="B466" s="2"/>
      <c r="C466" s="2"/>
      <c r="D466" s="18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15">
      <c r="A467" s="2"/>
      <c r="B467" s="2"/>
      <c r="C467" s="2"/>
      <c r="D467" s="18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15">
      <c r="A468" s="2"/>
      <c r="B468" s="2"/>
      <c r="C468" s="2"/>
      <c r="D468" s="18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15">
      <c r="A469" s="2"/>
      <c r="B469" s="2"/>
      <c r="C469" s="2"/>
      <c r="D469" s="18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15">
      <c r="A470" s="2"/>
      <c r="B470" s="2"/>
      <c r="C470" s="2"/>
      <c r="D470" s="18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15">
      <c r="A471" s="2"/>
      <c r="B471" s="2"/>
      <c r="C471" s="2"/>
      <c r="D471" s="18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15">
      <c r="A472" s="2"/>
      <c r="B472" s="2"/>
      <c r="C472" s="2"/>
      <c r="D472" s="18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15">
      <c r="A473" s="2"/>
      <c r="B473" s="2"/>
      <c r="C473" s="2"/>
      <c r="D473" s="18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15">
      <c r="A474" s="2"/>
      <c r="B474" s="2"/>
      <c r="C474" s="2"/>
      <c r="D474" s="18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15">
      <c r="A475" s="2"/>
      <c r="B475" s="2"/>
      <c r="C475" s="2"/>
      <c r="D475" s="18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15">
      <c r="A476" s="2"/>
      <c r="B476" s="2"/>
      <c r="C476" s="2"/>
      <c r="D476" s="18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15">
      <c r="A477" s="2"/>
      <c r="B477" s="2"/>
      <c r="C477" s="2"/>
      <c r="D477" s="18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15">
      <c r="A478" s="2"/>
      <c r="B478" s="2"/>
      <c r="C478" s="2"/>
      <c r="D478" s="18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15">
      <c r="A479" s="2"/>
      <c r="B479" s="2"/>
      <c r="C479" s="2"/>
      <c r="D479" s="18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15">
      <c r="A480" s="2"/>
      <c r="B480" s="2"/>
      <c r="C480" s="2"/>
      <c r="D480" s="18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15">
      <c r="A481" s="2"/>
      <c r="B481" s="2"/>
      <c r="C481" s="2"/>
      <c r="D481" s="18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15">
      <c r="A482" s="2"/>
      <c r="B482" s="2"/>
      <c r="C482" s="2"/>
      <c r="D482" s="18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15">
      <c r="A483" s="2"/>
      <c r="B483" s="2"/>
      <c r="C483" s="2"/>
      <c r="D483" s="18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15">
      <c r="A484" s="2"/>
      <c r="B484" s="2"/>
      <c r="C484" s="2"/>
      <c r="D484" s="18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15">
      <c r="A485" s="2"/>
      <c r="B485" s="2"/>
      <c r="C485" s="2"/>
      <c r="D485" s="18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15">
      <c r="A486" s="2"/>
      <c r="B486" s="2"/>
      <c r="C486" s="2"/>
      <c r="D486" s="18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15">
      <c r="A487" s="2"/>
      <c r="B487" s="2"/>
      <c r="C487" s="2"/>
      <c r="D487" s="18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15">
      <c r="A488" s="2"/>
      <c r="B488" s="2"/>
      <c r="C488" s="2"/>
      <c r="D488" s="18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15">
      <c r="A489" s="2"/>
      <c r="B489" s="2"/>
      <c r="C489" s="2"/>
      <c r="D489" s="18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15">
      <c r="A490" s="2"/>
      <c r="B490" s="2"/>
      <c r="C490" s="2"/>
      <c r="D490" s="18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15">
      <c r="A491" s="2"/>
      <c r="B491" s="2"/>
      <c r="C491" s="2"/>
      <c r="D491" s="18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15">
      <c r="A492" s="2"/>
      <c r="B492" s="2"/>
      <c r="C492" s="2"/>
      <c r="D492" s="18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15">
      <c r="A493" s="2"/>
      <c r="B493" s="2"/>
      <c r="C493" s="2"/>
      <c r="D493" s="18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15">
      <c r="A494" s="2"/>
      <c r="B494" s="2"/>
      <c r="C494" s="2"/>
      <c r="D494" s="18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15">
      <c r="A495" s="2"/>
      <c r="B495" s="2"/>
      <c r="C495" s="2"/>
      <c r="D495" s="18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15">
      <c r="A496" s="2"/>
      <c r="B496" s="2"/>
      <c r="C496" s="2"/>
      <c r="D496" s="18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15">
      <c r="A497" s="2"/>
      <c r="B497" s="2"/>
      <c r="C497" s="2"/>
      <c r="D497" s="18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15">
      <c r="A498" s="2"/>
      <c r="B498" s="2"/>
      <c r="C498" s="2"/>
      <c r="D498" s="18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15">
      <c r="A499" s="2"/>
      <c r="B499" s="2"/>
      <c r="C499" s="2"/>
      <c r="D499" s="18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15">
      <c r="A500" s="2"/>
      <c r="B500" s="2"/>
      <c r="C500" s="2"/>
      <c r="D500" s="18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15">
      <c r="A501" s="2"/>
      <c r="B501" s="2"/>
      <c r="C501" s="2"/>
      <c r="D501" s="18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15">
      <c r="A502" s="2"/>
      <c r="B502" s="2"/>
      <c r="C502" s="2"/>
      <c r="D502" s="18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15">
      <c r="A503" s="2"/>
      <c r="B503" s="2"/>
      <c r="C503" s="2"/>
      <c r="D503" s="18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15">
      <c r="A504" s="2"/>
      <c r="B504" s="2"/>
      <c r="C504" s="2"/>
      <c r="D504" s="18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15">
      <c r="A505" s="2"/>
      <c r="B505" s="2"/>
      <c r="C505" s="2"/>
      <c r="D505" s="18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15">
      <c r="A506" s="2"/>
      <c r="B506" s="2"/>
      <c r="C506" s="2"/>
      <c r="D506" s="18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15">
      <c r="A507" s="2"/>
      <c r="B507" s="2"/>
      <c r="C507" s="2"/>
      <c r="D507" s="18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15">
      <c r="A508" s="2"/>
      <c r="B508" s="2"/>
      <c r="C508" s="2"/>
      <c r="D508" s="18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15">
      <c r="A509" s="2"/>
      <c r="B509" s="2"/>
      <c r="C509" s="2"/>
      <c r="D509" s="18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15">
      <c r="A510" s="2"/>
      <c r="B510" s="2"/>
      <c r="C510" s="2"/>
      <c r="D510" s="18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15">
      <c r="A511" s="2"/>
      <c r="B511" s="2"/>
      <c r="C511" s="2"/>
      <c r="D511" s="18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15">
      <c r="A512" s="2"/>
      <c r="B512" s="2"/>
      <c r="C512" s="2"/>
      <c r="D512" s="18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15">
      <c r="A513" s="2"/>
      <c r="B513" s="2"/>
      <c r="C513" s="2"/>
      <c r="D513" s="18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15">
      <c r="A514" s="2"/>
      <c r="B514" s="2"/>
      <c r="C514" s="2"/>
      <c r="D514" s="18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15">
      <c r="A515" s="2"/>
      <c r="B515" s="2"/>
      <c r="C515" s="2"/>
      <c r="D515" s="18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15">
      <c r="A516" s="2"/>
      <c r="B516" s="2"/>
      <c r="C516" s="2"/>
      <c r="D516" s="18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15">
      <c r="A517" s="2"/>
      <c r="B517" s="2"/>
      <c r="C517" s="2"/>
      <c r="D517" s="18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15">
      <c r="A518" s="2"/>
      <c r="B518" s="2"/>
      <c r="C518" s="2"/>
      <c r="D518" s="18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15">
      <c r="A519" s="2"/>
      <c r="B519" s="2"/>
      <c r="C519" s="2"/>
      <c r="D519" s="18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15">
      <c r="A520" s="2"/>
      <c r="B520" s="2"/>
      <c r="C520" s="2"/>
      <c r="D520" s="18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15">
      <c r="A521" s="2"/>
      <c r="B521" s="2"/>
      <c r="C521" s="2"/>
      <c r="D521" s="18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15">
      <c r="A522" s="2"/>
      <c r="B522" s="2"/>
      <c r="C522" s="2"/>
      <c r="D522" s="18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15">
      <c r="A523" s="2"/>
      <c r="B523" s="2"/>
      <c r="C523" s="2"/>
      <c r="D523" s="18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15">
      <c r="A524" s="2"/>
      <c r="B524" s="2"/>
      <c r="C524" s="2"/>
      <c r="D524" s="18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15">
      <c r="A525" s="2"/>
      <c r="B525" s="2"/>
      <c r="C525" s="2"/>
      <c r="D525" s="18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15">
      <c r="A526" s="2"/>
      <c r="B526" s="2"/>
      <c r="C526" s="2"/>
      <c r="D526" s="18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15">
      <c r="A527" s="2"/>
      <c r="B527" s="2"/>
      <c r="C527" s="2"/>
      <c r="D527" s="18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15">
      <c r="A528" s="2"/>
      <c r="B528" s="2"/>
      <c r="C528" s="2"/>
      <c r="D528" s="18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15">
      <c r="A529" s="2"/>
      <c r="B529" s="2"/>
      <c r="C529" s="2"/>
      <c r="D529" s="18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15">
      <c r="A530" s="2"/>
      <c r="B530" s="2"/>
      <c r="C530" s="2"/>
      <c r="D530" s="18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15">
      <c r="A531" s="2"/>
      <c r="B531" s="2"/>
      <c r="C531" s="2"/>
      <c r="D531" s="18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15">
      <c r="A532" s="2"/>
      <c r="B532" s="2"/>
      <c r="C532" s="2"/>
      <c r="D532" s="18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15">
      <c r="A533" s="2"/>
      <c r="B533" s="2"/>
      <c r="C533" s="2"/>
      <c r="D533" s="18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15">
      <c r="A534" s="2"/>
      <c r="B534" s="2"/>
      <c r="C534" s="2"/>
      <c r="D534" s="18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15">
      <c r="A535" s="2"/>
      <c r="B535" s="2"/>
      <c r="C535" s="2"/>
      <c r="D535" s="18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15">
      <c r="A536" s="2"/>
      <c r="B536" s="2"/>
      <c r="C536" s="2"/>
      <c r="D536" s="18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15">
      <c r="A537" s="2"/>
      <c r="B537" s="2"/>
      <c r="C537" s="2"/>
      <c r="D537" s="18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15">
      <c r="A538" s="2"/>
      <c r="B538" s="2"/>
      <c r="C538" s="2"/>
      <c r="D538" s="18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15">
      <c r="A539" s="2"/>
      <c r="B539" s="2"/>
      <c r="C539" s="2"/>
      <c r="D539" s="18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15">
      <c r="A540" s="2"/>
      <c r="B540" s="2"/>
      <c r="C540" s="2"/>
      <c r="D540" s="18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15">
      <c r="A541" s="2"/>
      <c r="B541" s="2"/>
      <c r="C541" s="2"/>
      <c r="D541" s="18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15">
      <c r="A542" s="2"/>
      <c r="B542" s="2"/>
      <c r="C542" s="2"/>
      <c r="D542" s="18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15">
      <c r="A543" s="2"/>
      <c r="B543" s="2"/>
      <c r="C543" s="2"/>
      <c r="D543" s="18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15">
      <c r="A544" s="2"/>
      <c r="B544" s="2"/>
      <c r="C544" s="2"/>
      <c r="D544" s="18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15">
      <c r="A545" s="2"/>
      <c r="B545" s="2"/>
      <c r="C545" s="2"/>
      <c r="D545" s="18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15">
      <c r="A546" s="2"/>
      <c r="B546" s="2"/>
      <c r="C546" s="2"/>
      <c r="D546" s="18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15">
      <c r="A547" s="2"/>
      <c r="B547" s="2"/>
      <c r="C547" s="2"/>
      <c r="D547" s="18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15">
      <c r="A548" s="2"/>
      <c r="B548" s="2"/>
      <c r="C548" s="2"/>
      <c r="D548" s="18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15">
      <c r="A549" s="2"/>
      <c r="B549" s="2"/>
      <c r="C549" s="2"/>
      <c r="D549" s="18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15">
      <c r="A550" s="2"/>
      <c r="B550" s="2"/>
      <c r="C550" s="2"/>
      <c r="D550" s="18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15">
      <c r="A551" s="2"/>
      <c r="B551" s="2"/>
      <c r="C551" s="2"/>
      <c r="D551" s="18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15">
      <c r="A552" s="2"/>
      <c r="B552" s="2"/>
      <c r="C552" s="2"/>
      <c r="D552" s="18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15">
      <c r="A553" s="2"/>
      <c r="B553" s="2"/>
      <c r="C553" s="2"/>
      <c r="D553" s="18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15">
      <c r="A554" s="2"/>
      <c r="B554" s="2"/>
      <c r="C554" s="2"/>
      <c r="D554" s="18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15">
      <c r="A555" s="2"/>
      <c r="B555" s="2"/>
      <c r="C555" s="2"/>
      <c r="D555" s="18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15">
      <c r="A556" s="2"/>
      <c r="B556" s="2"/>
      <c r="C556" s="2"/>
      <c r="D556" s="18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15">
      <c r="A557" s="2"/>
      <c r="B557" s="2"/>
      <c r="C557" s="2"/>
      <c r="D557" s="18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15">
      <c r="A558" s="2"/>
      <c r="B558" s="2"/>
      <c r="C558" s="2"/>
      <c r="D558" s="18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15">
      <c r="A559" s="2"/>
      <c r="B559" s="2"/>
      <c r="C559" s="2"/>
      <c r="D559" s="18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15">
      <c r="A560" s="2"/>
      <c r="B560" s="2"/>
      <c r="C560" s="2"/>
      <c r="D560" s="18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15">
      <c r="A561" s="2"/>
      <c r="B561" s="2"/>
      <c r="C561" s="2"/>
      <c r="D561" s="18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15">
      <c r="A562" s="2"/>
      <c r="B562" s="2"/>
      <c r="C562" s="2"/>
      <c r="D562" s="18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15">
      <c r="A563" s="2"/>
      <c r="B563" s="2"/>
      <c r="C563" s="2"/>
      <c r="D563" s="18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15">
      <c r="A564" s="2"/>
      <c r="B564" s="2"/>
      <c r="C564" s="2"/>
      <c r="D564" s="18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15">
      <c r="A565" s="2"/>
      <c r="B565" s="2"/>
      <c r="C565" s="2"/>
      <c r="D565" s="18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15">
      <c r="A566" s="2"/>
      <c r="B566" s="2"/>
      <c r="C566" s="2"/>
      <c r="D566" s="18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15">
      <c r="A567" s="2"/>
      <c r="B567" s="2"/>
      <c r="C567" s="2"/>
      <c r="D567" s="18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15">
      <c r="A568" s="2"/>
      <c r="B568" s="2"/>
      <c r="C568" s="2"/>
      <c r="D568" s="18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15">
      <c r="A569" s="2"/>
      <c r="B569" s="2"/>
      <c r="C569" s="2"/>
      <c r="D569" s="18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15">
      <c r="A570" s="2"/>
      <c r="B570" s="2"/>
      <c r="C570" s="2"/>
      <c r="D570" s="18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15">
      <c r="A571" s="2"/>
      <c r="B571" s="2"/>
      <c r="C571" s="2"/>
      <c r="D571" s="18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15">
      <c r="A572" s="2"/>
      <c r="B572" s="2"/>
      <c r="C572" s="2"/>
      <c r="D572" s="18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15">
      <c r="A573" s="2"/>
      <c r="B573" s="2"/>
      <c r="C573" s="2"/>
      <c r="D573" s="18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15">
      <c r="A574" s="2"/>
      <c r="B574" s="2"/>
      <c r="C574" s="2"/>
      <c r="D574" s="18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15">
      <c r="A575" s="2"/>
      <c r="B575" s="2"/>
      <c r="C575" s="2"/>
      <c r="D575" s="18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15">
      <c r="A576" s="2"/>
      <c r="B576" s="2"/>
      <c r="C576" s="2"/>
      <c r="D576" s="18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15">
      <c r="A577" s="2"/>
      <c r="B577" s="2"/>
      <c r="C577" s="2"/>
      <c r="D577" s="18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15">
      <c r="A578" s="2"/>
      <c r="B578" s="2"/>
      <c r="C578" s="2"/>
      <c r="D578" s="18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15">
      <c r="A579" s="2"/>
      <c r="B579" s="2"/>
      <c r="C579" s="2"/>
      <c r="D579" s="18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15">
      <c r="A580" s="2"/>
      <c r="B580" s="2"/>
      <c r="C580" s="2"/>
      <c r="D580" s="18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15">
      <c r="A581" s="2"/>
      <c r="B581" s="2"/>
      <c r="C581" s="2"/>
      <c r="D581" s="18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15">
      <c r="A582" s="2"/>
      <c r="B582" s="2"/>
      <c r="C582" s="2"/>
      <c r="D582" s="18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15">
      <c r="A583" s="2"/>
      <c r="B583" s="2"/>
      <c r="C583" s="2"/>
      <c r="D583" s="18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15">
      <c r="A584" s="2"/>
      <c r="B584" s="2"/>
      <c r="C584" s="2"/>
      <c r="D584" s="18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15">
      <c r="A585" s="2"/>
      <c r="B585" s="2"/>
      <c r="C585" s="2"/>
      <c r="D585" s="18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15">
      <c r="A586" s="2"/>
      <c r="B586" s="2"/>
      <c r="C586" s="2"/>
      <c r="D586" s="18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15">
      <c r="A587" s="2"/>
      <c r="B587" s="2"/>
      <c r="C587" s="2"/>
      <c r="D587" s="18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15">
      <c r="A588" s="2"/>
      <c r="B588" s="2"/>
      <c r="C588" s="2"/>
      <c r="D588" s="18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15">
      <c r="A589" s="2"/>
      <c r="B589" s="2"/>
      <c r="C589" s="2"/>
      <c r="D589" s="18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15">
      <c r="A590" s="2"/>
      <c r="B590" s="2"/>
      <c r="C590" s="2"/>
      <c r="D590" s="18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15">
      <c r="A591" s="2"/>
      <c r="B591" s="2"/>
      <c r="C591" s="2"/>
      <c r="D591" s="18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15">
      <c r="A592" s="2"/>
      <c r="B592" s="2"/>
      <c r="C592" s="2"/>
      <c r="D592" s="18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15">
      <c r="A593" s="2"/>
      <c r="B593" s="2"/>
      <c r="C593" s="2"/>
      <c r="D593" s="18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15">
      <c r="A594" s="2"/>
      <c r="B594" s="2"/>
      <c r="C594" s="2"/>
      <c r="D594" s="18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15">
      <c r="A595" s="2"/>
      <c r="B595" s="2"/>
      <c r="C595" s="2"/>
      <c r="D595" s="18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15">
      <c r="A596" s="2"/>
      <c r="B596" s="2"/>
      <c r="C596" s="2"/>
      <c r="D596" s="18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15">
      <c r="A597" s="2"/>
      <c r="B597" s="2"/>
      <c r="C597" s="2"/>
      <c r="D597" s="18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15">
      <c r="A598" s="2"/>
      <c r="B598" s="2"/>
      <c r="C598" s="2"/>
      <c r="D598" s="18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15">
      <c r="A599" s="2"/>
      <c r="B599" s="2"/>
      <c r="C599" s="2"/>
      <c r="D599" s="18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15">
      <c r="A600" s="2"/>
      <c r="B600" s="2"/>
      <c r="C600" s="2"/>
      <c r="D600" s="18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15">
      <c r="A601" s="2"/>
      <c r="B601" s="2"/>
      <c r="C601" s="2"/>
      <c r="D601" s="18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15">
      <c r="A602" s="2"/>
      <c r="B602" s="2"/>
      <c r="C602" s="2"/>
      <c r="D602" s="18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15">
      <c r="A603" s="2"/>
      <c r="B603" s="2"/>
      <c r="C603" s="2"/>
      <c r="D603" s="18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15">
      <c r="A604" s="2"/>
      <c r="B604" s="2"/>
      <c r="C604" s="2"/>
      <c r="D604" s="18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15">
      <c r="A605" s="2"/>
      <c r="B605" s="2"/>
      <c r="C605" s="2"/>
      <c r="D605" s="18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15">
      <c r="A606" s="2"/>
      <c r="B606" s="2"/>
      <c r="C606" s="2"/>
      <c r="D606" s="18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15">
      <c r="A607" s="2"/>
      <c r="B607" s="2"/>
      <c r="C607" s="2"/>
      <c r="D607" s="18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15">
      <c r="A608" s="2"/>
      <c r="B608" s="2"/>
      <c r="C608" s="2"/>
      <c r="D608" s="18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15">
      <c r="A609" s="2"/>
      <c r="B609" s="2"/>
      <c r="C609" s="2"/>
      <c r="D609" s="18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15">
      <c r="A610" s="2"/>
      <c r="B610" s="2"/>
      <c r="C610" s="2"/>
      <c r="D610" s="18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15">
      <c r="A611" s="2"/>
      <c r="B611" s="2"/>
      <c r="C611" s="2"/>
      <c r="D611" s="18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15">
      <c r="A612" s="2"/>
      <c r="B612" s="2"/>
      <c r="C612" s="2"/>
      <c r="D612" s="18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15">
      <c r="A613" s="2"/>
      <c r="B613" s="2"/>
      <c r="C613" s="2"/>
      <c r="D613" s="18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15">
      <c r="A614" s="2"/>
      <c r="B614" s="2"/>
      <c r="C614" s="2"/>
      <c r="D614" s="18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15">
      <c r="A615" s="2"/>
      <c r="B615" s="2"/>
      <c r="C615" s="2"/>
      <c r="D615" s="18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15">
      <c r="A616" s="2"/>
      <c r="B616" s="2"/>
      <c r="C616" s="2"/>
      <c r="D616" s="18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15">
      <c r="A617" s="2"/>
      <c r="B617" s="2"/>
      <c r="C617" s="2"/>
      <c r="D617" s="18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15">
      <c r="A618" s="2"/>
      <c r="B618" s="2"/>
      <c r="C618" s="2"/>
      <c r="D618" s="18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15">
      <c r="A619" s="2"/>
      <c r="B619" s="2"/>
      <c r="C619" s="2"/>
      <c r="D619" s="18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15">
      <c r="A620" s="2"/>
      <c r="B620" s="2"/>
      <c r="C620" s="2"/>
      <c r="D620" s="18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15">
      <c r="A621" s="2"/>
      <c r="B621" s="2"/>
      <c r="C621" s="2"/>
      <c r="D621" s="18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15">
      <c r="A622" s="2"/>
      <c r="B622" s="2"/>
      <c r="C622" s="2"/>
      <c r="D622" s="18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15">
      <c r="A623" s="2"/>
      <c r="B623" s="2"/>
      <c r="C623" s="2"/>
      <c r="D623" s="18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15">
      <c r="A624" s="2"/>
      <c r="B624" s="2"/>
      <c r="C624" s="2"/>
      <c r="D624" s="18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15">
      <c r="A625" s="2"/>
      <c r="B625" s="2"/>
      <c r="C625" s="2"/>
      <c r="D625" s="18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15">
      <c r="A626" s="2"/>
      <c r="B626" s="2"/>
      <c r="C626" s="2"/>
      <c r="D626" s="18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15">
      <c r="A627" s="2"/>
      <c r="B627" s="2"/>
      <c r="C627" s="2"/>
      <c r="D627" s="18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15">
      <c r="A628" s="2"/>
      <c r="B628" s="2"/>
      <c r="C628" s="2"/>
      <c r="D628" s="18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15">
      <c r="A629" s="2"/>
      <c r="B629" s="2"/>
      <c r="C629" s="2"/>
      <c r="D629" s="18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15">
      <c r="A630" s="2"/>
      <c r="B630" s="2"/>
      <c r="C630" s="2"/>
      <c r="D630" s="18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15">
      <c r="A631" s="2"/>
      <c r="B631" s="2"/>
      <c r="C631" s="2"/>
      <c r="D631" s="18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15">
      <c r="A632" s="2"/>
      <c r="B632" s="2"/>
      <c r="C632" s="2"/>
      <c r="D632" s="18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15">
      <c r="A633" s="2"/>
      <c r="B633" s="2"/>
      <c r="C633" s="2"/>
      <c r="D633" s="18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15">
      <c r="A634" s="2"/>
      <c r="B634" s="2"/>
      <c r="C634" s="2"/>
      <c r="D634" s="18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15">
      <c r="A635" s="2"/>
      <c r="B635" s="2"/>
      <c r="C635" s="2"/>
      <c r="D635" s="18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15">
      <c r="A636" s="2"/>
      <c r="B636" s="2"/>
      <c r="C636" s="2"/>
      <c r="D636" s="18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15">
      <c r="A637" s="2"/>
      <c r="B637" s="2"/>
      <c r="C637" s="2"/>
      <c r="D637" s="18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15">
      <c r="A638" s="2"/>
      <c r="B638" s="2"/>
      <c r="C638" s="2"/>
      <c r="D638" s="18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15">
      <c r="A639" s="2"/>
      <c r="B639" s="2"/>
      <c r="C639" s="2"/>
      <c r="D639" s="18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15">
      <c r="A640" s="2"/>
      <c r="B640" s="2"/>
      <c r="C640" s="2"/>
      <c r="D640" s="18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15">
      <c r="A641" s="2"/>
      <c r="B641" s="2"/>
      <c r="C641" s="2"/>
      <c r="D641" s="18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15">
      <c r="A642" s="2"/>
      <c r="B642" s="2"/>
      <c r="C642" s="2"/>
      <c r="D642" s="18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15">
      <c r="A643" s="2"/>
      <c r="B643" s="2"/>
      <c r="C643" s="2"/>
      <c r="D643" s="18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15">
      <c r="A644" s="2"/>
      <c r="B644" s="2"/>
      <c r="C644" s="2"/>
      <c r="D644" s="18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15">
      <c r="A645" s="2"/>
      <c r="B645" s="2"/>
      <c r="C645" s="2"/>
      <c r="D645" s="18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15">
      <c r="A646" s="2"/>
      <c r="B646" s="2"/>
      <c r="C646" s="2"/>
      <c r="D646" s="18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15">
      <c r="A647" s="2"/>
      <c r="B647" s="2"/>
      <c r="C647" s="2"/>
      <c r="D647" s="18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15">
      <c r="A648" s="2"/>
      <c r="B648" s="2"/>
      <c r="C648" s="2"/>
      <c r="D648" s="18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15">
      <c r="A649" s="2"/>
      <c r="B649" s="2"/>
      <c r="C649" s="2"/>
      <c r="D649" s="18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15">
      <c r="A650" s="2"/>
      <c r="B650" s="2"/>
      <c r="C650" s="2"/>
      <c r="D650" s="18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15">
      <c r="A651" s="2"/>
      <c r="B651" s="2"/>
      <c r="C651" s="2"/>
      <c r="D651" s="18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15">
      <c r="A652" s="2"/>
      <c r="B652" s="2"/>
      <c r="C652" s="2"/>
      <c r="D652" s="18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15">
      <c r="A653" s="2"/>
      <c r="B653" s="2"/>
      <c r="C653" s="2"/>
      <c r="D653" s="18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15">
      <c r="A654" s="2"/>
      <c r="B654" s="2"/>
      <c r="C654" s="2"/>
      <c r="D654" s="18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15">
      <c r="A655" s="2"/>
      <c r="B655" s="2"/>
      <c r="C655" s="2"/>
      <c r="D655" s="18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15">
      <c r="A656" s="2"/>
      <c r="B656" s="2"/>
      <c r="C656" s="2"/>
      <c r="D656" s="18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15">
      <c r="A657" s="2"/>
      <c r="B657" s="2"/>
      <c r="C657" s="2"/>
      <c r="D657" s="18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15">
      <c r="A658" s="2"/>
      <c r="B658" s="2"/>
      <c r="C658" s="2"/>
      <c r="D658" s="18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15">
      <c r="A659" s="2"/>
      <c r="B659" s="2"/>
      <c r="C659" s="2"/>
      <c r="D659" s="18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15">
      <c r="A660" s="2"/>
      <c r="B660" s="2"/>
      <c r="C660" s="2"/>
      <c r="D660" s="18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15">
      <c r="A661" s="2"/>
      <c r="B661" s="2"/>
      <c r="C661" s="2"/>
      <c r="D661" s="18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15">
      <c r="A662" s="2"/>
      <c r="B662" s="2"/>
      <c r="C662" s="2"/>
      <c r="D662" s="18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15">
      <c r="A663" s="2"/>
      <c r="B663" s="2"/>
      <c r="C663" s="2"/>
      <c r="D663" s="18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15">
      <c r="A664" s="2"/>
      <c r="B664" s="2"/>
      <c r="C664" s="2"/>
      <c r="D664" s="18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15">
      <c r="A665" s="2"/>
      <c r="B665" s="2"/>
      <c r="C665" s="2"/>
      <c r="D665" s="18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15">
      <c r="A666" s="2"/>
      <c r="B666" s="2"/>
      <c r="C666" s="2"/>
      <c r="D666" s="18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15">
      <c r="A667" s="2"/>
      <c r="B667" s="2"/>
      <c r="C667" s="2"/>
      <c r="D667" s="18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15">
      <c r="A668" s="2"/>
      <c r="B668" s="2"/>
      <c r="C668" s="2"/>
      <c r="D668" s="18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15">
      <c r="A669" s="2"/>
      <c r="B669" s="2"/>
      <c r="C669" s="2"/>
      <c r="D669" s="18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15">
      <c r="A670" s="2"/>
      <c r="B670" s="2"/>
      <c r="C670" s="2"/>
      <c r="D670" s="18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15">
      <c r="A671" s="2"/>
      <c r="B671" s="2"/>
      <c r="C671" s="2"/>
      <c r="D671" s="18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15">
      <c r="A672" s="2"/>
      <c r="B672" s="2"/>
      <c r="C672" s="2"/>
      <c r="D672" s="18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15">
      <c r="A673" s="2"/>
      <c r="B673" s="2"/>
      <c r="C673" s="2"/>
      <c r="D673" s="18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15">
      <c r="A674" s="2"/>
      <c r="B674" s="2"/>
      <c r="C674" s="2"/>
      <c r="D674" s="18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15">
      <c r="A675" s="2"/>
      <c r="B675" s="2"/>
      <c r="C675" s="2"/>
      <c r="D675" s="18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15">
      <c r="A676" s="2"/>
      <c r="B676" s="2"/>
      <c r="C676" s="2"/>
      <c r="D676" s="18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15">
      <c r="A677" s="2"/>
      <c r="B677" s="2"/>
      <c r="C677" s="2"/>
      <c r="D677" s="18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15">
      <c r="A678" s="2"/>
      <c r="B678" s="2"/>
      <c r="C678" s="2"/>
      <c r="D678" s="18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15">
      <c r="A679" s="2"/>
      <c r="B679" s="2"/>
      <c r="C679" s="2"/>
      <c r="D679" s="18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15">
      <c r="A680" s="2"/>
      <c r="B680" s="2"/>
      <c r="C680" s="2"/>
      <c r="D680" s="18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15">
      <c r="A681" s="2"/>
      <c r="B681" s="2"/>
      <c r="C681" s="2"/>
      <c r="D681" s="18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15">
      <c r="A682" s="2"/>
      <c r="B682" s="2"/>
      <c r="C682" s="2"/>
      <c r="D682" s="18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15">
      <c r="A683" s="2"/>
      <c r="B683" s="2"/>
      <c r="C683" s="2"/>
      <c r="D683" s="18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15">
      <c r="A684" s="2"/>
      <c r="B684" s="2"/>
      <c r="C684" s="2"/>
      <c r="D684" s="18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15">
      <c r="A685" s="2"/>
      <c r="B685" s="2"/>
      <c r="C685" s="2"/>
      <c r="D685" s="18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15">
      <c r="A686" s="2"/>
      <c r="B686" s="2"/>
      <c r="C686" s="2"/>
      <c r="D686" s="18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15">
      <c r="A687" s="2"/>
      <c r="B687" s="2"/>
      <c r="C687" s="2"/>
      <c r="D687" s="18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15">
      <c r="A688" s="2"/>
      <c r="B688" s="2"/>
      <c r="C688" s="2"/>
      <c r="D688" s="18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15">
      <c r="A689" s="2"/>
      <c r="B689" s="2"/>
      <c r="C689" s="2"/>
      <c r="D689" s="18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15">
      <c r="A690" s="2"/>
      <c r="B690" s="2"/>
      <c r="C690" s="2"/>
      <c r="D690" s="18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15">
      <c r="A691" s="2"/>
      <c r="B691" s="2"/>
      <c r="C691" s="2"/>
      <c r="D691" s="18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15">
      <c r="A692" s="2"/>
      <c r="B692" s="2"/>
      <c r="C692" s="2"/>
      <c r="D692" s="18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15">
      <c r="A693" s="2"/>
      <c r="B693" s="2"/>
      <c r="C693" s="2"/>
      <c r="D693" s="18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15">
      <c r="A694" s="2"/>
      <c r="B694" s="2"/>
      <c r="C694" s="2"/>
      <c r="D694" s="18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15">
      <c r="A695" s="2"/>
      <c r="B695" s="2"/>
      <c r="C695" s="2"/>
      <c r="D695" s="18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15">
      <c r="A696" s="2"/>
      <c r="B696" s="2"/>
      <c r="C696" s="2"/>
      <c r="D696" s="18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15">
      <c r="A697" s="2"/>
      <c r="B697" s="2"/>
      <c r="C697" s="2"/>
      <c r="D697" s="18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15">
      <c r="A698" s="2"/>
      <c r="B698" s="2"/>
      <c r="C698" s="2"/>
      <c r="D698" s="18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15">
      <c r="A699" s="2"/>
      <c r="B699" s="2"/>
      <c r="C699" s="2"/>
      <c r="D699" s="18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15">
      <c r="A700" s="2"/>
      <c r="B700" s="2"/>
      <c r="C700" s="2"/>
      <c r="D700" s="18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15">
      <c r="A701" s="2"/>
      <c r="B701" s="2"/>
      <c r="C701" s="2"/>
      <c r="D701" s="18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15">
      <c r="A702" s="2"/>
      <c r="B702" s="2"/>
      <c r="C702" s="2"/>
      <c r="D702" s="18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15">
      <c r="A703" s="2"/>
      <c r="B703" s="2"/>
      <c r="C703" s="2"/>
      <c r="D703" s="18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15">
      <c r="A704" s="2"/>
      <c r="B704" s="2"/>
      <c r="C704" s="2"/>
      <c r="D704" s="18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15">
      <c r="A705" s="2"/>
      <c r="B705" s="2"/>
      <c r="C705" s="2"/>
      <c r="D705" s="18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15">
      <c r="A706" s="2"/>
      <c r="B706" s="2"/>
      <c r="C706" s="2"/>
      <c r="D706" s="18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15">
      <c r="A707" s="2"/>
      <c r="B707" s="2"/>
      <c r="C707" s="2"/>
      <c r="D707" s="18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15">
      <c r="A708" s="2"/>
      <c r="B708" s="2"/>
      <c r="C708" s="2"/>
      <c r="D708" s="18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15">
      <c r="A709" s="2"/>
      <c r="B709" s="2"/>
      <c r="C709" s="2"/>
      <c r="D709" s="18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15">
      <c r="A710" s="2"/>
      <c r="B710" s="2"/>
      <c r="C710" s="2"/>
      <c r="D710" s="18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15">
      <c r="A711" s="2"/>
      <c r="B711" s="2"/>
      <c r="C711" s="2"/>
      <c r="D711" s="18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15">
      <c r="A712" s="2"/>
      <c r="B712" s="2"/>
      <c r="C712" s="2"/>
      <c r="D712" s="18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15">
      <c r="A713" s="2"/>
      <c r="B713" s="2"/>
      <c r="C713" s="2"/>
      <c r="D713" s="18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15">
      <c r="A714" s="2"/>
      <c r="B714" s="2"/>
      <c r="C714" s="2"/>
      <c r="D714" s="18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15">
      <c r="A715" s="2"/>
      <c r="B715" s="2"/>
      <c r="C715" s="2"/>
      <c r="D715" s="18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15">
      <c r="A716" s="2"/>
      <c r="B716" s="2"/>
      <c r="C716" s="2"/>
      <c r="D716" s="18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15">
      <c r="A717" s="2"/>
      <c r="B717" s="2"/>
      <c r="C717" s="2"/>
      <c r="D717" s="18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15">
      <c r="A718" s="2"/>
      <c r="B718" s="2"/>
      <c r="C718" s="2"/>
      <c r="D718" s="18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15">
      <c r="A719" s="2"/>
      <c r="B719" s="2"/>
      <c r="C719" s="2"/>
      <c r="D719" s="18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15">
      <c r="A720" s="2"/>
      <c r="B720" s="2"/>
      <c r="C720" s="2"/>
      <c r="D720" s="18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15">
      <c r="A721" s="2"/>
      <c r="B721" s="2"/>
      <c r="C721" s="2"/>
      <c r="D721" s="18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15">
      <c r="A722" s="2"/>
      <c r="B722" s="2"/>
      <c r="C722" s="2"/>
      <c r="D722" s="18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15">
      <c r="A723" s="2"/>
      <c r="B723" s="2"/>
      <c r="C723" s="2"/>
      <c r="D723" s="18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15">
      <c r="A724" s="2"/>
      <c r="B724" s="2"/>
      <c r="C724" s="2"/>
      <c r="D724" s="18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15">
      <c r="A725" s="2"/>
      <c r="B725" s="2"/>
      <c r="C725" s="2"/>
      <c r="D725" s="18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15">
      <c r="A726" s="2"/>
      <c r="B726" s="2"/>
      <c r="C726" s="2"/>
      <c r="D726" s="18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15">
      <c r="A727" s="2"/>
      <c r="B727" s="2"/>
      <c r="C727" s="2"/>
      <c r="D727" s="18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15">
      <c r="A728" s="2"/>
      <c r="B728" s="2"/>
      <c r="C728" s="2"/>
      <c r="D728" s="18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15">
      <c r="A729" s="2"/>
      <c r="B729" s="2"/>
      <c r="C729" s="2"/>
      <c r="D729" s="18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15">
      <c r="A730" s="2"/>
      <c r="B730" s="2"/>
      <c r="C730" s="2"/>
      <c r="D730" s="18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15">
      <c r="A731" s="2"/>
      <c r="B731" s="2"/>
      <c r="C731" s="2"/>
      <c r="D731" s="18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15">
      <c r="A732" s="2"/>
      <c r="B732" s="2"/>
      <c r="C732" s="2"/>
      <c r="D732" s="18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15">
      <c r="A733" s="2"/>
      <c r="B733" s="2"/>
      <c r="C733" s="2"/>
      <c r="D733" s="18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15">
      <c r="A734" s="2"/>
      <c r="B734" s="2"/>
      <c r="C734" s="2"/>
      <c r="D734" s="18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15">
      <c r="A735" s="2"/>
      <c r="B735" s="2"/>
      <c r="C735" s="2"/>
      <c r="D735" s="18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15">
      <c r="A736" s="2"/>
      <c r="B736" s="2"/>
      <c r="C736" s="2"/>
      <c r="D736" s="18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15">
      <c r="A737" s="2"/>
      <c r="B737" s="2"/>
      <c r="C737" s="2"/>
      <c r="D737" s="18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15">
      <c r="A738" s="2"/>
      <c r="B738" s="2"/>
      <c r="C738" s="2"/>
      <c r="D738" s="18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15">
      <c r="A739" s="2"/>
      <c r="B739" s="2"/>
      <c r="C739" s="2"/>
      <c r="D739" s="18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15">
      <c r="A740" s="2"/>
      <c r="B740" s="2"/>
      <c r="C740" s="2"/>
      <c r="D740" s="18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15">
      <c r="A741" s="2"/>
      <c r="B741" s="2"/>
      <c r="C741" s="2"/>
      <c r="D741" s="18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15">
      <c r="A742" s="2"/>
      <c r="B742" s="2"/>
      <c r="C742" s="2"/>
      <c r="D742" s="18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15">
      <c r="A743" s="2"/>
      <c r="B743" s="2"/>
      <c r="C743" s="2"/>
      <c r="D743" s="18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15">
      <c r="A744" s="2"/>
      <c r="B744" s="2"/>
      <c r="C744" s="2"/>
      <c r="D744" s="18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15">
      <c r="A745" s="2"/>
      <c r="B745" s="2"/>
      <c r="C745" s="2"/>
      <c r="D745" s="18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15">
      <c r="A746" s="2"/>
      <c r="B746" s="2"/>
      <c r="C746" s="2"/>
      <c r="D746" s="18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15">
      <c r="A747" s="2"/>
      <c r="B747" s="2"/>
      <c r="C747" s="2"/>
      <c r="D747" s="18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15">
      <c r="A748" s="2"/>
      <c r="B748" s="2"/>
      <c r="C748" s="2"/>
      <c r="D748" s="18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15">
      <c r="A749" s="2"/>
      <c r="B749" s="2"/>
      <c r="C749" s="2"/>
      <c r="D749" s="18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15">
      <c r="A750" s="2"/>
      <c r="B750" s="2"/>
      <c r="C750" s="2"/>
      <c r="D750" s="18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15">
      <c r="A751" s="2"/>
      <c r="B751" s="2"/>
      <c r="C751" s="2"/>
      <c r="D751" s="18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15">
      <c r="A752" s="2"/>
      <c r="B752" s="2"/>
      <c r="C752" s="2"/>
      <c r="D752" s="18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15">
      <c r="A753" s="2"/>
      <c r="B753" s="2"/>
      <c r="C753" s="2"/>
      <c r="D753" s="18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15">
      <c r="A754" s="2"/>
      <c r="B754" s="2"/>
      <c r="C754" s="2"/>
      <c r="D754" s="18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15">
      <c r="A755" s="2"/>
      <c r="B755" s="2"/>
      <c r="C755" s="2"/>
      <c r="D755" s="18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15">
      <c r="A756" s="2"/>
      <c r="B756" s="2"/>
      <c r="C756" s="2"/>
      <c r="D756" s="18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15">
      <c r="A757" s="2"/>
      <c r="B757" s="2"/>
      <c r="C757" s="2"/>
      <c r="D757" s="18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15">
      <c r="A758" s="2"/>
      <c r="B758" s="2"/>
      <c r="C758" s="2"/>
      <c r="D758" s="18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15">
      <c r="A759" s="2"/>
      <c r="B759" s="2"/>
      <c r="C759" s="2"/>
      <c r="D759" s="18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15">
      <c r="A760" s="2"/>
      <c r="B760" s="2"/>
      <c r="C760" s="2"/>
      <c r="D760" s="18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15">
      <c r="A761" s="2"/>
      <c r="B761" s="2"/>
      <c r="C761" s="2"/>
      <c r="D761" s="18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15">
      <c r="A762" s="2"/>
      <c r="B762" s="2"/>
      <c r="C762" s="2"/>
      <c r="D762" s="18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15">
      <c r="A763" s="2"/>
      <c r="B763" s="2"/>
      <c r="C763" s="2"/>
      <c r="D763" s="18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15">
      <c r="A764" s="2"/>
      <c r="B764" s="2"/>
      <c r="C764" s="2"/>
      <c r="D764" s="18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15">
      <c r="A765" s="2"/>
      <c r="B765" s="2"/>
      <c r="C765" s="2"/>
      <c r="D765" s="18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15">
      <c r="A766" s="2"/>
      <c r="B766" s="2"/>
      <c r="C766" s="2"/>
      <c r="D766" s="18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15">
      <c r="A767" s="2"/>
      <c r="B767" s="2"/>
      <c r="C767" s="2"/>
      <c r="D767" s="18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15">
      <c r="A768" s="2"/>
      <c r="B768" s="2"/>
      <c r="C768" s="2"/>
      <c r="D768" s="18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15">
      <c r="A769" s="2"/>
      <c r="B769" s="2"/>
      <c r="C769" s="2"/>
      <c r="D769" s="18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15">
      <c r="A770" s="2"/>
      <c r="B770" s="2"/>
      <c r="C770" s="2"/>
      <c r="D770" s="18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15">
      <c r="A771" s="2"/>
      <c r="B771" s="2"/>
      <c r="C771" s="2"/>
      <c r="D771" s="18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15">
      <c r="A772" s="2"/>
      <c r="B772" s="2"/>
      <c r="C772" s="2"/>
      <c r="D772" s="18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15">
      <c r="A773" s="2"/>
      <c r="B773" s="2"/>
      <c r="C773" s="2"/>
      <c r="D773" s="18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15">
      <c r="A774" s="2"/>
      <c r="B774" s="2"/>
      <c r="C774" s="2"/>
      <c r="D774" s="18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15">
      <c r="A775" s="2"/>
      <c r="B775" s="2"/>
      <c r="C775" s="2"/>
      <c r="D775" s="18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15">
      <c r="A776" s="2"/>
      <c r="B776" s="2"/>
      <c r="C776" s="2"/>
      <c r="D776" s="18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15">
      <c r="A777" s="2"/>
      <c r="B777" s="2"/>
      <c r="C777" s="2"/>
      <c r="D777" s="18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15">
      <c r="A778" s="2"/>
      <c r="B778" s="2"/>
      <c r="C778" s="2"/>
      <c r="D778" s="18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15">
      <c r="A779" s="2"/>
      <c r="B779" s="2"/>
      <c r="C779" s="2"/>
      <c r="D779" s="18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15">
      <c r="A780" s="2"/>
      <c r="B780" s="2"/>
      <c r="C780" s="2"/>
      <c r="D780" s="18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15">
      <c r="A781" s="2"/>
      <c r="B781" s="2"/>
      <c r="C781" s="2"/>
      <c r="D781" s="18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15">
      <c r="A782" s="2"/>
      <c r="B782" s="2"/>
      <c r="C782" s="2"/>
      <c r="D782" s="18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15">
      <c r="A783" s="2"/>
      <c r="B783" s="2"/>
      <c r="C783" s="2"/>
      <c r="D783" s="18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15">
      <c r="A784" s="2"/>
      <c r="B784" s="2"/>
      <c r="C784" s="2"/>
      <c r="D784" s="18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15">
      <c r="A785" s="2"/>
      <c r="B785" s="2"/>
      <c r="C785" s="2"/>
      <c r="D785" s="18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15">
      <c r="A786" s="2"/>
      <c r="B786" s="2"/>
      <c r="C786" s="2"/>
      <c r="D786" s="18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15">
      <c r="A787" s="2"/>
      <c r="B787" s="2"/>
      <c r="C787" s="2"/>
      <c r="D787" s="18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15">
      <c r="A788" s="2"/>
      <c r="B788" s="2"/>
      <c r="C788" s="2"/>
      <c r="D788" s="18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15">
      <c r="A789" s="2"/>
      <c r="B789" s="2"/>
      <c r="C789" s="2"/>
      <c r="D789" s="18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15">
      <c r="A790" s="2"/>
      <c r="B790" s="2"/>
      <c r="C790" s="2"/>
      <c r="D790" s="18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15">
      <c r="A791" s="2"/>
      <c r="B791" s="2"/>
      <c r="C791" s="2"/>
      <c r="D791" s="18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15">
      <c r="A792" s="2"/>
      <c r="B792" s="2"/>
      <c r="C792" s="2"/>
      <c r="D792" s="18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15">
      <c r="A793" s="2"/>
      <c r="B793" s="2"/>
      <c r="C793" s="2"/>
      <c r="D793" s="18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15">
      <c r="A794" s="2"/>
      <c r="B794" s="2"/>
      <c r="C794" s="2"/>
      <c r="D794" s="18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15">
      <c r="A795" s="2"/>
      <c r="B795" s="2"/>
      <c r="C795" s="2"/>
      <c r="D795" s="18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15">
      <c r="A796" s="2"/>
      <c r="B796" s="2"/>
      <c r="C796" s="2"/>
      <c r="D796" s="18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15">
      <c r="A797" s="2"/>
      <c r="B797" s="2"/>
      <c r="C797" s="2"/>
      <c r="D797" s="18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15">
      <c r="A798" s="2"/>
      <c r="B798" s="2"/>
      <c r="C798" s="2"/>
      <c r="D798" s="18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15">
      <c r="A799" s="2"/>
      <c r="B799" s="2"/>
      <c r="C799" s="2"/>
      <c r="D799" s="18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15">
      <c r="A800" s="2"/>
      <c r="B800" s="2"/>
      <c r="C800" s="2"/>
      <c r="D800" s="18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15">
      <c r="A801" s="2"/>
      <c r="B801" s="2"/>
      <c r="C801" s="2"/>
      <c r="D801" s="18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15">
      <c r="A802" s="2"/>
      <c r="B802" s="2"/>
      <c r="C802" s="2"/>
      <c r="D802" s="18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15">
      <c r="A803" s="2"/>
      <c r="B803" s="2"/>
      <c r="C803" s="2"/>
      <c r="D803" s="18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15">
      <c r="A804" s="2"/>
      <c r="B804" s="2"/>
      <c r="C804" s="2"/>
      <c r="D804" s="18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15">
      <c r="A805" s="2"/>
      <c r="B805" s="2"/>
      <c r="C805" s="2"/>
      <c r="D805" s="18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15">
      <c r="A806" s="2"/>
      <c r="B806" s="2"/>
      <c r="C806" s="2"/>
      <c r="D806" s="18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15">
      <c r="A807" s="2"/>
      <c r="B807" s="2"/>
      <c r="C807" s="2"/>
      <c r="D807" s="18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15">
      <c r="A808" s="2"/>
      <c r="B808" s="2"/>
      <c r="C808" s="2"/>
      <c r="D808" s="18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15">
      <c r="A809" s="2"/>
      <c r="B809" s="2"/>
      <c r="C809" s="2"/>
      <c r="D809" s="18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15">
      <c r="A810" s="2"/>
      <c r="B810" s="2"/>
      <c r="C810" s="2"/>
      <c r="D810" s="18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15">
      <c r="A811" s="2"/>
      <c r="B811" s="2"/>
      <c r="C811" s="2"/>
      <c r="D811" s="18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15">
      <c r="A812" s="2"/>
      <c r="B812" s="2"/>
      <c r="C812" s="2"/>
      <c r="D812" s="18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15">
      <c r="A813" s="2"/>
      <c r="B813" s="2"/>
      <c r="C813" s="2"/>
      <c r="D813" s="18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15">
      <c r="A814" s="2"/>
      <c r="B814" s="2"/>
      <c r="C814" s="2"/>
      <c r="D814" s="18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15">
      <c r="A815" s="2"/>
      <c r="B815" s="2"/>
      <c r="C815" s="2"/>
      <c r="D815" s="18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15">
      <c r="A816" s="2"/>
      <c r="B816" s="2"/>
      <c r="C816" s="2"/>
      <c r="D816" s="18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15">
      <c r="A817" s="2"/>
      <c r="B817" s="2"/>
      <c r="C817" s="2"/>
      <c r="D817" s="18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15">
      <c r="A818" s="2"/>
      <c r="B818" s="2"/>
      <c r="C818" s="2"/>
      <c r="D818" s="18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15">
      <c r="A819" s="2"/>
      <c r="B819" s="2"/>
      <c r="C819" s="2"/>
      <c r="D819" s="18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15">
      <c r="A820" s="2"/>
      <c r="B820" s="2"/>
      <c r="C820" s="2"/>
      <c r="D820" s="18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15">
      <c r="A821" s="2"/>
      <c r="B821" s="2"/>
      <c r="C821" s="2"/>
      <c r="D821" s="18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15">
      <c r="A822" s="2"/>
      <c r="B822" s="2"/>
      <c r="C822" s="2"/>
      <c r="D822" s="18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15">
      <c r="A823" s="2"/>
      <c r="B823" s="2"/>
      <c r="C823" s="2"/>
      <c r="D823" s="18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15">
      <c r="A824" s="2"/>
      <c r="B824" s="2"/>
      <c r="C824" s="2"/>
      <c r="D824" s="18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15">
      <c r="A825" s="2"/>
      <c r="B825" s="2"/>
      <c r="C825" s="2"/>
      <c r="D825" s="18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15">
      <c r="A826" s="2"/>
      <c r="B826" s="2"/>
      <c r="C826" s="2"/>
      <c r="D826" s="18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15">
      <c r="A827" s="2"/>
      <c r="B827" s="2"/>
      <c r="C827" s="2"/>
      <c r="D827" s="18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15">
      <c r="A828" s="2"/>
      <c r="B828" s="2"/>
      <c r="C828" s="2"/>
      <c r="D828" s="18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15">
      <c r="A829" s="2"/>
      <c r="B829" s="2"/>
      <c r="C829" s="2"/>
      <c r="D829" s="18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15">
      <c r="A830" s="2"/>
      <c r="B830" s="2"/>
      <c r="C830" s="2"/>
      <c r="D830" s="18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15">
      <c r="A831" s="2"/>
      <c r="B831" s="2"/>
      <c r="C831" s="2"/>
      <c r="D831" s="18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15">
      <c r="A832" s="2"/>
      <c r="B832" s="2"/>
      <c r="C832" s="2"/>
      <c r="D832" s="18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15">
      <c r="A833" s="2"/>
      <c r="B833" s="2"/>
      <c r="C833" s="2"/>
      <c r="D833" s="18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15">
      <c r="A834" s="2"/>
      <c r="B834" s="2"/>
      <c r="C834" s="2"/>
      <c r="D834" s="18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15">
      <c r="A835" s="2"/>
      <c r="B835" s="2"/>
      <c r="C835" s="2"/>
      <c r="D835" s="18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15">
      <c r="A836" s="2"/>
      <c r="B836" s="2"/>
      <c r="C836" s="2"/>
      <c r="D836" s="18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15">
      <c r="A837" s="2"/>
      <c r="B837" s="2"/>
      <c r="C837" s="2"/>
      <c r="D837" s="18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15">
      <c r="A838" s="2"/>
      <c r="B838" s="2"/>
      <c r="C838" s="2"/>
      <c r="D838" s="18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15">
      <c r="A839" s="2"/>
      <c r="B839" s="2"/>
      <c r="C839" s="2"/>
      <c r="D839" s="18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15">
      <c r="A840" s="2"/>
      <c r="B840" s="2"/>
      <c r="C840" s="2"/>
      <c r="D840" s="18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15">
      <c r="A841" s="2"/>
      <c r="B841" s="2"/>
      <c r="C841" s="2"/>
      <c r="D841" s="18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15">
      <c r="A842" s="2"/>
      <c r="B842" s="2"/>
      <c r="C842" s="2"/>
      <c r="D842" s="18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15">
      <c r="A843" s="2"/>
      <c r="B843" s="2"/>
      <c r="C843" s="2"/>
      <c r="D843" s="18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15">
      <c r="A844" s="2"/>
      <c r="B844" s="2"/>
      <c r="C844" s="2"/>
      <c r="D844" s="18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15">
      <c r="A845" s="2"/>
      <c r="B845" s="2"/>
      <c r="C845" s="2"/>
      <c r="D845" s="18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15">
      <c r="A846" s="2"/>
      <c r="B846" s="2"/>
      <c r="C846" s="2"/>
      <c r="D846" s="18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15">
      <c r="A847" s="2"/>
      <c r="B847" s="2"/>
      <c r="C847" s="2"/>
      <c r="D847" s="18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15">
      <c r="A848" s="2"/>
      <c r="B848" s="2"/>
      <c r="C848" s="2"/>
      <c r="D848" s="18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15">
      <c r="A849" s="2"/>
      <c r="B849" s="2"/>
      <c r="C849" s="2"/>
      <c r="D849" s="18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15">
      <c r="A850" s="2"/>
      <c r="B850" s="2"/>
      <c r="C850" s="2"/>
      <c r="D850" s="18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15">
      <c r="A851" s="2"/>
      <c r="B851" s="2"/>
      <c r="C851" s="2"/>
      <c r="D851" s="18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15">
      <c r="A852" s="2"/>
      <c r="B852" s="2"/>
      <c r="C852" s="2"/>
      <c r="D852" s="18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15">
      <c r="A853" s="2"/>
      <c r="B853" s="2"/>
      <c r="C853" s="2"/>
      <c r="D853" s="18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15">
      <c r="A854" s="2"/>
      <c r="B854" s="2"/>
      <c r="C854" s="2"/>
      <c r="D854" s="18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15">
      <c r="A855" s="2"/>
      <c r="B855" s="2"/>
      <c r="C855" s="2"/>
      <c r="D855" s="18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15">
      <c r="A856" s="2"/>
      <c r="B856" s="2"/>
      <c r="C856" s="2"/>
      <c r="D856" s="18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15">
      <c r="A857" s="2"/>
      <c r="B857" s="2"/>
      <c r="C857" s="2"/>
      <c r="D857" s="18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15">
      <c r="A858" s="2"/>
      <c r="B858" s="2"/>
      <c r="C858" s="2"/>
      <c r="D858" s="18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15">
      <c r="A859" s="2"/>
      <c r="B859" s="2"/>
      <c r="C859" s="2"/>
      <c r="D859" s="18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15">
      <c r="A860" s="2"/>
      <c r="B860" s="2"/>
      <c r="C860" s="2"/>
      <c r="D860" s="18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15">
      <c r="A861" s="2"/>
      <c r="B861" s="2"/>
      <c r="C861" s="2"/>
      <c r="D861" s="18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15">
      <c r="A862" s="2"/>
      <c r="B862" s="2"/>
      <c r="C862" s="2"/>
      <c r="D862" s="18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15">
      <c r="A863" s="2"/>
      <c r="B863" s="2"/>
      <c r="C863" s="2"/>
      <c r="D863" s="18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15">
      <c r="A864" s="2"/>
      <c r="B864" s="2"/>
      <c r="C864" s="2"/>
      <c r="D864" s="18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15">
      <c r="A865" s="2"/>
      <c r="B865" s="2"/>
      <c r="C865" s="2"/>
      <c r="D865" s="18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15">
      <c r="A866" s="2"/>
      <c r="B866" s="2"/>
      <c r="C866" s="2"/>
      <c r="D866" s="18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15">
      <c r="A867" s="2"/>
      <c r="B867" s="2"/>
      <c r="C867" s="2"/>
      <c r="D867" s="18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15">
      <c r="A868" s="2"/>
      <c r="B868" s="2"/>
      <c r="C868" s="2"/>
      <c r="D868" s="18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15">
      <c r="A869" s="2"/>
      <c r="B869" s="2"/>
      <c r="C869" s="2"/>
      <c r="D869" s="18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15">
      <c r="A870" s="2"/>
      <c r="B870" s="2"/>
      <c r="C870" s="2"/>
      <c r="D870" s="18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15">
      <c r="A871" s="2"/>
      <c r="B871" s="2"/>
      <c r="C871" s="2"/>
      <c r="D871" s="18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15">
      <c r="A872" s="2"/>
      <c r="B872" s="2"/>
      <c r="C872" s="2"/>
      <c r="D872" s="18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15">
      <c r="A873" s="2"/>
      <c r="B873" s="2"/>
      <c r="C873" s="2"/>
      <c r="D873" s="18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15">
      <c r="A874" s="2"/>
      <c r="B874" s="2"/>
      <c r="C874" s="2"/>
      <c r="D874" s="18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15">
      <c r="A875" s="2"/>
      <c r="B875" s="2"/>
      <c r="C875" s="2"/>
      <c r="D875" s="18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15">
      <c r="A876" s="2"/>
      <c r="B876" s="2"/>
      <c r="C876" s="2"/>
      <c r="D876" s="18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15">
      <c r="A877" s="2"/>
      <c r="B877" s="2"/>
      <c r="C877" s="2"/>
      <c r="D877" s="18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15">
      <c r="A878" s="2"/>
      <c r="B878" s="2"/>
      <c r="C878" s="2"/>
      <c r="D878" s="18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15">
      <c r="A879" s="2"/>
      <c r="B879" s="2"/>
      <c r="C879" s="2"/>
      <c r="D879" s="18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15">
      <c r="A880" s="2"/>
      <c r="B880" s="2"/>
      <c r="C880" s="2"/>
      <c r="D880" s="18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15">
      <c r="A881" s="2"/>
      <c r="B881" s="2"/>
      <c r="C881" s="2"/>
      <c r="D881" s="18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15">
      <c r="A882" s="2"/>
      <c r="B882" s="2"/>
      <c r="C882" s="2"/>
      <c r="D882" s="18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15">
      <c r="A883" s="2"/>
      <c r="B883" s="2"/>
      <c r="C883" s="2"/>
      <c r="D883" s="18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15">
      <c r="A884" s="2"/>
      <c r="B884" s="2"/>
      <c r="C884" s="2"/>
      <c r="D884" s="18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15">
      <c r="A885" s="2"/>
      <c r="B885" s="2"/>
      <c r="C885" s="2"/>
      <c r="D885" s="18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15">
      <c r="A886" s="2"/>
      <c r="B886" s="2"/>
      <c r="C886" s="2"/>
      <c r="D886" s="18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15">
      <c r="A887" s="2"/>
      <c r="B887" s="2"/>
      <c r="C887" s="2"/>
      <c r="D887" s="18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15">
      <c r="A888" s="2"/>
      <c r="B888" s="2"/>
      <c r="C888" s="2"/>
      <c r="D888" s="18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15">
      <c r="A889" s="2"/>
      <c r="B889" s="2"/>
      <c r="C889" s="2"/>
      <c r="D889" s="18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15">
      <c r="A890" s="2"/>
      <c r="B890" s="2"/>
      <c r="C890" s="2"/>
      <c r="D890" s="18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15">
      <c r="A891" s="2"/>
      <c r="B891" s="2"/>
      <c r="C891" s="2"/>
      <c r="D891" s="18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15">
      <c r="A892" s="2"/>
      <c r="B892" s="2"/>
      <c r="C892" s="2"/>
      <c r="D892" s="18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15">
      <c r="A893" s="2"/>
      <c r="B893" s="2"/>
      <c r="C893" s="2"/>
      <c r="D893" s="18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15">
      <c r="A894" s="2"/>
      <c r="B894" s="2"/>
      <c r="C894" s="2"/>
      <c r="D894" s="18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15">
      <c r="A895" s="2"/>
      <c r="B895" s="2"/>
      <c r="C895" s="2"/>
      <c r="D895" s="18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15">
      <c r="A896" s="2"/>
      <c r="B896" s="2"/>
      <c r="C896" s="2"/>
      <c r="D896" s="18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15">
      <c r="A897" s="2"/>
      <c r="B897" s="2"/>
      <c r="C897" s="2"/>
      <c r="D897" s="18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15">
      <c r="A898" s="2"/>
      <c r="B898" s="2"/>
      <c r="C898" s="2"/>
      <c r="D898" s="18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15">
      <c r="A899" s="2"/>
      <c r="B899" s="2"/>
      <c r="C899" s="2"/>
      <c r="D899" s="18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15">
      <c r="A900" s="2"/>
      <c r="B900" s="2"/>
      <c r="C900" s="2"/>
      <c r="D900" s="18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15">
      <c r="A901" s="2"/>
      <c r="B901" s="2"/>
      <c r="C901" s="2"/>
      <c r="D901" s="18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15">
      <c r="A902" s="2"/>
      <c r="B902" s="2"/>
      <c r="C902" s="2"/>
      <c r="D902" s="18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15">
      <c r="A903" s="2"/>
      <c r="B903" s="2"/>
      <c r="C903" s="2"/>
      <c r="D903" s="18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15">
      <c r="A904" s="2"/>
      <c r="B904" s="2"/>
      <c r="C904" s="2"/>
      <c r="D904" s="18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15">
      <c r="A905" s="2"/>
      <c r="B905" s="2"/>
      <c r="C905" s="2"/>
      <c r="D905" s="18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15">
      <c r="A906" s="2"/>
      <c r="B906" s="2"/>
      <c r="C906" s="2"/>
      <c r="D906" s="18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15">
      <c r="A907" s="2"/>
      <c r="B907" s="2"/>
      <c r="C907" s="2"/>
      <c r="D907" s="18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15">
      <c r="A908" s="2"/>
      <c r="B908" s="2"/>
      <c r="C908" s="2"/>
      <c r="D908" s="18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15">
      <c r="A909" s="2"/>
      <c r="B909" s="2"/>
      <c r="C909" s="2"/>
      <c r="D909" s="18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15">
      <c r="A910" s="2"/>
      <c r="B910" s="2"/>
      <c r="C910" s="2"/>
      <c r="D910" s="18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15">
      <c r="A911" s="2"/>
      <c r="B911" s="2"/>
      <c r="C911" s="2"/>
      <c r="D911" s="18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15">
      <c r="A912" s="2"/>
      <c r="B912" s="2"/>
      <c r="C912" s="2"/>
      <c r="D912" s="18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15">
      <c r="A913" s="2"/>
      <c r="B913" s="2"/>
      <c r="C913" s="2"/>
      <c r="D913" s="18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15">
      <c r="A914" s="2"/>
      <c r="B914" s="2"/>
      <c r="C914" s="2"/>
      <c r="D914" s="18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15">
      <c r="A915" s="2"/>
      <c r="B915" s="2"/>
      <c r="C915" s="2"/>
      <c r="D915" s="18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15">
      <c r="A916" s="2"/>
      <c r="B916" s="2"/>
      <c r="C916" s="2"/>
      <c r="D916" s="18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15">
      <c r="A917" s="2"/>
      <c r="B917" s="2"/>
      <c r="C917" s="2"/>
      <c r="D917" s="18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15">
      <c r="A918" s="2"/>
      <c r="B918" s="2"/>
      <c r="C918" s="2"/>
      <c r="D918" s="18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15">
      <c r="A919" s="2"/>
      <c r="B919" s="2"/>
      <c r="C919" s="2"/>
      <c r="D919" s="18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15">
      <c r="A920" s="2"/>
      <c r="B920" s="2"/>
      <c r="C920" s="2"/>
      <c r="D920" s="18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15">
      <c r="A921" s="2"/>
      <c r="B921" s="2"/>
      <c r="C921" s="2"/>
      <c r="D921" s="18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15">
      <c r="A922" s="2"/>
      <c r="B922" s="2"/>
      <c r="C922" s="2"/>
      <c r="D922" s="18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15">
      <c r="A923" s="2"/>
      <c r="B923" s="2"/>
      <c r="C923" s="2"/>
      <c r="D923" s="18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15">
      <c r="A924" s="2"/>
      <c r="B924" s="2"/>
      <c r="C924" s="2"/>
      <c r="D924" s="18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15">
      <c r="A925" s="2"/>
      <c r="B925" s="2"/>
      <c r="C925" s="2"/>
      <c r="D925" s="18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15">
      <c r="A926" s="2"/>
      <c r="B926" s="2"/>
      <c r="C926" s="2"/>
      <c r="D926" s="18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15">
      <c r="A927" s="2"/>
      <c r="B927" s="2"/>
      <c r="C927" s="2"/>
      <c r="D927" s="18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15">
      <c r="A928" s="2"/>
      <c r="B928" s="2"/>
      <c r="C928" s="2"/>
      <c r="D928" s="18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15">
      <c r="A929" s="2"/>
      <c r="B929" s="2"/>
      <c r="C929" s="2"/>
      <c r="D929" s="18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15">
      <c r="A930" s="2"/>
      <c r="B930" s="2"/>
      <c r="C930" s="2"/>
      <c r="D930" s="18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15">
      <c r="A931" s="2"/>
      <c r="B931" s="2"/>
      <c r="C931" s="2"/>
      <c r="D931" s="18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15">
      <c r="A932" s="2"/>
      <c r="B932" s="2"/>
      <c r="C932" s="2"/>
      <c r="D932" s="18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15">
      <c r="A933" s="2"/>
      <c r="B933" s="2"/>
      <c r="C933" s="2"/>
      <c r="D933" s="18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15">
      <c r="A934" s="2"/>
      <c r="B934" s="2"/>
      <c r="C934" s="2"/>
      <c r="D934" s="18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15">
      <c r="A935" s="2"/>
      <c r="B935" s="2"/>
      <c r="C935" s="2"/>
      <c r="D935" s="18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15">
      <c r="A936" s="2"/>
      <c r="B936" s="2"/>
      <c r="C936" s="2"/>
      <c r="D936" s="18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15">
      <c r="A937" s="2"/>
      <c r="B937" s="2"/>
      <c r="C937" s="2"/>
      <c r="D937" s="18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15">
      <c r="A938" s="2"/>
      <c r="B938" s="2"/>
      <c r="C938" s="2"/>
      <c r="D938" s="18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15">
      <c r="A939" s="2"/>
      <c r="B939" s="2"/>
      <c r="C939" s="2"/>
      <c r="D939" s="18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15">
      <c r="A940" s="2"/>
      <c r="B940" s="2"/>
      <c r="C940" s="2"/>
      <c r="D940" s="18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15">
      <c r="A941" s="2"/>
      <c r="B941" s="2"/>
      <c r="C941" s="2"/>
      <c r="D941" s="18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15">
      <c r="A942" s="2"/>
      <c r="B942" s="2"/>
      <c r="C942" s="2"/>
      <c r="D942" s="18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15">
      <c r="A943" s="2"/>
      <c r="B943" s="2"/>
      <c r="C943" s="2"/>
      <c r="D943" s="18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15">
      <c r="A944" s="2"/>
      <c r="B944" s="2"/>
      <c r="C944" s="2"/>
      <c r="D944" s="18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15">
      <c r="A945" s="2"/>
      <c r="B945" s="2"/>
      <c r="C945" s="2"/>
      <c r="D945" s="18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15">
      <c r="A946" s="2"/>
      <c r="B946" s="2"/>
      <c r="C946" s="2"/>
      <c r="D946" s="18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15">
      <c r="A947" s="2"/>
      <c r="B947" s="2"/>
      <c r="C947" s="2"/>
      <c r="D947" s="18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15">
      <c r="A948" s="2"/>
      <c r="B948" s="2"/>
      <c r="C948" s="2"/>
      <c r="D948" s="18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15">
      <c r="A949" s="2"/>
      <c r="B949" s="2"/>
      <c r="C949" s="2"/>
      <c r="D949" s="18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15">
      <c r="A950" s="2"/>
      <c r="B950" s="2"/>
      <c r="C950" s="2"/>
      <c r="D950" s="18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15">
      <c r="A951" s="2"/>
      <c r="B951" s="2"/>
      <c r="C951" s="2"/>
      <c r="D951" s="18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15">
      <c r="A952" s="2"/>
      <c r="B952" s="2"/>
      <c r="C952" s="2"/>
      <c r="D952" s="18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15">
      <c r="A953" s="2"/>
      <c r="B953" s="2"/>
      <c r="C953" s="2"/>
      <c r="D953" s="18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15">
      <c r="A954" s="2"/>
      <c r="B954" s="2"/>
      <c r="C954" s="2"/>
      <c r="D954" s="18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15">
      <c r="A955" s="2"/>
      <c r="B955" s="2"/>
      <c r="C955" s="2"/>
      <c r="D955" s="18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15">
      <c r="A956" s="2"/>
      <c r="B956" s="2"/>
      <c r="C956" s="2"/>
      <c r="D956" s="18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15">
      <c r="A957" s="2"/>
      <c r="B957" s="2"/>
      <c r="C957" s="2"/>
      <c r="D957" s="18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15">
      <c r="A958" s="2"/>
      <c r="B958" s="2"/>
      <c r="C958" s="2"/>
      <c r="D958" s="18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15">
      <c r="A959" s="2"/>
      <c r="B959" s="2"/>
      <c r="C959" s="2"/>
      <c r="D959" s="18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15">
      <c r="A960" s="2"/>
      <c r="B960" s="2"/>
      <c r="C960" s="2"/>
      <c r="D960" s="18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15">
      <c r="A961" s="2"/>
      <c r="B961" s="2"/>
      <c r="C961" s="2"/>
      <c r="D961" s="18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15">
      <c r="A962" s="2"/>
      <c r="B962" s="2"/>
      <c r="C962" s="2"/>
      <c r="D962" s="18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15">
      <c r="A963" s="2"/>
      <c r="B963" s="2"/>
      <c r="C963" s="2"/>
      <c r="D963" s="18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15">
      <c r="A964" s="2"/>
      <c r="B964" s="2"/>
      <c r="C964" s="2"/>
      <c r="D964" s="18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15">
      <c r="A965" s="2"/>
      <c r="B965" s="2"/>
      <c r="C965" s="2"/>
      <c r="D965" s="18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15">
      <c r="A966" s="2"/>
      <c r="B966" s="2"/>
      <c r="C966" s="2"/>
      <c r="D966" s="18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15">
      <c r="A967" s="2"/>
      <c r="B967" s="2"/>
      <c r="C967" s="2"/>
      <c r="D967" s="18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15">
      <c r="A968" s="2"/>
      <c r="B968" s="2"/>
      <c r="C968" s="2"/>
      <c r="D968" s="18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15">
      <c r="A969" s="2"/>
      <c r="B969" s="2"/>
      <c r="C969" s="2"/>
      <c r="D969" s="18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15">
      <c r="A970" s="2"/>
      <c r="B970" s="2"/>
      <c r="C970" s="2"/>
      <c r="D970" s="18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15">
      <c r="A971" s="2"/>
      <c r="B971" s="2"/>
      <c r="C971" s="2"/>
      <c r="D971" s="18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15">
      <c r="A972" s="2"/>
      <c r="B972" s="2"/>
      <c r="C972" s="2"/>
      <c r="D972" s="18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15">
      <c r="A973" s="2"/>
      <c r="B973" s="2"/>
      <c r="C973" s="2"/>
      <c r="D973" s="18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15">
      <c r="A974" s="2"/>
      <c r="B974" s="2"/>
      <c r="C974" s="2"/>
      <c r="D974" s="18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15">
      <c r="A975" s="2"/>
      <c r="B975" s="2"/>
      <c r="C975" s="2"/>
      <c r="D975" s="18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15">
      <c r="A976" s="2"/>
      <c r="B976" s="2"/>
      <c r="C976" s="2"/>
      <c r="D976" s="18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15">
      <c r="A977" s="2"/>
      <c r="B977" s="2"/>
      <c r="C977" s="2"/>
      <c r="D977" s="18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15">
      <c r="A978" s="2"/>
      <c r="B978" s="2"/>
      <c r="C978" s="2"/>
      <c r="D978" s="18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15">
      <c r="A979" s="2"/>
      <c r="B979" s="2"/>
      <c r="C979" s="2"/>
      <c r="D979" s="18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15">
      <c r="A980" s="2"/>
      <c r="B980" s="2"/>
      <c r="C980" s="2"/>
      <c r="D980" s="18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15">
      <c r="A981" s="2"/>
      <c r="B981" s="2"/>
      <c r="C981" s="2"/>
      <c r="D981" s="18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" customHeight="1" x14ac:dyDescent="0.15">
      <c r="B982" s="2"/>
      <c r="C982" s="2"/>
      <c r="D982" s="185"/>
      <c r="E982" s="2"/>
      <c r="F982" s="2"/>
      <c r="G982" s="2"/>
      <c r="H982" s="2"/>
      <c r="I982" s="2"/>
      <c r="J982" s="2"/>
      <c r="K982" s="2"/>
    </row>
  </sheetData>
  <mergeCells count="33">
    <mergeCell ref="B86:B87"/>
    <mergeCell ref="D86:I86"/>
    <mergeCell ref="B81:D81"/>
    <mergeCell ref="E80:F80"/>
    <mergeCell ref="A9:A10"/>
    <mergeCell ref="E78:F78"/>
    <mergeCell ref="B79:D79"/>
    <mergeCell ref="B85:I85"/>
    <mergeCell ref="B84:D84"/>
    <mergeCell ref="E81:F81"/>
    <mergeCell ref="B82:D82"/>
    <mergeCell ref="E83:F83"/>
    <mergeCell ref="E82:F82"/>
    <mergeCell ref="B83:D83"/>
    <mergeCell ref="A71:C71"/>
    <mergeCell ref="A7:J7"/>
    <mergeCell ref="B80:D80"/>
    <mergeCell ref="B93:C93"/>
    <mergeCell ref="E79:F79"/>
    <mergeCell ref="B9:B10"/>
    <mergeCell ref="C9:C10"/>
    <mergeCell ref="L9:L10"/>
    <mergeCell ref="L70:L76"/>
    <mergeCell ref="J9:J10"/>
    <mergeCell ref="K9:K10"/>
    <mergeCell ref="E84:F84"/>
    <mergeCell ref="A72:C72"/>
    <mergeCell ref="A76:C76"/>
    <mergeCell ref="A75:C75"/>
    <mergeCell ref="A74:C74"/>
    <mergeCell ref="A73:C73"/>
    <mergeCell ref="A70:C70"/>
    <mergeCell ref="B78:D78"/>
  </mergeCells>
  <conditionalFormatting sqref="J11:J68 J71:J72 J74:J76">
    <cfRule type="cellIs" dxfId="3" priority="1" stopIfTrue="1" operator="lessThan">
      <formula>50</formula>
    </cfRule>
    <cfRule type="cellIs" dxfId="2" priority="2" stopIfTrue="1" operator="equal">
      <formula>"AB"</formula>
    </cfRule>
  </conditionalFormatting>
  <pageMargins left="0.31496062992125984" right="0.1544461778471139" top="0.31496062992125984" bottom="0.11811023622047245" header="0" footer="0"/>
  <pageSetup paperSize="9" fitToHeight="0"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979"/>
  <sheetViews>
    <sheetView workbookViewId="0"/>
  </sheetViews>
  <sheetFormatPr defaultColWidth="12" defaultRowHeight="15" customHeight="1" x14ac:dyDescent="0.15"/>
  <cols>
    <col min="1" max="1" width="9.3046875" customWidth="1"/>
    <col min="2" max="2" width="17.93359375" customWidth="1"/>
    <col min="3" max="3" width="20.49609375" customWidth="1"/>
    <col min="4" max="4" width="15.640625" customWidth="1"/>
    <col min="5" max="5" width="14.5625" customWidth="1"/>
    <col min="6" max="6" width="14.0234375" customWidth="1"/>
    <col min="7" max="8" width="13.88671875" customWidth="1"/>
    <col min="9" max="9" width="16.046875" customWidth="1"/>
    <col min="10" max="10" width="16.1796875" customWidth="1"/>
  </cols>
  <sheetData>
    <row r="1" spans="1:26" ht="15.75" customHeight="1" x14ac:dyDescent="0.1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50" t="s">
        <v>423</v>
      </c>
      <c r="B7" s="242"/>
      <c r="C7" s="242"/>
      <c r="D7" s="242"/>
      <c r="E7" s="242"/>
      <c r="F7" s="242"/>
      <c r="G7" s="242"/>
      <c r="H7" s="242"/>
      <c r="I7" s="242"/>
      <c r="J7" s="242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5" t="s">
        <v>1</v>
      </c>
      <c r="B8" s="5"/>
      <c r="C8" s="6"/>
      <c r="D8" s="7"/>
      <c r="E8" s="8" t="s">
        <v>2</v>
      </c>
      <c r="F8" s="9"/>
      <c r="G8" s="9"/>
      <c r="H8" s="9" t="s">
        <v>424</v>
      </c>
      <c r="I8" s="9"/>
      <c r="J8" s="11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 x14ac:dyDescent="0.15">
      <c r="A9" s="246" t="s">
        <v>4</v>
      </c>
      <c r="B9" s="246" t="s">
        <v>5</v>
      </c>
      <c r="C9" s="246" t="s">
        <v>6</v>
      </c>
      <c r="D9" s="222"/>
      <c r="E9" s="12"/>
      <c r="F9" s="12"/>
      <c r="G9" s="12"/>
      <c r="H9" s="12"/>
      <c r="I9" s="12"/>
      <c r="J9" s="64" t="s">
        <v>7</v>
      </c>
      <c r="K9" s="240" t="s">
        <v>8</v>
      </c>
      <c r="L9" s="235" t="s">
        <v>9</v>
      </c>
      <c r="M9" s="23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0" customHeight="1" x14ac:dyDescent="0.2">
      <c r="A10" s="239"/>
      <c r="B10" s="239"/>
      <c r="C10" s="239"/>
      <c r="D10" s="13" t="s">
        <v>10</v>
      </c>
      <c r="E10" s="13" t="s">
        <v>425</v>
      </c>
      <c r="F10" s="13" t="s">
        <v>426</v>
      </c>
      <c r="G10" s="13" t="s">
        <v>427</v>
      </c>
      <c r="H10" s="14" t="s">
        <v>428</v>
      </c>
      <c r="I10" s="13" t="s">
        <v>14</v>
      </c>
      <c r="J10" s="13"/>
      <c r="K10" s="236"/>
      <c r="L10" s="236"/>
      <c r="M10" s="23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.75" customHeight="1" x14ac:dyDescent="0.15">
      <c r="A11" s="15">
        <v>1</v>
      </c>
      <c r="B11" s="173">
        <v>511523243001</v>
      </c>
      <c r="C11" s="16" t="s">
        <v>429</v>
      </c>
      <c r="D11" s="174"/>
      <c r="E11" s="19"/>
      <c r="F11" s="18" t="s">
        <v>52</v>
      </c>
      <c r="G11" s="19"/>
      <c r="H11" s="20"/>
      <c r="I11" s="20"/>
      <c r="J11" s="21">
        <f t="shared" ref="J11:J67" si="0">SUM(D11:I11)</f>
        <v>0</v>
      </c>
      <c r="K11" s="21">
        <f t="shared" ref="K11:K67" si="1">COUNTIF(D11:I11,"&lt;=49")+COUNTIF(D11:I11,"AB")</f>
        <v>1</v>
      </c>
      <c r="L11" s="21">
        <f>COUNTIF(C11:J11,"AB")</f>
        <v>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.75" customHeight="1" x14ac:dyDescent="0.15">
      <c r="A12" s="15">
        <v>2</v>
      </c>
      <c r="B12" s="175">
        <v>511523243002</v>
      </c>
      <c r="C12" s="22" t="s">
        <v>430</v>
      </c>
      <c r="D12" s="176"/>
      <c r="E12" s="19"/>
      <c r="F12" s="18">
        <v>22</v>
      </c>
      <c r="G12" s="20"/>
      <c r="H12" s="20"/>
      <c r="I12" s="20"/>
      <c r="J12" s="21">
        <f t="shared" si="0"/>
        <v>22</v>
      </c>
      <c r="K12" s="21">
        <f t="shared" si="1"/>
        <v>1</v>
      </c>
      <c r="L12" s="21">
        <f t="shared" ref="L12:L67" si="2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.75" customHeight="1" x14ac:dyDescent="0.15">
      <c r="A13" s="15">
        <v>3</v>
      </c>
      <c r="B13" s="175">
        <v>511523243003</v>
      </c>
      <c r="C13" s="22" t="s">
        <v>431</v>
      </c>
      <c r="D13" s="176"/>
      <c r="E13" s="19"/>
      <c r="F13" s="18">
        <v>28</v>
      </c>
      <c r="G13" s="19"/>
      <c r="H13" s="20"/>
      <c r="I13" s="20"/>
      <c r="J13" s="21">
        <f t="shared" si="0"/>
        <v>28</v>
      </c>
      <c r="K13" s="21">
        <f t="shared" si="1"/>
        <v>1</v>
      </c>
      <c r="L13" s="21">
        <f t="shared" si="2"/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.75" customHeight="1" x14ac:dyDescent="0.15">
      <c r="A14" s="15">
        <v>4</v>
      </c>
      <c r="B14" s="175">
        <v>511523243004</v>
      </c>
      <c r="C14" s="22" t="s">
        <v>432</v>
      </c>
      <c r="D14" s="176"/>
      <c r="E14" s="19"/>
      <c r="F14" s="18">
        <v>4</v>
      </c>
      <c r="G14" s="19"/>
      <c r="H14" s="20"/>
      <c r="I14" s="20"/>
      <c r="J14" s="21">
        <f t="shared" si="0"/>
        <v>4</v>
      </c>
      <c r="K14" s="21">
        <f t="shared" si="1"/>
        <v>1</v>
      </c>
      <c r="L14" s="21">
        <f t="shared" si="2"/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 x14ac:dyDescent="0.15">
      <c r="A15" s="15">
        <v>5</v>
      </c>
      <c r="B15" s="175">
        <v>511523243005</v>
      </c>
      <c r="C15" s="22" t="s">
        <v>433</v>
      </c>
      <c r="D15" s="176"/>
      <c r="E15" s="19"/>
      <c r="F15" s="18">
        <v>30</v>
      </c>
      <c r="G15" s="20"/>
      <c r="H15" s="20"/>
      <c r="I15" s="20"/>
      <c r="J15" s="21">
        <f t="shared" si="0"/>
        <v>30</v>
      </c>
      <c r="K15" s="21">
        <f t="shared" si="1"/>
        <v>1</v>
      </c>
      <c r="L15" s="21">
        <f t="shared" si="2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15">
      <c r="A16" s="15">
        <v>6</v>
      </c>
      <c r="B16" s="175">
        <v>511523243006</v>
      </c>
      <c r="C16" s="22" t="s">
        <v>434</v>
      </c>
      <c r="D16" s="176"/>
      <c r="E16" s="19"/>
      <c r="F16" s="18" t="s">
        <v>52</v>
      </c>
      <c r="G16" s="19"/>
      <c r="H16" s="20"/>
      <c r="I16" s="20"/>
      <c r="J16" s="21">
        <f t="shared" si="0"/>
        <v>0</v>
      </c>
      <c r="K16" s="21">
        <f t="shared" si="1"/>
        <v>1</v>
      </c>
      <c r="L16" s="21">
        <f t="shared" si="2"/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.75" customHeight="1" x14ac:dyDescent="0.15">
      <c r="A17" s="15">
        <v>7</v>
      </c>
      <c r="B17" s="175">
        <v>511523243007</v>
      </c>
      <c r="C17" s="22" t="s">
        <v>435</v>
      </c>
      <c r="D17" s="176"/>
      <c r="E17" s="19"/>
      <c r="F17" s="18">
        <v>18</v>
      </c>
      <c r="G17" s="20"/>
      <c r="H17" s="20"/>
      <c r="I17" s="20"/>
      <c r="J17" s="21">
        <f t="shared" si="0"/>
        <v>18</v>
      </c>
      <c r="K17" s="21">
        <f t="shared" si="1"/>
        <v>1</v>
      </c>
      <c r="L17" s="21">
        <f t="shared" si="2"/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.75" customHeight="1" x14ac:dyDescent="0.15">
      <c r="A18" s="15">
        <v>8</v>
      </c>
      <c r="B18" s="175">
        <v>511523243008</v>
      </c>
      <c r="C18" s="22" t="s">
        <v>436</v>
      </c>
      <c r="D18" s="176"/>
      <c r="E18" s="19"/>
      <c r="F18" s="18">
        <v>14</v>
      </c>
      <c r="G18" s="19"/>
      <c r="H18" s="19"/>
      <c r="I18" s="19"/>
      <c r="J18" s="21">
        <f t="shared" si="0"/>
        <v>14</v>
      </c>
      <c r="K18" s="21">
        <f t="shared" si="1"/>
        <v>1</v>
      </c>
      <c r="L18" s="21">
        <f t="shared" si="2"/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15">
      <c r="A19" s="15">
        <v>9</v>
      </c>
      <c r="B19" s="175">
        <v>511523243009</v>
      </c>
      <c r="C19" s="22" t="s">
        <v>437</v>
      </c>
      <c r="D19" s="176"/>
      <c r="E19" s="19"/>
      <c r="F19" s="18">
        <v>36</v>
      </c>
      <c r="G19" s="19"/>
      <c r="H19" s="20"/>
      <c r="I19" s="19"/>
      <c r="J19" s="21">
        <f t="shared" si="0"/>
        <v>36</v>
      </c>
      <c r="K19" s="21">
        <f t="shared" si="1"/>
        <v>1</v>
      </c>
      <c r="L19" s="21">
        <f t="shared" si="2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 customHeight="1" x14ac:dyDescent="0.15">
      <c r="A20" s="15">
        <v>10</v>
      </c>
      <c r="B20" s="175">
        <v>511523243010</v>
      </c>
      <c r="C20" s="22" t="s">
        <v>438</v>
      </c>
      <c r="D20" s="176"/>
      <c r="E20" s="19"/>
      <c r="F20" s="18">
        <v>22</v>
      </c>
      <c r="G20" s="19"/>
      <c r="H20" s="20"/>
      <c r="I20" s="19"/>
      <c r="J20" s="21">
        <f t="shared" si="0"/>
        <v>22</v>
      </c>
      <c r="K20" s="21">
        <f t="shared" si="1"/>
        <v>1</v>
      </c>
      <c r="L20" s="21">
        <f t="shared" si="2"/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15">
      <c r="A21" s="15">
        <v>11</v>
      </c>
      <c r="B21" s="175">
        <v>511523243011</v>
      </c>
      <c r="C21" s="22" t="s">
        <v>439</v>
      </c>
      <c r="D21" s="176"/>
      <c r="E21" s="19"/>
      <c r="F21" s="18">
        <v>60</v>
      </c>
      <c r="G21" s="19"/>
      <c r="H21" s="20"/>
      <c r="I21" s="19"/>
      <c r="J21" s="21">
        <f t="shared" si="0"/>
        <v>60</v>
      </c>
      <c r="K21" s="21">
        <f t="shared" si="1"/>
        <v>0</v>
      </c>
      <c r="L21" s="21">
        <f t="shared" si="2"/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15">
      <c r="A22" s="15">
        <v>12</v>
      </c>
      <c r="B22" s="175">
        <v>511523243012</v>
      </c>
      <c r="C22" s="22" t="s">
        <v>440</v>
      </c>
      <c r="D22" s="176"/>
      <c r="E22" s="19"/>
      <c r="F22" s="18">
        <v>52</v>
      </c>
      <c r="G22" s="19"/>
      <c r="H22" s="19"/>
      <c r="I22" s="19"/>
      <c r="J22" s="21">
        <f t="shared" si="0"/>
        <v>52</v>
      </c>
      <c r="K22" s="21">
        <f t="shared" si="1"/>
        <v>0</v>
      </c>
      <c r="L22" s="21">
        <f t="shared" si="2"/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 x14ac:dyDescent="0.15">
      <c r="A23" s="15">
        <v>13</v>
      </c>
      <c r="B23" s="175">
        <v>511523243013</v>
      </c>
      <c r="C23" s="22" t="s">
        <v>441</v>
      </c>
      <c r="D23" s="176"/>
      <c r="E23" s="19"/>
      <c r="F23" s="18" t="s">
        <v>52</v>
      </c>
      <c r="G23" s="19"/>
      <c r="H23" s="19"/>
      <c r="I23" s="19"/>
      <c r="J23" s="21">
        <f t="shared" si="0"/>
        <v>0</v>
      </c>
      <c r="K23" s="21">
        <f t="shared" si="1"/>
        <v>1</v>
      </c>
      <c r="L23" s="21">
        <f t="shared" si="2"/>
        <v>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 x14ac:dyDescent="0.15">
      <c r="A24" s="15">
        <v>14</v>
      </c>
      <c r="B24" s="175">
        <v>511523243014</v>
      </c>
      <c r="C24" s="22" t="s">
        <v>442</v>
      </c>
      <c r="D24" s="176"/>
      <c r="E24" s="19"/>
      <c r="F24" s="18" t="s">
        <v>52</v>
      </c>
      <c r="G24" s="19"/>
      <c r="H24" s="19"/>
      <c r="I24" s="19"/>
      <c r="J24" s="21">
        <f t="shared" si="0"/>
        <v>0</v>
      </c>
      <c r="K24" s="21">
        <f t="shared" si="1"/>
        <v>1</v>
      </c>
      <c r="L24" s="21">
        <f t="shared" si="2"/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 x14ac:dyDescent="0.15">
      <c r="A25" s="15">
        <v>15</v>
      </c>
      <c r="B25" s="175">
        <v>511523243015</v>
      </c>
      <c r="C25" s="22" t="s">
        <v>443</v>
      </c>
      <c r="D25" s="176"/>
      <c r="E25" s="19"/>
      <c r="F25" s="18" t="s">
        <v>52</v>
      </c>
      <c r="G25" s="19"/>
      <c r="H25" s="19"/>
      <c r="I25" s="19"/>
      <c r="J25" s="21">
        <f t="shared" si="0"/>
        <v>0</v>
      </c>
      <c r="K25" s="21">
        <f t="shared" si="1"/>
        <v>1</v>
      </c>
      <c r="L25" s="21">
        <f t="shared" si="2"/>
        <v>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 x14ac:dyDescent="0.15">
      <c r="A26" s="15">
        <v>16</v>
      </c>
      <c r="B26" s="175">
        <v>511523243016</v>
      </c>
      <c r="C26" s="223" t="s">
        <v>444</v>
      </c>
      <c r="D26" s="176"/>
      <c r="E26" s="19"/>
      <c r="F26" s="18" t="s">
        <v>52</v>
      </c>
      <c r="G26" s="19"/>
      <c r="H26" s="19"/>
      <c r="I26" s="19"/>
      <c r="J26" s="21">
        <f t="shared" si="0"/>
        <v>0</v>
      </c>
      <c r="K26" s="21">
        <f t="shared" si="1"/>
        <v>1</v>
      </c>
      <c r="L26" s="21">
        <f t="shared" si="2"/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 x14ac:dyDescent="0.15">
      <c r="A27" s="15">
        <v>17</v>
      </c>
      <c r="B27" s="175">
        <v>511523243017</v>
      </c>
      <c r="C27" s="22" t="s">
        <v>445</v>
      </c>
      <c r="D27" s="176"/>
      <c r="E27" s="19"/>
      <c r="F27" s="18">
        <v>28</v>
      </c>
      <c r="G27" s="19"/>
      <c r="H27" s="19"/>
      <c r="I27" s="19"/>
      <c r="J27" s="21">
        <f t="shared" si="0"/>
        <v>28</v>
      </c>
      <c r="K27" s="21">
        <f t="shared" si="1"/>
        <v>1</v>
      </c>
      <c r="L27" s="21">
        <f t="shared" si="2"/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 x14ac:dyDescent="0.15">
      <c r="A28" s="24">
        <v>18</v>
      </c>
      <c r="B28" s="177">
        <v>511523243018</v>
      </c>
      <c r="C28" s="26" t="s">
        <v>446</v>
      </c>
      <c r="D28" s="178"/>
      <c r="E28" s="29"/>
      <c r="F28" s="28">
        <v>34</v>
      </c>
      <c r="G28" s="29"/>
      <c r="H28" s="30"/>
      <c r="I28" s="29"/>
      <c r="J28" s="70">
        <f t="shared" si="0"/>
        <v>34</v>
      </c>
      <c r="K28" s="21">
        <f t="shared" si="1"/>
        <v>1</v>
      </c>
      <c r="L28" s="21">
        <f t="shared" si="2"/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 x14ac:dyDescent="0.15">
      <c r="A29" s="15">
        <v>19</v>
      </c>
      <c r="B29" s="175">
        <v>511523243019</v>
      </c>
      <c r="C29" s="22" t="s">
        <v>447</v>
      </c>
      <c r="D29" s="176"/>
      <c r="E29" s="19"/>
      <c r="F29" s="18" t="s">
        <v>52</v>
      </c>
      <c r="G29" s="19"/>
      <c r="H29" s="20"/>
      <c r="I29" s="19"/>
      <c r="J29" s="21">
        <f t="shared" si="0"/>
        <v>0</v>
      </c>
      <c r="K29" s="21">
        <f t="shared" si="1"/>
        <v>1</v>
      </c>
      <c r="L29" s="21">
        <f t="shared" si="2"/>
        <v>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 x14ac:dyDescent="0.15">
      <c r="A30" s="15">
        <v>20</v>
      </c>
      <c r="B30" s="175">
        <v>511523243020</v>
      </c>
      <c r="C30" s="22" t="s">
        <v>448</v>
      </c>
      <c r="D30" s="176"/>
      <c r="E30" s="19"/>
      <c r="F30" s="18" t="s">
        <v>52</v>
      </c>
      <c r="G30" s="19"/>
      <c r="H30" s="19"/>
      <c r="I30" s="19"/>
      <c r="J30" s="21">
        <f t="shared" si="0"/>
        <v>0</v>
      </c>
      <c r="K30" s="21">
        <f t="shared" si="1"/>
        <v>1</v>
      </c>
      <c r="L30" s="21">
        <f t="shared" si="2"/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 x14ac:dyDescent="0.15">
      <c r="A31" s="15">
        <v>21</v>
      </c>
      <c r="B31" s="175">
        <v>511523243021</v>
      </c>
      <c r="C31" s="22" t="s">
        <v>449</v>
      </c>
      <c r="D31" s="176"/>
      <c r="E31" s="19"/>
      <c r="F31" s="18">
        <v>10</v>
      </c>
      <c r="G31" s="19"/>
      <c r="H31" s="19"/>
      <c r="I31" s="19"/>
      <c r="J31" s="21">
        <f t="shared" si="0"/>
        <v>10</v>
      </c>
      <c r="K31" s="21">
        <f t="shared" si="1"/>
        <v>1</v>
      </c>
      <c r="L31" s="21">
        <f t="shared" si="2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 x14ac:dyDescent="0.15">
      <c r="A32" s="15">
        <v>22</v>
      </c>
      <c r="B32" s="175">
        <v>511523243022</v>
      </c>
      <c r="C32" s="22" t="s">
        <v>450</v>
      </c>
      <c r="D32" s="176"/>
      <c r="E32" s="19"/>
      <c r="F32" s="18">
        <v>50</v>
      </c>
      <c r="G32" s="19"/>
      <c r="H32" s="20"/>
      <c r="I32" s="19"/>
      <c r="J32" s="21">
        <f t="shared" si="0"/>
        <v>50</v>
      </c>
      <c r="K32" s="21">
        <f t="shared" si="1"/>
        <v>0</v>
      </c>
      <c r="L32" s="21">
        <f t="shared" si="2"/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 x14ac:dyDescent="0.15">
      <c r="A33" s="15">
        <v>23</v>
      </c>
      <c r="B33" s="175">
        <v>511523243023</v>
      </c>
      <c r="C33" s="22" t="s">
        <v>451</v>
      </c>
      <c r="D33" s="176"/>
      <c r="E33" s="19"/>
      <c r="F33" s="18">
        <v>52</v>
      </c>
      <c r="G33" s="19"/>
      <c r="H33" s="20"/>
      <c r="I33" s="19"/>
      <c r="J33" s="21">
        <f t="shared" si="0"/>
        <v>52</v>
      </c>
      <c r="K33" s="21">
        <f t="shared" si="1"/>
        <v>0</v>
      </c>
      <c r="L33" s="21">
        <f t="shared" si="2"/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 x14ac:dyDescent="0.15">
      <c r="A34" s="15">
        <v>24</v>
      </c>
      <c r="B34" s="175">
        <v>511523243024</v>
      </c>
      <c r="C34" s="22" t="s">
        <v>452</v>
      </c>
      <c r="D34" s="176"/>
      <c r="E34" s="19"/>
      <c r="F34" s="18">
        <v>0</v>
      </c>
      <c r="G34" s="19"/>
      <c r="H34" s="19"/>
      <c r="I34" s="19"/>
      <c r="J34" s="21">
        <f t="shared" si="0"/>
        <v>0</v>
      </c>
      <c r="K34" s="21">
        <f t="shared" si="1"/>
        <v>1</v>
      </c>
      <c r="L34" s="21">
        <f t="shared" si="2"/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 x14ac:dyDescent="0.15">
      <c r="A35" s="15">
        <v>25</v>
      </c>
      <c r="B35" s="175">
        <v>511523243025</v>
      </c>
      <c r="C35" s="22" t="s">
        <v>453</v>
      </c>
      <c r="D35" s="176"/>
      <c r="E35" s="19"/>
      <c r="F35" s="18">
        <v>0</v>
      </c>
      <c r="G35" s="19"/>
      <c r="H35" s="20"/>
      <c r="I35" s="19"/>
      <c r="J35" s="21">
        <f t="shared" si="0"/>
        <v>0</v>
      </c>
      <c r="K35" s="21">
        <f t="shared" si="1"/>
        <v>1</v>
      </c>
      <c r="L35" s="21">
        <f t="shared" si="2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.75" customHeight="1" x14ac:dyDescent="0.15">
      <c r="A36" s="15">
        <v>26</v>
      </c>
      <c r="B36" s="175">
        <v>511523243026</v>
      </c>
      <c r="C36" s="22" t="s">
        <v>454</v>
      </c>
      <c r="D36" s="176"/>
      <c r="E36" s="19"/>
      <c r="F36" s="18">
        <v>12</v>
      </c>
      <c r="G36" s="19"/>
      <c r="H36" s="19"/>
      <c r="I36" s="19"/>
      <c r="J36" s="21">
        <f t="shared" si="0"/>
        <v>12</v>
      </c>
      <c r="K36" s="21">
        <f t="shared" si="1"/>
        <v>1</v>
      </c>
      <c r="L36" s="21">
        <f t="shared" si="2"/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 x14ac:dyDescent="0.15">
      <c r="A37" s="15">
        <v>27</v>
      </c>
      <c r="B37" s="175">
        <v>511523243027</v>
      </c>
      <c r="C37" s="22" t="s">
        <v>455</v>
      </c>
      <c r="D37" s="176"/>
      <c r="E37" s="19"/>
      <c r="F37" s="18">
        <v>56</v>
      </c>
      <c r="G37" s="19"/>
      <c r="H37" s="19"/>
      <c r="I37" s="19"/>
      <c r="J37" s="21">
        <f t="shared" si="0"/>
        <v>56</v>
      </c>
      <c r="K37" s="21">
        <f t="shared" si="1"/>
        <v>0</v>
      </c>
      <c r="L37" s="21">
        <f t="shared" si="2"/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 x14ac:dyDescent="0.15">
      <c r="A38" s="15">
        <v>28</v>
      </c>
      <c r="B38" s="175">
        <v>511523243028</v>
      </c>
      <c r="C38" s="22" t="s">
        <v>456</v>
      </c>
      <c r="D38" s="176"/>
      <c r="E38" s="19"/>
      <c r="F38" s="18">
        <v>26</v>
      </c>
      <c r="G38" s="19"/>
      <c r="H38" s="20"/>
      <c r="I38" s="19"/>
      <c r="J38" s="21">
        <f t="shared" si="0"/>
        <v>26</v>
      </c>
      <c r="K38" s="21">
        <f t="shared" si="1"/>
        <v>1</v>
      </c>
      <c r="L38" s="21">
        <f t="shared" si="2"/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 x14ac:dyDescent="0.15">
      <c r="A39" s="15">
        <v>29</v>
      </c>
      <c r="B39" s="175">
        <v>511523243029</v>
      </c>
      <c r="C39" s="22" t="s">
        <v>457</v>
      </c>
      <c r="D39" s="176"/>
      <c r="E39" s="19"/>
      <c r="F39" s="18">
        <v>34</v>
      </c>
      <c r="G39" s="19"/>
      <c r="H39" s="19"/>
      <c r="I39" s="19"/>
      <c r="J39" s="21">
        <f t="shared" si="0"/>
        <v>34</v>
      </c>
      <c r="K39" s="21">
        <f t="shared" si="1"/>
        <v>1</v>
      </c>
      <c r="L39" s="21">
        <f t="shared" si="2"/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x14ac:dyDescent="0.15">
      <c r="A40" s="15">
        <v>30</v>
      </c>
      <c r="B40" s="175">
        <v>511523243030</v>
      </c>
      <c r="C40" s="22" t="s">
        <v>458</v>
      </c>
      <c r="D40" s="176"/>
      <c r="E40" s="19"/>
      <c r="F40" s="18">
        <v>8</v>
      </c>
      <c r="G40" s="19"/>
      <c r="H40" s="20"/>
      <c r="I40" s="19"/>
      <c r="J40" s="21">
        <f t="shared" si="0"/>
        <v>8</v>
      </c>
      <c r="K40" s="21">
        <f t="shared" si="1"/>
        <v>1</v>
      </c>
      <c r="L40" s="21">
        <f t="shared" si="2"/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 x14ac:dyDescent="0.15">
      <c r="A41" s="15">
        <v>31</v>
      </c>
      <c r="B41" s="175">
        <v>511523243031</v>
      </c>
      <c r="C41" s="22" t="s">
        <v>459</v>
      </c>
      <c r="D41" s="176"/>
      <c r="E41" s="19"/>
      <c r="F41" s="18">
        <v>12</v>
      </c>
      <c r="G41" s="19"/>
      <c r="H41" s="19"/>
      <c r="I41" s="19"/>
      <c r="J41" s="21">
        <f t="shared" si="0"/>
        <v>12</v>
      </c>
      <c r="K41" s="21">
        <f t="shared" si="1"/>
        <v>1</v>
      </c>
      <c r="L41" s="21">
        <f t="shared" si="2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 x14ac:dyDescent="0.15">
      <c r="A42" s="15">
        <v>32</v>
      </c>
      <c r="B42" s="175">
        <v>511523243032</v>
      </c>
      <c r="C42" s="22" t="s">
        <v>460</v>
      </c>
      <c r="D42" s="176"/>
      <c r="E42" s="19"/>
      <c r="F42" s="18" t="s">
        <v>52</v>
      </c>
      <c r="G42" s="19"/>
      <c r="H42" s="19"/>
      <c r="I42" s="19"/>
      <c r="J42" s="21">
        <f t="shared" si="0"/>
        <v>0</v>
      </c>
      <c r="K42" s="21">
        <f t="shared" si="1"/>
        <v>1</v>
      </c>
      <c r="L42" s="21">
        <f t="shared" si="2"/>
        <v>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 x14ac:dyDescent="0.15">
      <c r="A43" s="15">
        <v>33</v>
      </c>
      <c r="B43" s="175">
        <v>511523243033</v>
      </c>
      <c r="C43" s="22" t="s">
        <v>461</v>
      </c>
      <c r="D43" s="176"/>
      <c r="E43" s="19"/>
      <c r="F43" s="18">
        <v>0</v>
      </c>
      <c r="G43" s="19"/>
      <c r="H43" s="19"/>
      <c r="I43" s="19"/>
      <c r="J43" s="21">
        <f t="shared" si="0"/>
        <v>0</v>
      </c>
      <c r="K43" s="21">
        <f t="shared" si="1"/>
        <v>1</v>
      </c>
      <c r="L43" s="21">
        <f t="shared" si="2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 x14ac:dyDescent="0.15">
      <c r="A44" s="15">
        <v>34</v>
      </c>
      <c r="B44" s="175">
        <v>511523243034</v>
      </c>
      <c r="C44" s="22" t="s">
        <v>462</v>
      </c>
      <c r="D44" s="176"/>
      <c r="E44" s="19"/>
      <c r="F44" s="18">
        <v>20</v>
      </c>
      <c r="G44" s="19"/>
      <c r="H44" s="20"/>
      <c r="I44" s="19"/>
      <c r="J44" s="21">
        <f t="shared" si="0"/>
        <v>20</v>
      </c>
      <c r="K44" s="21">
        <f t="shared" si="1"/>
        <v>1</v>
      </c>
      <c r="L44" s="21">
        <f t="shared" si="2"/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 x14ac:dyDescent="0.15">
      <c r="A45" s="15">
        <v>35</v>
      </c>
      <c r="B45" s="175">
        <v>511523243035</v>
      </c>
      <c r="C45" s="22" t="s">
        <v>463</v>
      </c>
      <c r="D45" s="176"/>
      <c r="E45" s="19"/>
      <c r="F45" s="18">
        <v>36</v>
      </c>
      <c r="G45" s="19"/>
      <c r="H45" s="20"/>
      <c r="I45" s="19"/>
      <c r="J45" s="21">
        <f t="shared" si="0"/>
        <v>36</v>
      </c>
      <c r="K45" s="21">
        <f t="shared" si="1"/>
        <v>1</v>
      </c>
      <c r="L45" s="21">
        <f t="shared" si="2"/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 x14ac:dyDescent="0.15">
      <c r="A46" s="15">
        <v>36</v>
      </c>
      <c r="B46" s="175">
        <v>511523243036</v>
      </c>
      <c r="C46" s="22" t="s">
        <v>464</v>
      </c>
      <c r="D46" s="176"/>
      <c r="E46" s="19"/>
      <c r="F46" s="18">
        <v>52</v>
      </c>
      <c r="G46" s="19"/>
      <c r="H46" s="19"/>
      <c r="I46" s="19"/>
      <c r="J46" s="21">
        <f t="shared" si="0"/>
        <v>52</v>
      </c>
      <c r="K46" s="21">
        <f t="shared" si="1"/>
        <v>0</v>
      </c>
      <c r="L46" s="21">
        <f t="shared" si="2"/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 x14ac:dyDescent="0.15">
      <c r="A47" s="15">
        <v>37</v>
      </c>
      <c r="B47" s="175">
        <v>511523243037</v>
      </c>
      <c r="C47" s="22" t="s">
        <v>465</v>
      </c>
      <c r="D47" s="176"/>
      <c r="E47" s="19"/>
      <c r="F47" s="18">
        <v>26</v>
      </c>
      <c r="G47" s="19"/>
      <c r="H47" s="19"/>
      <c r="I47" s="19"/>
      <c r="J47" s="21">
        <f t="shared" si="0"/>
        <v>26</v>
      </c>
      <c r="K47" s="21">
        <f t="shared" si="1"/>
        <v>1</v>
      </c>
      <c r="L47" s="21">
        <f t="shared" si="2"/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 x14ac:dyDescent="0.15">
      <c r="A48" s="15">
        <v>38</v>
      </c>
      <c r="B48" s="175">
        <v>511523243038</v>
      </c>
      <c r="C48" s="22" t="s">
        <v>466</v>
      </c>
      <c r="D48" s="176"/>
      <c r="E48" s="19"/>
      <c r="F48" s="18">
        <v>22</v>
      </c>
      <c r="G48" s="19"/>
      <c r="H48" s="20"/>
      <c r="I48" s="19"/>
      <c r="J48" s="21">
        <f t="shared" si="0"/>
        <v>22</v>
      </c>
      <c r="K48" s="21">
        <f t="shared" si="1"/>
        <v>1</v>
      </c>
      <c r="L48" s="21">
        <f t="shared" si="2"/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 x14ac:dyDescent="0.15">
      <c r="A49" s="15">
        <v>39</v>
      </c>
      <c r="B49" s="175">
        <v>511523243039</v>
      </c>
      <c r="C49" s="22" t="s">
        <v>467</v>
      </c>
      <c r="D49" s="176"/>
      <c r="E49" s="19"/>
      <c r="F49" s="18">
        <v>20</v>
      </c>
      <c r="G49" s="19"/>
      <c r="H49" s="19"/>
      <c r="I49" s="19"/>
      <c r="J49" s="21">
        <f t="shared" si="0"/>
        <v>20</v>
      </c>
      <c r="K49" s="21">
        <f t="shared" si="1"/>
        <v>1</v>
      </c>
      <c r="L49" s="21">
        <f t="shared" si="2"/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 x14ac:dyDescent="0.2">
      <c r="A50" s="15">
        <v>40</v>
      </c>
      <c r="B50" s="175">
        <v>511523243040</v>
      </c>
      <c r="C50" s="22" t="s">
        <v>468</v>
      </c>
      <c r="D50" s="176"/>
      <c r="E50" s="19"/>
      <c r="F50" s="18">
        <v>22</v>
      </c>
      <c r="G50" s="19"/>
      <c r="H50" s="19"/>
      <c r="I50" s="19"/>
      <c r="J50" s="21">
        <f t="shared" si="0"/>
        <v>22</v>
      </c>
      <c r="K50" s="21">
        <f t="shared" si="1"/>
        <v>1</v>
      </c>
      <c r="L50" s="21">
        <f t="shared" si="2"/>
        <v>0</v>
      </c>
      <c r="M50" s="2"/>
      <c r="N50" s="31"/>
      <c r="O50" s="31"/>
      <c r="P50" s="31"/>
      <c r="Q50" s="31"/>
      <c r="R50" s="31"/>
      <c r="S50" s="31"/>
      <c r="T50" s="2"/>
      <c r="U50" s="2"/>
      <c r="V50" s="2"/>
      <c r="W50" s="2"/>
      <c r="X50" s="2"/>
      <c r="Y50" s="2"/>
      <c r="Z50" s="2"/>
    </row>
    <row r="51" spans="1:26" ht="24.75" customHeight="1" x14ac:dyDescent="0.2">
      <c r="A51" s="15">
        <v>41</v>
      </c>
      <c r="B51" s="175">
        <v>511523243041</v>
      </c>
      <c r="C51" s="22" t="s">
        <v>469</v>
      </c>
      <c r="D51" s="176"/>
      <c r="E51" s="19"/>
      <c r="F51" s="18">
        <v>26</v>
      </c>
      <c r="G51" s="19"/>
      <c r="H51" s="19"/>
      <c r="I51" s="19"/>
      <c r="J51" s="21">
        <f t="shared" si="0"/>
        <v>26</v>
      </c>
      <c r="K51" s="21">
        <f t="shared" si="1"/>
        <v>1</v>
      </c>
      <c r="L51" s="21">
        <f t="shared" si="2"/>
        <v>0</v>
      </c>
      <c r="M51" s="2"/>
      <c r="N51" s="32"/>
      <c r="O51" s="32"/>
      <c r="P51" s="32"/>
      <c r="Q51" s="32"/>
      <c r="R51" s="32"/>
      <c r="S51" s="32"/>
      <c r="T51" s="2"/>
      <c r="U51" s="2"/>
      <c r="V51" s="2"/>
      <c r="W51" s="2"/>
      <c r="X51" s="2"/>
      <c r="Y51" s="2"/>
      <c r="Z51" s="2"/>
    </row>
    <row r="52" spans="1:26" ht="24.75" customHeight="1" x14ac:dyDescent="0.2">
      <c r="A52" s="15">
        <v>42</v>
      </c>
      <c r="B52" s="175">
        <v>511523243042</v>
      </c>
      <c r="C52" s="22" t="s">
        <v>470</v>
      </c>
      <c r="D52" s="176"/>
      <c r="E52" s="19"/>
      <c r="F52" s="18">
        <v>42</v>
      </c>
      <c r="G52" s="19"/>
      <c r="H52" s="19"/>
      <c r="I52" s="19"/>
      <c r="J52" s="21">
        <f t="shared" si="0"/>
        <v>42</v>
      </c>
      <c r="K52" s="21">
        <f t="shared" si="1"/>
        <v>1</v>
      </c>
      <c r="L52" s="21">
        <f t="shared" si="2"/>
        <v>0</v>
      </c>
      <c r="M52" s="3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 x14ac:dyDescent="0.2">
      <c r="A53" s="15">
        <v>43</v>
      </c>
      <c r="B53" s="175">
        <v>511523243043</v>
      </c>
      <c r="C53" s="22" t="s">
        <v>471</v>
      </c>
      <c r="D53" s="176"/>
      <c r="E53" s="19"/>
      <c r="F53" s="18">
        <v>56</v>
      </c>
      <c r="G53" s="19"/>
      <c r="H53" s="19"/>
      <c r="I53" s="19"/>
      <c r="J53" s="21">
        <f t="shared" si="0"/>
        <v>56</v>
      </c>
      <c r="K53" s="21">
        <f t="shared" si="1"/>
        <v>0</v>
      </c>
      <c r="L53" s="21">
        <f t="shared" si="2"/>
        <v>0</v>
      </c>
      <c r="M53" s="3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 x14ac:dyDescent="0.2">
      <c r="A54" s="15">
        <v>44</v>
      </c>
      <c r="B54" s="175">
        <v>511523243044</v>
      </c>
      <c r="C54" s="22" t="s">
        <v>472</v>
      </c>
      <c r="D54" s="176"/>
      <c r="E54" s="19"/>
      <c r="F54" s="18">
        <v>20</v>
      </c>
      <c r="G54" s="19"/>
      <c r="H54" s="19"/>
      <c r="I54" s="19"/>
      <c r="J54" s="21">
        <f t="shared" si="0"/>
        <v>20</v>
      </c>
      <c r="K54" s="21">
        <f t="shared" si="1"/>
        <v>1</v>
      </c>
      <c r="L54" s="21">
        <f t="shared" si="2"/>
        <v>0</v>
      </c>
      <c r="M54" s="3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 x14ac:dyDescent="0.2">
      <c r="A55" s="15">
        <v>45</v>
      </c>
      <c r="B55" s="175">
        <v>511523243045</v>
      </c>
      <c r="C55" s="22" t="s">
        <v>473</v>
      </c>
      <c r="D55" s="176"/>
      <c r="E55" s="19"/>
      <c r="F55" s="18">
        <v>26</v>
      </c>
      <c r="G55" s="19"/>
      <c r="H55" s="19"/>
      <c r="I55" s="19"/>
      <c r="J55" s="21">
        <f t="shared" si="0"/>
        <v>26</v>
      </c>
      <c r="K55" s="21">
        <f t="shared" si="1"/>
        <v>1</v>
      </c>
      <c r="L55" s="21">
        <f t="shared" si="2"/>
        <v>0</v>
      </c>
      <c r="M55" s="3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 x14ac:dyDescent="0.2">
      <c r="A56" s="15">
        <v>46</v>
      </c>
      <c r="B56" s="175">
        <v>511523243046</v>
      </c>
      <c r="C56" s="22" t="s">
        <v>474</v>
      </c>
      <c r="D56" s="176"/>
      <c r="E56" s="19"/>
      <c r="F56" s="18">
        <v>42</v>
      </c>
      <c r="G56" s="19"/>
      <c r="H56" s="19"/>
      <c r="I56" s="19"/>
      <c r="J56" s="21">
        <f t="shared" si="0"/>
        <v>42</v>
      </c>
      <c r="K56" s="21">
        <f t="shared" si="1"/>
        <v>1</v>
      </c>
      <c r="L56" s="21">
        <f t="shared" si="2"/>
        <v>0</v>
      </c>
      <c r="M56" s="3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 x14ac:dyDescent="0.2">
      <c r="A57" s="15">
        <v>47</v>
      </c>
      <c r="B57" s="175">
        <v>511523243047</v>
      </c>
      <c r="C57" s="22" t="s">
        <v>475</v>
      </c>
      <c r="D57" s="176"/>
      <c r="E57" s="19"/>
      <c r="F57" s="18">
        <v>24</v>
      </c>
      <c r="G57" s="19"/>
      <c r="H57" s="19"/>
      <c r="I57" s="19"/>
      <c r="J57" s="21">
        <f t="shared" si="0"/>
        <v>24</v>
      </c>
      <c r="K57" s="21">
        <f t="shared" si="1"/>
        <v>1</v>
      </c>
      <c r="L57" s="21">
        <f t="shared" si="2"/>
        <v>0</v>
      </c>
      <c r="M57" s="3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 x14ac:dyDescent="0.2">
      <c r="A58" s="15">
        <v>48</v>
      </c>
      <c r="B58" s="175">
        <v>511523243048</v>
      </c>
      <c r="C58" s="22" t="s">
        <v>476</v>
      </c>
      <c r="D58" s="176"/>
      <c r="E58" s="19"/>
      <c r="F58" s="18">
        <v>24</v>
      </c>
      <c r="G58" s="19"/>
      <c r="H58" s="20"/>
      <c r="I58" s="19"/>
      <c r="J58" s="21">
        <f t="shared" si="0"/>
        <v>24</v>
      </c>
      <c r="K58" s="21">
        <f t="shared" si="1"/>
        <v>1</v>
      </c>
      <c r="L58" s="21">
        <f t="shared" si="2"/>
        <v>0</v>
      </c>
      <c r="M58" s="3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 x14ac:dyDescent="0.2">
      <c r="A59" s="15">
        <v>49</v>
      </c>
      <c r="B59" s="175">
        <v>511523243049</v>
      </c>
      <c r="C59" s="22" t="s">
        <v>477</v>
      </c>
      <c r="D59" s="176"/>
      <c r="E59" s="19"/>
      <c r="F59" s="18" t="s">
        <v>52</v>
      </c>
      <c r="G59" s="19"/>
      <c r="H59" s="19"/>
      <c r="I59" s="19"/>
      <c r="J59" s="21">
        <f t="shared" si="0"/>
        <v>0</v>
      </c>
      <c r="K59" s="21">
        <f t="shared" si="1"/>
        <v>1</v>
      </c>
      <c r="L59" s="21">
        <f t="shared" si="2"/>
        <v>1</v>
      </c>
      <c r="M59" s="3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 x14ac:dyDescent="0.2">
      <c r="A60" s="15">
        <v>50</v>
      </c>
      <c r="B60" s="175">
        <v>511523243050</v>
      </c>
      <c r="C60" s="22" t="s">
        <v>478</v>
      </c>
      <c r="D60" s="176"/>
      <c r="E60" s="19"/>
      <c r="F60" s="18">
        <v>42</v>
      </c>
      <c r="G60" s="19"/>
      <c r="H60" s="19"/>
      <c r="I60" s="19"/>
      <c r="J60" s="21">
        <f t="shared" si="0"/>
        <v>42</v>
      </c>
      <c r="K60" s="21">
        <f t="shared" si="1"/>
        <v>1</v>
      </c>
      <c r="L60" s="21">
        <f t="shared" si="2"/>
        <v>0</v>
      </c>
      <c r="M60" s="3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 x14ac:dyDescent="0.2">
      <c r="A61" s="15">
        <v>51</v>
      </c>
      <c r="B61" s="175">
        <v>511523243051</v>
      </c>
      <c r="C61" s="22" t="s">
        <v>479</v>
      </c>
      <c r="D61" s="176"/>
      <c r="E61" s="19"/>
      <c r="F61" s="18">
        <v>6</v>
      </c>
      <c r="G61" s="19"/>
      <c r="H61" s="19"/>
      <c r="I61" s="19"/>
      <c r="J61" s="21">
        <f t="shared" si="0"/>
        <v>6</v>
      </c>
      <c r="K61" s="21">
        <f t="shared" si="1"/>
        <v>1</v>
      </c>
      <c r="L61" s="21">
        <f t="shared" si="2"/>
        <v>0</v>
      </c>
      <c r="M61" s="3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 x14ac:dyDescent="0.2">
      <c r="A62" s="15">
        <v>52</v>
      </c>
      <c r="B62" s="175">
        <v>511523243052</v>
      </c>
      <c r="C62" s="22" t="s">
        <v>480</v>
      </c>
      <c r="D62" s="176"/>
      <c r="E62" s="19"/>
      <c r="F62" s="18">
        <v>0</v>
      </c>
      <c r="G62" s="19"/>
      <c r="H62" s="19"/>
      <c r="I62" s="19"/>
      <c r="J62" s="21">
        <f t="shared" si="0"/>
        <v>0</v>
      </c>
      <c r="K62" s="21">
        <f t="shared" si="1"/>
        <v>1</v>
      </c>
      <c r="L62" s="21">
        <f t="shared" si="2"/>
        <v>0</v>
      </c>
      <c r="M62" s="3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 x14ac:dyDescent="0.2">
      <c r="A63" s="15">
        <v>53</v>
      </c>
      <c r="B63" s="175">
        <v>511523243053</v>
      </c>
      <c r="C63" s="22" t="s">
        <v>481</v>
      </c>
      <c r="D63" s="176"/>
      <c r="E63" s="19"/>
      <c r="F63" s="18">
        <v>20</v>
      </c>
      <c r="G63" s="19"/>
      <c r="H63" s="19"/>
      <c r="I63" s="19"/>
      <c r="J63" s="21">
        <f t="shared" si="0"/>
        <v>20</v>
      </c>
      <c r="K63" s="21">
        <f t="shared" si="1"/>
        <v>1</v>
      </c>
      <c r="L63" s="21">
        <f t="shared" si="2"/>
        <v>0</v>
      </c>
      <c r="M63" s="3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 x14ac:dyDescent="0.2">
      <c r="A64" s="15">
        <v>54</v>
      </c>
      <c r="B64" s="175">
        <v>511523243054</v>
      </c>
      <c r="C64" s="22" t="s">
        <v>482</v>
      </c>
      <c r="D64" s="176"/>
      <c r="E64" s="19"/>
      <c r="F64" s="18">
        <v>28</v>
      </c>
      <c r="G64" s="19"/>
      <c r="H64" s="19"/>
      <c r="I64" s="19"/>
      <c r="J64" s="21">
        <f t="shared" si="0"/>
        <v>28</v>
      </c>
      <c r="K64" s="21">
        <f t="shared" si="1"/>
        <v>1</v>
      </c>
      <c r="L64" s="21">
        <f t="shared" si="2"/>
        <v>0</v>
      </c>
      <c r="M64" s="3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 x14ac:dyDescent="0.2">
      <c r="A65" s="15">
        <v>55</v>
      </c>
      <c r="B65" s="175">
        <v>511523243055</v>
      </c>
      <c r="C65" s="22" t="s">
        <v>483</v>
      </c>
      <c r="D65" s="176"/>
      <c r="E65" s="19"/>
      <c r="F65" s="18">
        <v>20</v>
      </c>
      <c r="G65" s="19"/>
      <c r="H65" s="19"/>
      <c r="I65" s="19"/>
      <c r="J65" s="21">
        <f t="shared" si="0"/>
        <v>20</v>
      </c>
      <c r="K65" s="21">
        <f t="shared" si="1"/>
        <v>1</v>
      </c>
      <c r="L65" s="21">
        <f t="shared" si="2"/>
        <v>0</v>
      </c>
      <c r="M65" s="3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 x14ac:dyDescent="0.2">
      <c r="A66" s="15">
        <v>56</v>
      </c>
      <c r="B66" s="13"/>
      <c r="C66" s="34" t="s">
        <v>484</v>
      </c>
      <c r="D66" s="176"/>
      <c r="E66" s="19"/>
      <c r="F66" s="18">
        <v>8</v>
      </c>
      <c r="G66" s="19"/>
      <c r="H66" s="19"/>
      <c r="I66" s="19"/>
      <c r="J66" s="21">
        <f t="shared" si="0"/>
        <v>8</v>
      </c>
      <c r="K66" s="21">
        <f t="shared" si="1"/>
        <v>1</v>
      </c>
      <c r="L66" s="21">
        <f t="shared" si="2"/>
        <v>0</v>
      </c>
      <c r="M66" s="3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 x14ac:dyDescent="0.2">
      <c r="A67" s="15">
        <v>57</v>
      </c>
      <c r="B67" s="13"/>
      <c r="C67" s="34" t="s">
        <v>485</v>
      </c>
      <c r="D67" s="176"/>
      <c r="E67" s="19"/>
      <c r="F67" s="18">
        <v>26</v>
      </c>
      <c r="G67" s="19"/>
      <c r="H67" s="19"/>
      <c r="I67" s="19"/>
      <c r="J67" s="21">
        <f t="shared" si="0"/>
        <v>26</v>
      </c>
      <c r="K67" s="21">
        <f t="shared" si="1"/>
        <v>1</v>
      </c>
      <c r="L67" s="21">
        <f t="shared" si="2"/>
        <v>0</v>
      </c>
      <c r="M67" s="3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7.5" customHeight="1" x14ac:dyDescent="0.15">
      <c r="A68" s="248"/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35" t="s">
        <v>76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15">
      <c r="A69" s="243" t="s">
        <v>77</v>
      </c>
      <c r="B69" s="244"/>
      <c r="C69" s="245"/>
      <c r="D69" s="19">
        <v>57</v>
      </c>
      <c r="E69" s="19">
        <v>57</v>
      </c>
      <c r="F69" s="19">
        <v>57</v>
      </c>
      <c r="G69" s="19">
        <v>57</v>
      </c>
      <c r="H69" s="19">
        <v>57</v>
      </c>
      <c r="I69" s="19">
        <v>57</v>
      </c>
      <c r="J69" s="36" t="s">
        <v>78</v>
      </c>
      <c r="K69" s="36">
        <f>COUNTIF(K11:K67,"1")</f>
        <v>50</v>
      </c>
      <c r="L69" s="238">
        <f>COUNTIF(K11:K67,"0")</f>
        <v>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15">
      <c r="A70" s="249" t="s">
        <v>79</v>
      </c>
      <c r="B70" s="244"/>
      <c r="C70" s="245"/>
      <c r="D70" s="19">
        <f t="shared" ref="D70:I70" si="3">COUNT(D11:D67,"!AB")</f>
        <v>0</v>
      </c>
      <c r="E70" s="19">
        <f t="shared" si="3"/>
        <v>0</v>
      </c>
      <c r="F70" s="19">
        <f t="shared" si="3"/>
        <v>47</v>
      </c>
      <c r="G70" s="19">
        <f t="shared" si="3"/>
        <v>0</v>
      </c>
      <c r="H70" s="19">
        <f t="shared" si="3"/>
        <v>0</v>
      </c>
      <c r="I70" s="19">
        <f t="shared" si="3"/>
        <v>0</v>
      </c>
      <c r="J70" s="36" t="s">
        <v>80</v>
      </c>
      <c r="K70" s="36">
        <f>COUNTIF(K12:K67,"2")</f>
        <v>0</v>
      </c>
      <c r="L70" s="23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15">
      <c r="A71" s="249" t="s">
        <v>81</v>
      </c>
      <c r="B71" s="244"/>
      <c r="C71" s="245"/>
      <c r="D71" s="19">
        <v>0</v>
      </c>
      <c r="E71" s="19">
        <f t="shared" ref="E71:H71" si="4">COUNTIF(E11:E67,"AB")</f>
        <v>0</v>
      </c>
      <c r="F71" s="19">
        <f t="shared" si="4"/>
        <v>10</v>
      </c>
      <c r="G71" s="19">
        <f t="shared" si="4"/>
        <v>0</v>
      </c>
      <c r="H71" s="19">
        <f t="shared" si="4"/>
        <v>0</v>
      </c>
      <c r="I71" s="19">
        <v>4</v>
      </c>
      <c r="J71" s="36" t="s">
        <v>82</v>
      </c>
      <c r="K71" s="36">
        <f>COUNTIF(K13:K67,"3")</f>
        <v>0</v>
      </c>
      <c r="L71" s="23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15">
      <c r="A72" s="249" t="s">
        <v>83</v>
      </c>
      <c r="B72" s="244"/>
      <c r="C72" s="245"/>
      <c r="D72" s="19">
        <f t="shared" ref="D72:I72" si="5">COUNTIF(D11:D67,"OD")</f>
        <v>0</v>
      </c>
      <c r="E72" s="19">
        <f t="shared" si="5"/>
        <v>0</v>
      </c>
      <c r="F72" s="19">
        <f t="shared" si="5"/>
        <v>0</v>
      </c>
      <c r="G72" s="19">
        <f t="shared" si="5"/>
        <v>0</v>
      </c>
      <c r="H72" s="19">
        <f t="shared" si="5"/>
        <v>0</v>
      </c>
      <c r="I72" s="19">
        <f t="shared" si="5"/>
        <v>0</v>
      </c>
      <c r="J72" s="12" t="s">
        <v>84</v>
      </c>
      <c r="K72" s="36">
        <f>COUNTIF(K14:K67,"4")</f>
        <v>0</v>
      </c>
      <c r="L72" s="23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 x14ac:dyDescent="0.15">
      <c r="A73" s="249" t="s">
        <v>85</v>
      </c>
      <c r="B73" s="244"/>
      <c r="C73" s="245"/>
      <c r="D73" s="19">
        <f t="shared" ref="D73:I73" si="6">COUNTIF(D11:D67,"&gt;=50")</f>
        <v>0</v>
      </c>
      <c r="E73" s="19">
        <f t="shared" si="6"/>
        <v>0</v>
      </c>
      <c r="F73" s="19">
        <f t="shared" si="6"/>
        <v>7</v>
      </c>
      <c r="G73" s="19">
        <f t="shared" si="6"/>
        <v>0</v>
      </c>
      <c r="H73" s="19">
        <f t="shared" si="6"/>
        <v>0</v>
      </c>
      <c r="I73" s="19">
        <f t="shared" si="6"/>
        <v>0</v>
      </c>
      <c r="J73" s="36" t="s">
        <v>86</v>
      </c>
      <c r="K73" s="36">
        <f>COUNTIF(K15:K67,"5")</f>
        <v>0</v>
      </c>
      <c r="L73" s="23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 x14ac:dyDescent="0.15">
      <c r="A74" s="249" t="s">
        <v>87</v>
      </c>
      <c r="B74" s="244"/>
      <c r="C74" s="245"/>
      <c r="D74" s="19">
        <f t="shared" ref="D74:I74" si="7">COUNTIF(D11:D67,"&lt;=49")</f>
        <v>0</v>
      </c>
      <c r="E74" s="19">
        <f t="shared" si="7"/>
        <v>0</v>
      </c>
      <c r="F74" s="19">
        <f t="shared" si="7"/>
        <v>40</v>
      </c>
      <c r="G74" s="19">
        <f t="shared" si="7"/>
        <v>0</v>
      </c>
      <c r="H74" s="19">
        <f t="shared" si="7"/>
        <v>0</v>
      </c>
      <c r="I74" s="19">
        <f t="shared" si="7"/>
        <v>0</v>
      </c>
      <c r="J74" s="37" t="s">
        <v>88</v>
      </c>
      <c r="K74" s="36">
        <f>COUNTIF(K16:K67,"6")</f>
        <v>0</v>
      </c>
      <c r="L74" s="23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 x14ac:dyDescent="0.15">
      <c r="A75" s="249" t="s">
        <v>89</v>
      </c>
      <c r="B75" s="244"/>
      <c r="C75" s="244"/>
      <c r="D75" s="38" t="e">
        <f t="shared" ref="D75:I75" si="8">D73/D70</f>
        <v>#DIV/0!</v>
      </c>
      <c r="E75" s="38" t="e">
        <f t="shared" si="8"/>
        <v>#DIV/0!</v>
      </c>
      <c r="F75" s="38">
        <f t="shared" si="8"/>
        <v>0.14893617021276595</v>
      </c>
      <c r="G75" s="38" t="e">
        <f t="shared" si="8"/>
        <v>#DIV/0!</v>
      </c>
      <c r="H75" s="38" t="e">
        <f t="shared" si="8"/>
        <v>#DIV/0!</v>
      </c>
      <c r="I75" s="224" t="e">
        <f t="shared" si="8"/>
        <v>#DIV/0!</v>
      </c>
      <c r="J75" s="39"/>
      <c r="K75" s="40"/>
      <c r="L75" s="23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46.5" customHeight="1" x14ac:dyDescent="0.15">
      <c r="A76" s="85" t="s">
        <v>180</v>
      </c>
      <c r="B76" s="42" t="s">
        <v>486</v>
      </c>
      <c r="C76" s="43" t="s">
        <v>487</v>
      </c>
      <c r="D76" s="44" t="s">
        <v>488</v>
      </c>
      <c r="E76" s="45" t="s">
        <v>489</v>
      </c>
      <c r="F76" s="46" t="s">
        <v>490</v>
      </c>
      <c r="G76" s="45" t="s">
        <v>491</v>
      </c>
      <c r="H76" s="47" t="s">
        <v>492</v>
      </c>
      <c r="I76" s="225" t="s">
        <v>493</v>
      </c>
      <c r="J76" s="226" t="s">
        <v>494</v>
      </c>
      <c r="K76" s="227" t="s">
        <v>495</v>
      </c>
      <c r="L76" s="8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56.25" customHeight="1" x14ac:dyDescent="0.15">
      <c r="B77" s="42" t="s">
        <v>91</v>
      </c>
      <c r="C77" s="43" t="s">
        <v>92</v>
      </c>
      <c r="D77" s="44" t="s">
        <v>93</v>
      </c>
      <c r="E77" s="45"/>
      <c r="F77" s="46" t="s">
        <v>94</v>
      </c>
      <c r="G77" s="45"/>
      <c r="H77" s="47" t="s">
        <v>95</v>
      </c>
      <c r="I77" s="225"/>
      <c r="J77" s="48"/>
      <c r="K77" s="49" t="s">
        <v>96</v>
      </c>
      <c r="L77" s="5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56.25" customHeight="1" x14ac:dyDescent="0.2">
      <c r="A78" s="51">
        <v>1</v>
      </c>
      <c r="B78" s="52" t="s">
        <v>10</v>
      </c>
      <c r="C78" s="52" t="s">
        <v>351</v>
      </c>
      <c r="D78" s="54"/>
      <c r="E78" s="55"/>
      <c r="F78" s="56"/>
      <c r="G78" s="55"/>
      <c r="H78" s="56"/>
      <c r="I78" s="225"/>
      <c r="J78" s="55"/>
      <c r="K78" s="57" t="e">
        <f t="shared" ref="K78:K83" si="9">H78/D78*100</f>
        <v>#DIV/0!</v>
      </c>
      <c r="L78" s="5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9.75" customHeight="1" x14ac:dyDescent="0.2">
      <c r="A79" s="51">
        <v>2</v>
      </c>
      <c r="B79" s="52" t="s">
        <v>425</v>
      </c>
      <c r="C79" s="52" t="s">
        <v>181</v>
      </c>
      <c r="D79" s="58"/>
      <c r="E79" s="55"/>
      <c r="F79" s="56"/>
      <c r="G79" s="55"/>
      <c r="H79" s="56"/>
      <c r="I79" s="225"/>
      <c r="J79" s="55"/>
      <c r="K79" s="57" t="e">
        <f t="shared" si="9"/>
        <v>#DIV/0!</v>
      </c>
      <c r="L79" s="5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45" customHeight="1" x14ac:dyDescent="0.2">
      <c r="A80" s="51">
        <v>3</v>
      </c>
      <c r="B80" s="52" t="s">
        <v>426</v>
      </c>
      <c r="C80" s="52" t="s">
        <v>183</v>
      </c>
      <c r="D80" s="54"/>
      <c r="E80" s="55"/>
      <c r="F80" s="56"/>
      <c r="G80" s="55"/>
      <c r="H80" s="56"/>
      <c r="I80" s="225"/>
      <c r="J80" s="55"/>
      <c r="K80" s="59" t="e">
        <f t="shared" si="9"/>
        <v>#DIV/0!</v>
      </c>
      <c r="L80" s="5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60.75" customHeight="1" x14ac:dyDescent="0.2">
      <c r="A81" s="51">
        <v>4</v>
      </c>
      <c r="B81" s="60" t="s">
        <v>427</v>
      </c>
      <c r="C81" s="52" t="s">
        <v>184</v>
      </c>
      <c r="D81" s="54"/>
      <c r="E81" s="55"/>
      <c r="F81" s="56"/>
      <c r="G81" s="55"/>
      <c r="H81" s="56"/>
      <c r="I81" s="225"/>
      <c r="J81" s="55"/>
      <c r="K81" s="59" t="e">
        <f t="shared" si="9"/>
        <v>#DIV/0!</v>
      </c>
      <c r="L81" s="5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45" customHeight="1" x14ac:dyDescent="0.2">
      <c r="A82" s="51">
        <v>5</v>
      </c>
      <c r="B82" s="52" t="s">
        <v>428</v>
      </c>
      <c r="C82" s="52" t="s">
        <v>100</v>
      </c>
      <c r="D82" s="54"/>
      <c r="E82" s="55"/>
      <c r="F82" s="56"/>
      <c r="G82" s="55"/>
      <c r="H82" s="56"/>
      <c r="I82" s="225"/>
      <c r="J82" s="55"/>
      <c r="K82" s="59" t="e">
        <f t="shared" si="9"/>
        <v>#DIV/0!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60.75" customHeight="1" x14ac:dyDescent="0.2">
      <c r="A83" s="51">
        <v>6</v>
      </c>
      <c r="B83" s="52" t="s">
        <v>14</v>
      </c>
      <c r="C83" s="228" t="s">
        <v>101</v>
      </c>
      <c r="D83" s="229"/>
      <c r="E83" s="45"/>
      <c r="F83" s="230"/>
      <c r="G83" s="45"/>
      <c r="H83" s="230"/>
      <c r="I83" s="231"/>
      <c r="J83" s="45"/>
      <c r="K83" s="232" t="e">
        <f t="shared" si="9"/>
        <v>#DIV/0!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61"/>
      <c r="C84" s="62"/>
      <c r="D84" s="61"/>
      <c r="E84" s="61"/>
      <c r="F84" s="61"/>
      <c r="G84" s="61"/>
      <c r="H84" s="61"/>
      <c r="I84" s="61"/>
      <c r="J84" s="61"/>
      <c r="K84" s="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61"/>
      <c r="C85" s="62"/>
      <c r="D85" s="61"/>
      <c r="E85" s="61"/>
      <c r="F85" s="61"/>
      <c r="G85" s="61"/>
      <c r="H85" s="61"/>
      <c r="I85" s="61"/>
      <c r="J85" s="6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2"/>
      <c r="B90" s="2"/>
      <c r="C90" s="3"/>
      <c r="D90" s="2"/>
      <c r="E90" s="2"/>
      <c r="F90" s="9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15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15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15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15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15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1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15">
      <c r="A102" s="2"/>
      <c r="B102" s="241"/>
      <c r="C102" s="242"/>
      <c r="D102" s="2"/>
      <c r="E102" s="63"/>
      <c r="F102" s="63"/>
      <c r="G102" s="63"/>
      <c r="H102" s="63"/>
      <c r="I102" s="6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15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15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15">
      <c r="A105" s="2"/>
      <c r="B105" s="241" t="s">
        <v>102</v>
      </c>
      <c r="C105" s="242"/>
      <c r="D105" s="2"/>
      <c r="E105" s="63" t="s">
        <v>103</v>
      </c>
      <c r="F105" s="63"/>
      <c r="G105" s="63"/>
      <c r="H105" s="63" t="s">
        <v>104</v>
      </c>
      <c r="I105" s="6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15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15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15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15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15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15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15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15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15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15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15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3"/>
      <c r="D118" s="2"/>
      <c r="E118" s="2"/>
      <c r="F118" s="2"/>
      <c r="G118" s="2"/>
      <c r="H118" s="233">
        <v>272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3"/>
      <c r="D119" s="2"/>
      <c r="E119" s="2"/>
      <c r="F119" s="2"/>
      <c r="G119" s="2"/>
      <c r="H119" s="234">
        <v>378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3"/>
      <c r="D120" s="2"/>
      <c r="E120" s="2"/>
      <c r="F120" s="2"/>
      <c r="G120" s="2"/>
      <c r="H120" s="234">
        <v>300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3"/>
      <c r="D121" s="2"/>
      <c r="E121" s="2"/>
      <c r="F121" s="2"/>
      <c r="G121" s="2"/>
      <c r="H121" s="234">
        <v>348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3"/>
      <c r="D122" s="2"/>
      <c r="E122" s="2"/>
      <c r="F122" s="2"/>
      <c r="G122" s="2"/>
      <c r="H122" s="234">
        <v>320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3"/>
      <c r="D123" s="2"/>
      <c r="E123" s="2"/>
      <c r="F123" s="2"/>
      <c r="G123" s="2"/>
      <c r="H123" s="234">
        <v>342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15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1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15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15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15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15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15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15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1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15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15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1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15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15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15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15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15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15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15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15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15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1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15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15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15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15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15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15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15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15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15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1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15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15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15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15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15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15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15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15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15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1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15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15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15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15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15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15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15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15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15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1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15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15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15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15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15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15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15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15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15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1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15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15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15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15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15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15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15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15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15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1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15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15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15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15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15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15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15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15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15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1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15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15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15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15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15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15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15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15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15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15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15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15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15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15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15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15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15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15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1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15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15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15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15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15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15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15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15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15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1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15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15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15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15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15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15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15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15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15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1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15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15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15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15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15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15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15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15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15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1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15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15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15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15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15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15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15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15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15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1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15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15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15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15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15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15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15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15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15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1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15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15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15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15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15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15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15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15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15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1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15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15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15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15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15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15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15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15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15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1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15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15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15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15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15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15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15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15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15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1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15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15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15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15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15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15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15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15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15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15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15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15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15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15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15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15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15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15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1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15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15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15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15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15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15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15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15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15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1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15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15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15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15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15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15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15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15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15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1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15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15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15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15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15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15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15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15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15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1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15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15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15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15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15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15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15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15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15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1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15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15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15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15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15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15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15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15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15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1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15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15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15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15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15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15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15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15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15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1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15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15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15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15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15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15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15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15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15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1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15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15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15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15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15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15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15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15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15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1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15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15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15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15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15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15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15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15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15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15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15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15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15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15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15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15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15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15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1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15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15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15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15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15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15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15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15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15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1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15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15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15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15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15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15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15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15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15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1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15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15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15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15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15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15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15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15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15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1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15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15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15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15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15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15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15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15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15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1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15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15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15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15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15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15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15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15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15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1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15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15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15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15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15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15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15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15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15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1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15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15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15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15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15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15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15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15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15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1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15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15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15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15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1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1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1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1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1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1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1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1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15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15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15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15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15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15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15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15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15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15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15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15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15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15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15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15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1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15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15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15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15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15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15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15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15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15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1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15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15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15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15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15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15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15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15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15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1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15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15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15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15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15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15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15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15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15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1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15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15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15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15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15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15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15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15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15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1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15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15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15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15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15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15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15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15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15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1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15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15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15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15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15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15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15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15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15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1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15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15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15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15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15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15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15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15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15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1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15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15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15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15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15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15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15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15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15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1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15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15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15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15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15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15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15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15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15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15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15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15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15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15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15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15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15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15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1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15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15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15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15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15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15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15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15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15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1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15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15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15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15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15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15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15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15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15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1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15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15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15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15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15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15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15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15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15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1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15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15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15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15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15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15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15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15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15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1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15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15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15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15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15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15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15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15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15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1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15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15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15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15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15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15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15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15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15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1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15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15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15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15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15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15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15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15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15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1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15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15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15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15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15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15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15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15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15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1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15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15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15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15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15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15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15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15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15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15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15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15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15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15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15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15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15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15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1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15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15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15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15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15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15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15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15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15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1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15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15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15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15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15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15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15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15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15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1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15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15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15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15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15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15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15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15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15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1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15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15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15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15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15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15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15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15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15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1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15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15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15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15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15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15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15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15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15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1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15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15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15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15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15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15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15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15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15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1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15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15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15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15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15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15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15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15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15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1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15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15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15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15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15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15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15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15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15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1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15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15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15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15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15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15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15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15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15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15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15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15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15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15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15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15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15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15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1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15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15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15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15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15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15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15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15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15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1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15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15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15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15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15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15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15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15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15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1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15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15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15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15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15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15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15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15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15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1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15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15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15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15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15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15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15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15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15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1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15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15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15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15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15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15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15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15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15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1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15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15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15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15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15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15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15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15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15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1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15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15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15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15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15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15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15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15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15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1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15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15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15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15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15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15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15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15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15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1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15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15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15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15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15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15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15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15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15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15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15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15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15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15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15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15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15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15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1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15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15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15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15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15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15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15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15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15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1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15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15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15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15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15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15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15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15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15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1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15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15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15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15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15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15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15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15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15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1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15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15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15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15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15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15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15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15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15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1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15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15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15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15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15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15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15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15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15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1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15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15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15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customHeight="1" x14ac:dyDescent="0.15">
      <c r="B979" s="2"/>
      <c r="C979" s="3"/>
      <c r="D979" s="2"/>
      <c r="E979" s="2"/>
      <c r="F979" s="2"/>
      <c r="G979" s="2"/>
      <c r="H979" s="2"/>
      <c r="I979" s="2"/>
      <c r="J979" s="2"/>
      <c r="K979" s="2"/>
    </row>
  </sheetData>
  <mergeCells count="18">
    <mergeCell ref="M9:M10"/>
    <mergeCell ref="A72:C72"/>
    <mergeCell ref="L69:L75"/>
    <mergeCell ref="A7:J7"/>
    <mergeCell ref="L9:L10"/>
    <mergeCell ref="A71:C71"/>
    <mergeCell ref="K9:K10"/>
    <mergeCell ref="C9:C10"/>
    <mergeCell ref="B9:B10"/>
    <mergeCell ref="A9:A10"/>
    <mergeCell ref="A69:C69"/>
    <mergeCell ref="B105:C105"/>
    <mergeCell ref="A68:K68"/>
    <mergeCell ref="A74:C74"/>
    <mergeCell ref="A75:C75"/>
    <mergeCell ref="B102:C102"/>
    <mergeCell ref="A73:C73"/>
    <mergeCell ref="A70:C70"/>
  </mergeCells>
  <conditionalFormatting sqref="J11:J67 J69:J71 J73:J75">
    <cfRule type="cellIs" dxfId="1" priority="1" stopIfTrue="1" operator="lessThan">
      <formula>50</formula>
    </cfRule>
    <cfRule type="cellIs" dxfId="0" priority="2" stopIfTrue="1" operator="equal">
      <formula>"AB"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II CSE</vt:lpstr>
      <vt:lpstr>III CSE</vt:lpstr>
      <vt:lpstr>IV CSE</vt:lpstr>
      <vt:lpstr>II IT</vt:lpstr>
      <vt:lpstr>III IT</vt:lpstr>
      <vt:lpstr>II AI&amp;DS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dcterms:created xsi:type="dcterms:W3CDTF">2023-08-22T03:32:57Z</dcterms:created>
  <dcterms:modified xsi:type="dcterms:W3CDTF">2024-10-17T08:41:29Z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9c7a9882198f4aa18e2d1297a5b06283</vt:lpwstr>
  </property>
</Properties>
</file>