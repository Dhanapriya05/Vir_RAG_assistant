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olors6.xml" ContentType="application/vnd.ms-office.chartcolorstyle+xml"/>
  <Override PartName="/xl/charts/style6.xml" ContentType="application/vnd.ms-office.chart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I CSE" sheetId="1" state="visible" r:id="rId3"/>
    <sheet name="III CSE" sheetId="2" state="visible" r:id="rId4"/>
    <sheet name="IV CSE" sheetId="3" state="visible" r:id="rId5"/>
    <sheet name="II IT" sheetId="4" state="visible" r:id="rId6"/>
    <sheet name="III IT" sheetId="5" state="visible" r:id="rId7"/>
    <sheet name="II AI&amp;D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<sst xmlns="http://schemas.openxmlformats.org/spreadsheetml/2006/main" count="848" uniqueCount="505">
  <si>
    <t xml:space="preserve">DEPARTMENT OF COMPUTER SCIENCE AND ENGINEERING</t>
  </si>
  <si>
    <t xml:space="preserve">Academic year 2024-25(EVEN  Semester)                                                         </t>
  </si>
  <si>
    <t xml:space="preserve">Model Exam</t>
  </si>
  <si>
    <t xml:space="preserve">II YEAR (CSE)</t>
  </si>
  <si>
    <t xml:space="preserve">IV Semester</t>
  </si>
  <si>
    <t xml:space="preserve">Sl.
 No.</t>
  </si>
  <si>
    <t xml:space="preserve">Reg. No.</t>
  </si>
  <si>
    <t xml:space="preserve">Name of the students</t>
  </si>
  <si>
    <t xml:space="preserve">Total Marks</t>
  </si>
  <si>
    <t xml:space="preserve">Total Arrears</t>
  </si>
  <si>
    <t xml:space="preserve">Number of Absent</t>
  </si>
  <si>
    <t xml:space="preserve">CS3452
Theory of Computation
</t>
  </si>
  <si>
    <t xml:space="preserve">CS3491
Artificial Intelligence and Machine Learning 
</t>
  </si>
  <si>
    <t xml:space="preserve">CS3492
Database Management Systems
</t>
  </si>
  <si>
    <t xml:space="preserve">CS3401
Algorithms 
</t>
  </si>
  <si>
    <t xml:space="preserve">CS3451
Introduction to Operating Systems
</t>
  </si>
  <si>
    <t xml:space="preserve">GE3451
Environmental Science and Sustainability
</t>
  </si>
  <si>
    <t xml:space="preserve">Aarthi V</t>
  </si>
  <si>
    <t xml:space="preserve">Abinaya N</t>
  </si>
  <si>
    <t xml:space="preserve">Abinaya V</t>
  </si>
  <si>
    <t xml:space="preserve">Anantharaj A</t>
  </si>
  <si>
    <t xml:space="preserve">Anbuselvan S</t>
  </si>
  <si>
    <t xml:space="preserve">Bharathi K</t>
  </si>
  <si>
    <t xml:space="preserve">Boomika S</t>
  </si>
  <si>
    <t xml:space="preserve">AB</t>
  </si>
  <si>
    <t xml:space="preserve">Brath E G</t>
  </si>
  <si>
    <t xml:space="preserve">Deepan chandru M</t>
  </si>
  <si>
    <t xml:space="preserve">Gayathri A</t>
  </si>
  <si>
    <t xml:space="preserve">Gopi P</t>
  </si>
  <si>
    <t xml:space="preserve">Gowtham S</t>
  </si>
  <si>
    <t xml:space="preserve">Gughan K</t>
  </si>
  <si>
    <t xml:space="preserve">Harini S</t>
  </si>
  <si>
    <t xml:space="preserve">Harithbaran G</t>
  </si>
  <si>
    <t xml:space="preserve">Jananapriya T</t>
  </si>
  <si>
    <t xml:space="preserve">Janani M</t>
  </si>
  <si>
    <t xml:space="preserve">Janani R</t>
  </si>
  <si>
    <t xml:space="preserve">Kavitha S</t>
  </si>
  <si>
    <t xml:space="preserve">Kaviya S</t>
  </si>
  <si>
    <t xml:space="preserve">Keerthana deepam M</t>
  </si>
  <si>
    <t xml:space="preserve">Krishnaveni K</t>
  </si>
  <si>
    <t xml:space="preserve">Kumaravel M</t>
  </si>
  <si>
    <t xml:space="preserve">Lavanya S</t>
  </si>
  <si>
    <t xml:space="preserve">Madhimalar V</t>
  </si>
  <si>
    <t xml:space="preserve">Manojkumar P</t>
  </si>
  <si>
    <t xml:space="preserve">Mathiyazhagan R</t>
  </si>
  <si>
    <t xml:space="preserve">Muthamizhselvan M</t>
  </si>
  <si>
    <t xml:space="preserve">Nikhil P</t>
  </si>
  <si>
    <t xml:space="preserve">Pavithra D</t>
  </si>
  <si>
    <t xml:space="preserve">Pavithra R</t>
  </si>
  <si>
    <t xml:space="preserve">Poonkuzhali A</t>
  </si>
  <si>
    <t xml:space="preserve">Pushpalatha M</t>
  </si>
  <si>
    <t xml:space="preserve">Rajalakshmi V</t>
  </si>
  <si>
    <t xml:space="preserve">Rajani R</t>
  </si>
  <si>
    <t xml:space="preserve">Rajeshwari S</t>
  </si>
  <si>
    <t xml:space="preserve">Sanjai P</t>
  </si>
  <si>
    <t xml:space="preserve">Sasidhar E</t>
  </si>
  <si>
    <t xml:space="preserve">Sasidharan V</t>
  </si>
  <si>
    <t xml:space="preserve">Sathiyamoorthi G</t>
  </si>
  <si>
    <t xml:space="preserve">Sengeniyammal K</t>
  </si>
  <si>
    <t xml:space="preserve">Shalini G</t>
  </si>
  <si>
    <t xml:space="preserve">Sharmila L</t>
  </si>
  <si>
    <t xml:space="preserve">Shayinsha A</t>
  </si>
  <si>
    <t xml:space="preserve">Silambarasan S</t>
  </si>
  <si>
    <t xml:space="preserve">Siranjeevini K</t>
  </si>
  <si>
    <t xml:space="preserve">Sivakumar S</t>
  </si>
  <si>
    <t xml:space="preserve">Sudhakar S</t>
  </si>
  <si>
    <t xml:space="preserve">Surya S</t>
  </si>
  <si>
    <t xml:space="preserve">Suvalakshmi D</t>
  </si>
  <si>
    <t xml:space="preserve">Swetha K</t>
  </si>
  <si>
    <t xml:space="preserve">Thrisha D</t>
  </si>
  <si>
    <t xml:space="preserve">Vaishnavi S</t>
  </si>
  <si>
    <t xml:space="preserve">Veermani A</t>
  </si>
  <si>
    <t xml:space="preserve">Vishnu R</t>
  </si>
  <si>
    <t xml:space="preserve">Vishva R</t>
  </si>
  <si>
    <t xml:space="preserve">Yuvashri S</t>
  </si>
  <si>
    <t xml:space="preserve">Yuvashree P</t>
  </si>
  <si>
    <t xml:space="preserve">All  Sub. Passed Students</t>
  </si>
  <si>
    <t xml:space="preserve">Total No. of Students</t>
  </si>
  <si>
    <t xml:space="preserve">1 Sub Fail </t>
  </si>
  <si>
    <t xml:space="preserve">Total No. of Students Appeared</t>
  </si>
  <si>
    <t xml:space="preserve">2 Sub Fail</t>
  </si>
  <si>
    <t xml:space="preserve">Total No. of Students Absent</t>
  </si>
  <si>
    <t xml:space="preserve">3 Sub Fail</t>
  </si>
  <si>
    <t xml:space="preserve">Total No. of Students Onduty</t>
  </si>
  <si>
    <t xml:space="preserve">4 sub Fail</t>
  </si>
  <si>
    <t xml:space="preserve">Total No. of Students Pass</t>
  </si>
  <si>
    <t xml:space="preserve">5 Sub Fail</t>
  </si>
  <si>
    <t xml:space="preserve">Total No. of Students Fail</t>
  </si>
  <si>
    <t xml:space="preserve">6 Sub  fail</t>
  </si>
  <si>
    <t xml:space="preserve">Total No. of Students Pass %</t>
  </si>
  <si>
    <t xml:space="preserve">Overall %</t>
  </si>
  <si>
    <t xml:space="preserve">S. No.</t>
  </si>
  <si>
    <t xml:space="preserve">Subject code and Name</t>
  </si>
  <si>
    <t xml:space="preserve">Name of the Staff Member &amp; Department</t>
  </si>
  <si>
    <t xml:space="preserve">No of students attended</t>
  </si>
  <si>
    <t xml:space="preserve">No of students absent</t>
  </si>
  <si>
    <t xml:space="preserve">No of students Passed</t>
  </si>
  <si>
    <t xml:space="preserve">Percentage of Passes (%)</t>
  </si>
  <si>
    <t xml:space="preserve">CS3452 - Theory of Computation</t>
  </si>
  <si>
    <t xml:space="preserve">Mrs.P.Kanchanamala AP/CSE</t>
  </si>
  <si>
    <t xml:space="preserve">CS3491 - Artificial Intelligence and Machine Learning</t>
  </si>
  <si>
    <t xml:space="preserve">Mrs.R.Rajalakshmi AP/IT</t>
  </si>
  <si>
    <t xml:space="preserve">CS3492 - Database Management Systems</t>
  </si>
  <si>
    <t xml:space="preserve">Mr.U.Rathinavel AP/IT</t>
  </si>
  <si>
    <t xml:space="preserve">CS3401 - Algorithms</t>
  </si>
  <si>
    <t xml:space="preserve">Mrs.M.Indrakumari AP/CSE</t>
  </si>
  <si>
    <t xml:space="preserve">CS3451 - Introduction to Operating Systems</t>
  </si>
  <si>
    <t xml:space="preserve">Mr.S.Ganesan AP/CSE</t>
  </si>
  <si>
    <t xml:space="preserve">GE3451 - Environmental Science and Sustainability</t>
  </si>
  <si>
    <t xml:space="preserve">Dr.N.Sridevi AP/CHEMISTRY</t>
  </si>
  <si>
    <t xml:space="preserve">CLASS INCHARGE</t>
  </si>
  <si>
    <t xml:space="preserve">HOD</t>
  </si>
  <si>
    <t xml:space="preserve">PRINCIPAL</t>
  </si>
  <si>
    <t xml:space="preserve">III YEAR (CSE)</t>
  </si>
  <si>
    <t xml:space="preserve">VI Semester</t>
  </si>
  <si>
    <t xml:space="preserve">CCS356
Object Oriented Software Engineering
</t>
  </si>
  <si>
    <t xml:space="preserve">OEE 351
Open Elective - I
Renewable Energy Systems
</t>
  </si>
  <si>
    <t xml:space="preserve">CS3691
Embedded Systems and IOT 
</t>
  </si>
  <si>
    <t xml:space="preserve">CCS355
Professional Elective-III
Neural Network and Deep Learning
</t>
  </si>
  <si>
    <t xml:space="preserve">CCS372
Professional Elective-IV Virtualization    (11-03-2025)</t>
  </si>
  <si>
    <t xml:space="preserve">CCS354
Professional Elective-V
Network Security 
</t>
  </si>
  <si>
    <t xml:space="preserve">ABIMANYU A</t>
  </si>
  <si>
    <t xml:space="preserve">ABINAYA. M</t>
  </si>
  <si>
    <t xml:space="preserve">ABINAYA S</t>
  </si>
  <si>
    <t xml:space="preserve">AISHWARYA. B</t>
  </si>
  <si>
    <t xml:space="preserve">AKSHAYA M</t>
  </si>
  <si>
    <t xml:space="preserve">BARATH RAJ G</t>
  </si>
  <si>
    <t xml:space="preserve">DAYASRI K</t>
  </si>
  <si>
    <t xml:space="preserve">DEENATHAYALAN S</t>
  </si>
  <si>
    <t xml:space="preserve">DEVAGI C S</t>
  </si>
  <si>
    <t xml:space="preserve">DHANUSH KUMAR A</t>
  </si>
  <si>
    <t xml:space="preserve">DHARANI KUMAR. R</t>
  </si>
  <si>
    <t xml:space="preserve">DHARSHINIPRIYA N</t>
  </si>
  <si>
    <t xml:space="preserve">DILLIBABU N</t>
  </si>
  <si>
    <t xml:space="preserve">DIVAKAR G</t>
  </si>
  <si>
    <t xml:space="preserve">ELANGO S</t>
  </si>
  <si>
    <t xml:space="preserve">GOKULASEKARAN G</t>
  </si>
  <si>
    <t xml:space="preserve">GOKULGANESH. J</t>
  </si>
  <si>
    <t xml:space="preserve">JAGADEESHWARAN C</t>
  </si>
  <si>
    <t xml:space="preserve">JAWAHAR M</t>
  </si>
  <si>
    <t xml:space="preserve">JAYAPRIYA. P</t>
  </si>
  <si>
    <t xml:space="preserve">KANAGA DURGA V</t>
  </si>
  <si>
    <t xml:space="preserve">KIRUTHIKA S</t>
  </si>
  <si>
    <t xml:space="preserve">LATHASHREE N</t>
  </si>
  <si>
    <t xml:space="preserve">LAVANYA. K</t>
  </si>
  <si>
    <t xml:space="preserve">MAHESHWARAN M</t>
  </si>
  <si>
    <t xml:space="preserve">MANIKANDAN V</t>
  </si>
  <si>
    <t xml:space="preserve">MOHAN N</t>
  </si>
  <si>
    <t xml:space="preserve">MOHAN KUMAR. S</t>
  </si>
  <si>
    <t xml:space="preserve">MUTHUKUMAR M</t>
  </si>
  <si>
    <t xml:space="preserve">NADHIYA R</t>
  </si>
  <si>
    <t xml:space="preserve">NAVEEN S</t>
  </si>
  <si>
    <t xml:space="preserve">POOJA D</t>
  </si>
  <si>
    <t xml:space="preserve">POOJA. S</t>
  </si>
  <si>
    <t xml:space="preserve">PRIYADHARSHINI. M</t>
  </si>
  <si>
    <t xml:space="preserve">PUGAZHENTHI S</t>
  </si>
  <si>
    <t xml:space="preserve">RAJESH R</t>
  </si>
  <si>
    <t xml:space="preserve">RAMKUMAR M</t>
  </si>
  <si>
    <t xml:space="preserve">RESHMA K</t>
  </si>
  <si>
    <t xml:space="preserve">RISHI KUMAR A</t>
  </si>
  <si>
    <t xml:space="preserve">ROHITH R</t>
  </si>
  <si>
    <t xml:space="preserve">SADHANA L</t>
  </si>
  <si>
    <t xml:space="preserve">SAKTHIVEL R</t>
  </si>
  <si>
    <t xml:space="preserve">SANTHOSHKUMAR. R</t>
  </si>
  <si>
    <t xml:space="preserve">SATHISHKUMAR. M</t>
  </si>
  <si>
    <t xml:space="preserve">SAVITHA S</t>
  </si>
  <si>
    <t xml:space="preserve">SETHUPATHY</t>
  </si>
  <si>
    <t xml:space="preserve">SHAJITHA A</t>
  </si>
  <si>
    <t xml:space="preserve">SHARANKUMAR. R</t>
  </si>
  <si>
    <t xml:space="preserve">SHEELA V</t>
  </si>
  <si>
    <t xml:space="preserve">SIBIRAJ R</t>
  </si>
  <si>
    <t xml:space="preserve">SRIMATHI S</t>
  </si>
  <si>
    <t xml:space="preserve">SRIRAM. R</t>
  </si>
  <si>
    <t xml:space="preserve">SUBASH. G.S</t>
  </si>
  <si>
    <t xml:space="preserve">SUJITH KUMAR M</t>
  </si>
  <si>
    <t xml:space="preserve">THAMIZHARASI V</t>
  </si>
  <si>
    <t xml:space="preserve">THARUN N</t>
  </si>
  <si>
    <t xml:space="preserve">VIGNESH K</t>
  </si>
  <si>
    <t xml:space="preserve">VINOTHKUMAR. P</t>
  </si>
  <si>
    <t xml:space="preserve">YUVAN SANKAR S</t>
  </si>
  <si>
    <t xml:space="preserve">MANOJ KUMAR S</t>
  </si>
  <si>
    <t xml:space="preserve">ROGITH S</t>
  </si>
  <si>
    <t xml:space="preserve">SANTHOSH B</t>
  </si>
  <si>
    <t xml:space="preserve">CCS356 - Object Oriented Software Engineering</t>
  </si>
  <si>
    <t xml:space="preserve">Mrs.V.Anitha AP/CSE</t>
  </si>
  <si>
    <t xml:space="preserve">OEE 351
Open Elective - I
Renewable Energy Systems</t>
  </si>
  <si>
    <t xml:space="preserve">Mr.B.Rajapagalavan AP/EEE</t>
  </si>
  <si>
    <t xml:space="preserve">CS3691 - Embedded Systems and IOT</t>
  </si>
  <si>
    <t xml:space="preserve">Dr.A.K.Gnanasekar HOD/CSE</t>
  </si>
  <si>
    <t xml:space="preserve">CCS355 - Professional Elective-III Neural Network and Deep Learning</t>
  </si>
  <si>
    <t xml:space="preserve">Mr.E.Kamalanathan HOD/IT</t>
  </si>
  <si>
    <t xml:space="preserve">CCS372 - Professional Elective-IV Virtualization</t>
  </si>
  <si>
    <t xml:space="preserve">Mr.M.Muralikrishnan HOD/AIDS</t>
  </si>
  <si>
    <t xml:space="preserve">CCS354 - Professional Elective-V Network Security</t>
  </si>
  <si>
    <t xml:space="preserve">Mrs.M.Vasanthapriya  AP/CSE</t>
  </si>
  <si>
    <t xml:space="preserve">Arrear Position</t>
  </si>
  <si>
    <t xml:space="preserve">Description</t>
  </si>
  <si>
    <t xml:space="preserve">All pass</t>
  </si>
  <si>
    <t xml:space="preserve">No of arrears</t>
  </si>
  <si>
    <t xml:space="preserve">One</t>
  </si>
  <si>
    <t xml:space="preserve">Two</t>
  </si>
  <si>
    <t xml:space="preserve">Three</t>
  </si>
  <si>
    <t xml:space="preserve">Four</t>
  </si>
  <si>
    <t xml:space="preserve">Five</t>
  </si>
  <si>
    <t xml:space="preserve">six</t>
  </si>
  <si>
    <t xml:space="preserve">No of students</t>
  </si>
  <si>
    <t xml:space="preserve">% of pass</t>
  </si>
  <si>
    <t xml:space="preserve">IV YEAR </t>
  </si>
  <si>
    <t xml:space="preserve">8th semester </t>
  </si>
  <si>
    <t xml:space="preserve">AKASH D</t>
  </si>
  <si>
    <t xml:space="preserve">ANISHKUMAR A</t>
  </si>
  <si>
    <t xml:space="preserve">ARAVINDHAN M</t>
  </si>
  <si>
    <t xml:space="preserve">ARUN KUMAR C P</t>
  </si>
  <si>
    <t xml:space="preserve">BALAJI M P</t>
  </si>
  <si>
    <t xml:space="preserve">BALAKUMARAN V</t>
  </si>
  <si>
    <t xml:space="preserve">DHAMODARAN V</t>
  </si>
  <si>
    <t xml:space="preserve">DHIVYA V</t>
  </si>
  <si>
    <t xml:space="preserve">GOKULAVASAN H</t>
  </si>
  <si>
    <t xml:space="preserve">GUGAN K</t>
  </si>
  <si>
    <t xml:space="preserve">GURUBALAN K</t>
  </si>
  <si>
    <t xml:space="preserve">HARIHARAN R</t>
  </si>
  <si>
    <t xml:space="preserve">HEMAMALINI S</t>
  </si>
  <si>
    <t xml:space="preserve">JAGAN M</t>
  </si>
  <si>
    <t xml:space="preserve">JAISANDRESH S</t>
  </si>
  <si>
    <t xml:space="preserve">JANANI G</t>
  </si>
  <si>
    <t xml:space="preserve">JAYASAKTHI S</t>
  </si>
  <si>
    <t xml:space="preserve">JEEVA JYOTHI A</t>
  </si>
  <si>
    <t xml:space="preserve">KEERTHIVASAN M</t>
  </si>
  <si>
    <t xml:space="preserve">KISHORE P</t>
  </si>
  <si>
    <t xml:space="preserve">KUGAN KUMAR N</t>
  </si>
  <si>
    <t xml:space="preserve">LOGESHWARI S</t>
  </si>
  <si>
    <t xml:space="preserve">LOGESWARAN S</t>
  </si>
  <si>
    <t xml:space="preserve">LOKESH S</t>
  </si>
  <si>
    <t xml:space="preserve">MAHALAKSHMI S</t>
  </si>
  <si>
    <t xml:space="preserve">MANIKANDAN R</t>
  </si>
  <si>
    <t xml:space="preserve">MANIKKANDAN M</t>
  </si>
  <si>
    <t xml:space="preserve">MOHANPRASATH R</t>
  </si>
  <si>
    <t xml:space="preserve">MUKESH M K</t>
  </si>
  <si>
    <t xml:space="preserve">MURALIDHARAN S</t>
  </si>
  <si>
    <t xml:space="preserve">NANDHINI  H</t>
  </si>
  <si>
    <t xml:space="preserve">NEMALA A</t>
  </si>
  <si>
    <t xml:space="preserve">NIVETHASRI S</t>
  </si>
  <si>
    <t xml:space="preserve">PACHAIYAPPAN A</t>
  </si>
  <si>
    <t xml:space="preserve">PAVITHRA A</t>
  </si>
  <si>
    <t xml:space="preserve">PRAVEEN KUMAR A K</t>
  </si>
  <si>
    <t xml:space="preserve">PRAVEEN KUMAR R J</t>
  </si>
  <si>
    <t xml:space="preserve">RAMPRAKASH M</t>
  </si>
  <si>
    <t xml:space="preserve">REVATHI V</t>
  </si>
  <si>
    <t xml:space="preserve">ROHINI S</t>
  </si>
  <si>
    <t xml:space="preserve">ROSHINI I</t>
  </si>
  <si>
    <t xml:space="preserve">SANJAY M</t>
  </si>
  <si>
    <t xml:space="preserve">SANTHANAM C</t>
  </si>
  <si>
    <t xml:space="preserve">SANTHIYA G</t>
  </si>
  <si>
    <t xml:space="preserve">SANTHOSH D</t>
  </si>
  <si>
    <t xml:space="preserve">SANTHOSH K K</t>
  </si>
  <si>
    <t xml:space="preserve">SANTHOSH R</t>
  </si>
  <si>
    <t xml:space="preserve">SATHISH P</t>
  </si>
  <si>
    <t xml:space="preserve">SELLAPPAN M</t>
  </si>
  <si>
    <t xml:space="preserve">SHARMILA R</t>
  </si>
  <si>
    <t xml:space="preserve">SIVARANJANI G</t>
  </si>
  <si>
    <t xml:space="preserve">SUNDAR S</t>
  </si>
  <si>
    <t xml:space="preserve">THAMIZHKODI K</t>
  </si>
  <si>
    <t xml:space="preserve">THIRUMAL V</t>
  </si>
  <si>
    <t xml:space="preserve">THIVAHAR P</t>
  </si>
  <si>
    <t xml:space="preserve">VIGNESHWAR S</t>
  </si>
  <si>
    <t xml:space="preserve">VIJAYALAKSHMI V</t>
  </si>
  <si>
    <t xml:space="preserve">VINITHA A</t>
  </si>
  <si>
    <t xml:space="preserve">AAKASH S</t>
  </si>
  <si>
    <t xml:space="preserve">ARUN .S</t>
  </si>
  <si>
    <t xml:space="preserve">JAGAN KUMAR.B</t>
  </si>
  <si>
    <t xml:space="preserve">KANDEEBAN V</t>
  </si>
  <si>
    <t xml:space="preserve">NANDHA L</t>
  </si>
  <si>
    <t xml:space="preserve">NAVEEN KUMAR P</t>
  </si>
  <si>
    <t xml:space="preserve">VINOTH K</t>
  </si>
  <si>
    <t xml:space="preserve">AJAY M</t>
  </si>
  <si>
    <t xml:space="preserve">5115CSD2</t>
  </si>
  <si>
    <t xml:space="preserve">JEEVANANTHAM A</t>
  </si>
  <si>
    <t xml:space="preserve">DEPARTMENT OF INFORMATION TECHNOLOGY</t>
  </si>
  <si>
    <t xml:space="preserve">II YEAR (IT)</t>
  </si>
  <si>
    <t xml:space="preserve">Total Mark</t>
  </si>
  <si>
    <t xml:space="preserve">CS3452
Theory of Computation</t>
  </si>
  <si>
    <t xml:space="preserve">IT3401
Web Essentials 
</t>
  </si>
  <si>
    <t xml:space="preserve">CS3451
Introduction to Operating Systems
</t>
  </si>
  <si>
    <t xml:space="preserve">Aasaimani T</t>
  </si>
  <si>
    <t xml:space="preserve">Aathi S</t>
  </si>
  <si>
    <t xml:space="preserve">Abi P</t>
  </si>
  <si>
    <t xml:space="preserve">Abirami M</t>
  </si>
  <si>
    <t xml:space="preserve">Adhithya A</t>
  </si>
  <si>
    <t xml:space="preserve">Anandharaman M</t>
  </si>
  <si>
    <t xml:space="preserve">Arish S</t>
  </si>
  <si>
    <t xml:space="preserve">Arulirasan G</t>
  </si>
  <si>
    <t xml:space="preserve">Ashwin G</t>
  </si>
  <si>
    <t xml:space="preserve">Aswini V</t>
  </si>
  <si>
    <t xml:space="preserve">Dhanalakshmi R</t>
  </si>
  <si>
    <t xml:space="preserve">Dhanapriya P</t>
  </si>
  <si>
    <t xml:space="preserve">Divagaran M</t>
  </si>
  <si>
    <t xml:space="preserve">Divya R</t>
  </si>
  <si>
    <t xml:space="preserve">Divya S</t>
  </si>
  <si>
    <t xml:space="preserve">Gopi M</t>
  </si>
  <si>
    <t xml:space="preserve">Harish K</t>
  </si>
  <si>
    <t xml:space="preserve">Harisharan PS</t>
  </si>
  <si>
    <t xml:space="preserve">Hemalatha M</t>
  </si>
  <si>
    <t xml:space="preserve">Jagan S</t>
  </si>
  <si>
    <t xml:space="preserve">Janani J</t>
  </si>
  <si>
    <t xml:space="preserve">Jayanthi K</t>
  </si>
  <si>
    <t xml:space="preserve">Keerthana M</t>
  </si>
  <si>
    <t xml:space="preserve">Keerthana R</t>
  </si>
  <si>
    <t xml:space="preserve">Keerthivasan V</t>
  </si>
  <si>
    <t xml:space="preserve">Kowsalya B</t>
  </si>
  <si>
    <t xml:space="preserve">Lakshmi priya S K</t>
  </si>
  <si>
    <t xml:space="preserve">Loseya V</t>
  </si>
  <si>
    <t xml:space="preserve">Madhankumar R</t>
  </si>
  <si>
    <t xml:space="preserve">Madhumitha V</t>
  </si>
  <si>
    <t xml:space="preserve">Mahalakshmi S</t>
  </si>
  <si>
    <t xml:space="preserve">Mohanapriya S</t>
  </si>
  <si>
    <t xml:space="preserve">Monica U</t>
  </si>
  <si>
    <t xml:space="preserve">Nitheeswari S</t>
  </si>
  <si>
    <t xml:space="preserve">Nithya priya C</t>
  </si>
  <si>
    <t xml:space="preserve">Prasanth P</t>
  </si>
  <si>
    <t xml:space="preserve">Priyadharshan A</t>
  </si>
  <si>
    <t xml:space="preserve">Ragulgandhi K</t>
  </si>
  <si>
    <t xml:space="preserve">Raguram R</t>
  </si>
  <si>
    <t xml:space="preserve">Ramya N</t>
  </si>
  <si>
    <t xml:space="preserve">Reethika K</t>
  </si>
  <si>
    <t xml:space="preserve">Rithik K</t>
  </si>
  <si>
    <t xml:space="preserve">Sachin S</t>
  </si>
  <si>
    <t xml:space="preserve">Sagunthala K</t>
  </si>
  <si>
    <t xml:space="preserve">Sakthivel R</t>
  </si>
  <si>
    <t xml:space="preserve">Samuvel M</t>
  </si>
  <si>
    <t xml:space="preserve">Sandhiya L</t>
  </si>
  <si>
    <t xml:space="preserve">Sangeetha V</t>
  </si>
  <si>
    <t xml:space="preserve">Sankar ganesh J</t>
  </si>
  <si>
    <t xml:space="preserve">Santhaseelan R</t>
  </si>
  <si>
    <t xml:space="preserve">Santhosh R</t>
  </si>
  <si>
    <t xml:space="preserve">Sharmila B</t>
  </si>
  <si>
    <t xml:space="preserve">Sivapriya S</t>
  </si>
  <si>
    <t xml:space="preserve">Srimanoj C</t>
  </si>
  <si>
    <t xml:space="preserve">Srinivasan N</t>
  </si>
  <si>
    <t xml:space="preserve">Tamilselvan J</t>
  </si>
  <si>
    <t xml:space="preserve">Thamizhvani S</t>
  </si>
  <si>
    <t xml:space="preserve">Udhayachandhar H</t>
  </si>
  <si>
    <t xml:space="preserve">Ugendran R</t>
  </si>
  <si>
    <t xml:space="preserve">Vicknesh D</t>
  </si>
  <si>
    <t xml:space="preserve">Vimalraj R</t>
  </si>
  <si>
    <t xml:space="preserve">Yogibala V</t>
  </si>
  <si>
    <t xml:space="preserve">Somasundaram P</t>
  </si>
  <si>
    <t xml:space="preserve">Thiruneelakandan M</t>
  </si>
  <si>
    <t xml:space="preserve">IT3401 - Web Essentials</t>
  </si>
  <si>
    <t xml:space="preserve">Mrs.R.Leelavathi AP/IT</t>
  </si>
  <si>
    <t xml:space="preserve">Mrs.R.Arunlakshmi AP/CSE</t>
  </si>
  <si>
    <t xml:space="preserve">Dr.K.Ranganathan ASP/CHEMISTRY</t>
  </si>
  <si>
    <t xml:space="preserve">III YEAR </t>
  </si>
  <si>
    <t xml:space="preserve">VI SEMESTER </t>
  </si>
  <si>
    <t xml:space="preserve">CCS356
Object Oriented Software Engineering 
</t>
  </si>
  <si>
    <t xml:space="preserve">OEE351
Open Elective –I
Renewable Energy Systems
</t>
  </si>
  <si>
    <t xml:space="preserve">CCS354
Professional Elective-V
Network Security
</t>
  </si>
  <si>
    <t xml:space="preserve">CCS372
Professional Elective-IV
Virtualization </t>
  </si>
  <si>
    <t xml:space="preserve">CCS355
Professional Elective-III
Neural Network and Deep Learning 
</t>
  </si>
  <si>
    <t xml:space="preserve">Aakash K</t>
  </si>
  <si>
    <t xml:space="preserve">Abinash B</t>
  </si>
  <si>
    <t xml:space="preserve">Abinaya K</t>
  </si>
  <si>
    <t xml:space="preserve">Abirami S</t>
  </si>
  <si>
    <t xml:space="preserve">ab</t>
  </si>
  <si>
    <t xml:space="preserve">Arivumathi K</t>
  </si>
  <si>
    <t xml:space="preserve">Barath P</t>
  </si>
  <si>
    <t xml:space="preserve">Barathkumar P</t>
  </si>
  <si>
    <t xml:space="preserve">Bhavana V</t>
  </si>
  <si>
    <t xml:space="preserve">Deepika B</t>
  </si>
  <si>
    <t xml:space="preserve">Dhanyasri M</t>
  </si>
  <si>
    <t xml:space="preserve">Dharshini R</t>
  </si>
  <si>
    <t xml:space="preserve">Dhivakar D</t>
  </si>
  <si>
    <t xml:space="preserve">Dhivyadharshini S</t>
  </si>
  <si>
    <t xml:space="preserve">Divya G</t>
  </si>
  <si>
    <t xml:space="preserve">Gowsalya M</t>
  </si>
  <si>
    <t xml:space="preserve">Gowtham A</t>
  </si>
  <si>
    <t xml:space="preserve">Gowtham R</t>
  </si>
  <si>
    <t xml:space="preserve">Hariharan K</t>
  </si>
  <si>
    <t xml:space="preserve">Indumathi Y</t>
  </si>
  <si>
    <t xml:space="preserve">Jayaprakash V</t>
  </si>
  <si>
    <t xml:space="preserve">Jenitha M</t>
  </si>
  <si>
    <t xml:space="preserve">Kamesh S</t>
  </si>
  <si>
    <t xml:space="preserve">Kanimozhi M</t>
  </si>
  <si>
    <t xml:space="preserve">Kavitha K</t>
  </si>
  <si>
    <t xml:space="preserve">Lakshana K</t>
  </si>
  <si>
    <t xml:space="preserve">Loganathan R</t>
  </si>
  <si>
    <t xml:space="preserve">Loganathan T</t>
  </si>
  <si>
    <t xml:space="preserve">Ab</t>
  </si>
  <si>
    <t xml:space="preserve">Logesh K</t>
  </si>
  <si>
    <t xml:space="preserve">Madana raj A K</t>
  </si>
  <si>
    <t xml:space="preserve">Madhan kumar V</t>
  </si>
  <si>
    <t xml:space="preserve">Magesh R</t>
  </si>
  <si>
    <t xml:space="preserve">Mahimadhan K</t>
  </si>
  <si>
    <t xml:space="preserve">Mohan A</t>
  </si>
  <si>
    <t xml:space="preserve">Naveenkumar M</t>
  </si>
  <si>
    <t xml:space="preserve">Pradeep R</t>
  </si>
  <si>
    <t xml:space="preserve">Priya darshinee S</t>
  </si>
  <si>
    <t xml:space="preserve">Raja M</t>
  </si>
  <si>
    <t xml:space="preserve">Ramkumar R</t>
  </si>
  <si>
    <t xml:space="preserve">Rishikumar U</t>
  </si>
  <si>
    <t xml:space="preserve">Sanjay. M</t>
  </si>
  <si>
    <t xml:space="preserve">Santhiya. R</t>
  </si>
  <si>
    <t xml:space="preserve">Sarathi K</t>
  </si>
  <si>
    <t xml:space="preserve">Sasidharan A</t>
  </si>
  <si>
    <t xml:space="preserve">Sivaranjani S</t>
  </si>
  <si>
    <t xml:space="preserve">Sridharan S</t>
  </si>
  <si>
    <t xml:space="preserve">Srimathi B</t>
  </si>
  <si>
    <t xml:space="preserve">Swathi S</t>
  </si>
  <si>
    <t xml:space="preserve">Tamilselvi D</t>
  </si>
  <si>
    <t xml:space="preserve">Thamizhilakkiya R</t>
  </si>
  <si>
    <t xml:space="preserve">Udhaya suriya P</t>
  </si>
  <si>
    <t xml:space="preserve">Valaiselvan P</t>
  </si>
  <si>
    <t xml:space="preserve">Varunraj P</t>
  </si>
  <si>
    <t xml:space="preserve">Vimalraj E</t>
  </si>
  <si>
    <t xml:space="preserve">Jayashree.D</t>
  </si>
  <si>
    <t xml:space="preserve">Chellapan</t>
  </si>
  <si>
    <t xml:space="preserve">Janani.V</t>
  </si>
  <si>
    <t xml:space="preserve">Kanagavalli.R</t>
  </si>
  <si>
    <t xml:space="preserve">1Sub Fail</t>
  </si>
  <si>
    <t xml:space="preserve">Mrs D.Deepa AP/CSE</t>
  </si>
  <si>
    <t xml:space="preserve">OEE351 - Open Elective –I Renewable Energy Systems</t>
  </si>
  <si>
    <t xml:space="preserve">Mr.M.Bharani AP/EEE</t>
  </si>
  <si>
    <t xml:space="preserve">Mrs.M.Vasanthapriya AP/ CSE</t>
  </si>
  <si>
    <t xml:space="preserve">Six</t>
  </si>
  <si>
    <t xml:space="preserve">No of students pass %</t>
  </si>
  <si>
    <t xml:space="preserve">DEPARTMENT OF ARTIFICIAL INTELLIGENCE AND DATA SCIENCE</t>
  </si>
  <si>
    <t xml:space="preserve">II YEAR (AI&amp;DS)</t>
  </si>
  <si>
    <t xml:space="preserve">S.NO</t>
  </si>
  <si>
    <t xml:space="preserve">MA3391
Probability and Statistics</t>
  </si>
  <si>
    <t xml:space="preserve">AL3452
Operating Systems </t>
  </si>
  <si>
    <t xml:space="preserve">AL3451
Machine Learning</t>
  </si>
  <si>
    <t xml:space="preserve">AD3491
Fundamentals of Data Science and Analytics
</t>
  </si>
  <si>
    <t xml:space="preserve">CS3591
Computer Networks </t>
  </si>
  <si>
    <t xml:space="preserve">GE3451
Environmental Sciences and Sustainability
</t>
  </si>
  <si>
    <t xml:space="preserve">Ajai deva A</t>
  </si>
  <si>
    <t xml:space="preserve">Akash A</t>
  </si>
  <si>
    <t xml:space="preserve">Bhavadharani S</t>
  </si>
  <si>
    <t xml:space="preserve">Bhuvanesh T</t>
  </si>
  <si>
    <t xml:space="preserve">Buvaneshwari V</t>
  </si>
  <si>
    <t xml:space="preserve">Dhanush M M</t>
  </si>
  <si>
    <t xml:space="preserve">Ganeshkumar R</t>
  </si>
  <si>
    <t xml:space="preserve">Gokulraj K</t>
  </si>
  <si>
    <t xml:space="preserve">Gokulraj S</t>
  </si>
  <si>
    <t xml:space="preserve">Gopikasri N</t>
  </si>
  <si>
    <t xml:space="preserve">Gurusharan M S</t>
  </si>
  <si>
    <t xml:space="preserve">Heemavarshini N</t>
  </si>
  <si>
    <t xml:space="preserve">Hemaprabha S</t>
  </si>
  <si>
    <t xml:space="preserve">Hemavathi S</t>
  </si>
  <si>
    <t xml:space="preserve">Indra priyadharshini M</t>
  </si>
  <si>
    <t xml:space="preserve">Janani S</t>
  </si>
  <si>
    <t xml:space="preserve">Kanimozhi K</t>
  </si>
  <si>
    <t xml:space="preserve">Kathirone VS</t>
  </si>
  <si>
    <t xml:space="preserve">Kishore S</t>
  </si>
  <si>
    <t xml:space="preserve">Kishorekumar KD</t>
  </si>
  <si>
    <t xml:space="preserve">Kokila G</t>
  </si>
  <si>
    <t xml:space="preserve">Kousik M</t>
  </si>
  <si>
    <t xml:space="preserve">Maheswaran C</t>
  </si>
  <si>
    <t xml:space="preserve">Meenu T R</t>
  </si>
  <si>
    <t xml:space="preserve">Muthubharathi E</t>
  </si>
  <si>
    <t xml:space="preserve">Naveen kumar M</t>
  </si>
  <si>
    <t xml:space="preserve">Niranchan V</t>
  </si>
  <si>
    <t xml:space="preserve">Nirmal S</t>
  </si>
  <si>
    <t xml:space="preserve">Pasupathi V</t>
  </si>
  <si>
    <t xml:space="preserve">Prathap K</t>
  </si>
  <si>
    <t xml:space="preserve">Praveen M</t>
  </si>
  <si>
    <t xml:space="preserve">Raghul S</t>
  </si>
  <si>
    <t xml:space="preserve">Ramanan D</t>
  </si>
  <si>
    <t xml:space="preserve">Rokeshbala K</t>
  </si>
  <si>
    <t xml:space="preserve">Rubaselvan A</t>
  </si>
  <si>
    <t xml:space="preserve">Sanjay S</t>
  </si>
  <si>
    <t xml:space="preserve">Santhosh V</t>
  </si>
  <si>
    <t xml:space="preserve">Sethupathy D</t>
  </si>
  <si>
    <t xml:space="preserve">Shanmathi B</t>
  </si>
  <si>
    <t xml:space="preserve">Sivaranjani J</t>
  </si>
  <si>
    <t xml:space="preserve">Subash B</t>
  </si>
  <si>
    <t xml:space="preserve">Suthan V</t>
  </si>
  <si>
    <t xml:space="preserve">Suvathi S</t>
  </si>
  <si>
    <t xml:space="preserve">Thileep T</t>
  </si>
  <si>
    <t xml:space="preserve">Thiravidan E</t>
  </si>
  <si>
    <t xml:space="preserve">Thisha G</t>
  </si>
  <si>
    <t xml:space="preserve">Thulasi E</t>
  </si>
  <si>
    <t xml:space="preserve">Vasu S</t>
  </si>
  <si>
    <t xml:space="preserve">Venu aravindh D R</t>
  </si>
  <si>
    <t xml:space="preserve">Vijaya sarathi M</t>
  </si>
  <si>
    <t xml:space="preserve">Vimalkushanth B</t>
  </si>
  <si>
    <t xml:space="preserve">Vinitha D</t>
  </si>
  <si>
    <t xml:space="preserve">Aakash V</t>
  </si>
  <si>
    <t xml:space="preserve">Gokulan K</t>
  </si>
  <si>
    <t xml:space="preserve">Column1</t>
  </si>
  <si>
    <t xml:space="preserve">Column2</t>
  </si>
  <si>
    <t xml:space="preserve">Column3</t>
  </si>
  <si>
    <t xml:space="preserve">Column4</t>
  </si>
  <si>
    <t xml:space="preserve">Column5</t>
  </si>
  <si>
    <t xml:space="preserve">Column6</t>
  </si>
  <si>
    <t xml:space="preserve">Column7</t>
  </si>
  <si>
    <t xml:space="preserve">Column8</t>
  </si>
  <si>
    <t xml:space="preserve">Column9</t>
  </si>
  <si>
    <t xml:space="preserve">Column10</t>
  </si>
  <si>
    <t xml:space="preserve">MA3391 - Probability and Statistics</t>
  </si>
  <si>
    <t xml:space="preserve">Mr.G.Umashankar AP/MATHS</t>
  </si>
  <si>
    <t xml:space="preserve">AL3452 - Operating Systems</t>
  </si>
  <si>
    <t xml:space="preserve">AL3451 - Machine Learning</t>
  </si>
  <si>
    <t xml:space="preserve">AD3491 - Fundamentals of Data Science and Analytics</t>
  </si>
  <si>
    <t xml:space="preserve">CS3591 - Computer Networks</t>
  </si>
  <si>
    <t xml:space="preserve">GE3451 - Environmental Sciences and Sustainability</t>
  </si>
  <si>
    <t xml:space="preserve">Dr.D.Ezhilarasu AP/CHEMISTRY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</si>
</sst>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0.00"/>
    <numFmt numFmtId="167" formatCode="0"/>
    <numFmt numFmtId="168" formatCode="mm\-dd\-yyyy"/>
    <numFmt numFmtId="169" formatCode="0.0"/>
  </numFmts>
  <fonts count="4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imes New Roman"/>
      <family val="0"/>
      <charset val="1"/>
    </font>
    <font>
      <b val="true"/>
      <sz val="14"/>
      <color rgb="FF000000"/>
      <name val="Inconsolata"/>
      <family val="0"/>
      <charset val="1"/>
    </font>
    <font>
      <b val="true"/>
      <sz val="12"/>
      <color rgb="FF000000"/>
      <name val="Calibri"/>
      <family val="0"/>
      <charset val="1"/>
    </font>
    <font>
      <sz val="12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theme="1"/>
      <name val="Calibri"/>
      <family val="0"/>
      <charset val="1"/>
    </font>
    <font>
      <sz val="12"/>
      <color theme="1"/>
      <name val="Times New Roman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theme="1"/>
      <name val="Bookman Old Style"/>
      <family val="0"/>
      <charset val="1"/>
    </font>
    <font>
      <sz val="12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theme="4"/>
      <name val="Calibri"/>
      <family val="0"/>
      <charset val="1"/>
    </font>
    <font>
      <sz val="10"/>
      <color rgb="FF000000"/>
      <name val="Calibri"/>
      <family val="0"/>
      <charset val="1"/>
    </font>
    <font>
      <sz val="11"/>
      <color rgb="FF000000"/>
      <name val="Bookman Old Style"/>
      <family val="0"/>
      <charset val="1"/>
    </font>
    <font>
      <b val="true"/>
      <sz val="14"/>
      <color theme="1"/>
      <name val="Times New Roman"/>
      <family val="0"/>
      <charset val="1"/>
    </font>
    <font>
      <b val="true"/>
      <sz val="18"/>
      <color theme="1"/>
      <name val="Times New Roman"/>
      <family val="0"/>
      <charset val="1"/>
    </font>
    <font>
      <b val="true"/>
      <sz val="15"/>
      <color theme="1"/>
      <name val="Times New Roman"/>
      <family val="0"/>
      <charset val="1"/>
    </font>
    <font>
      <b val="true"/>
      <sz val="12"/>
      <color rgb="FF000000"/>
      <name val="&quot;Times New Roman&quot;"/>
      <family val="0"/>
      <charset val="1"/>
    </font>
    <font>
      <b val="true"/>
      <sz val="12"/>
      <color theme="1"/>
      <name val="Times New Roman"/>
      <family val="0"/>
      <charset val="1"/>
    </font>
    <font>
      <sz val="10"/>
      <color theme="1"/>
      <name val="Arial"/>
      <family val="0"/>
      <charset val="1"/>
    </font>
    <font>
      <b val="true"/>
      <sz val="12"/>
      <color rgb="FF000000"/>
      <name val="Times New Roman"/>
      <family val="0"/>
      <charset val="1"/>
    </font>
    <font>
      <sz val="12"/>
      <color rgb="FF000000"/>
      <name val="Times New Roman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0"/>
      <color rgb="FF000000"/>
      <name val="Arial"/>
      <family val="2"/>
    </font>
    <font>
      <sz val="10"/>
      <color rgb="FF1A1A1A"/>
      <name val="Arial"/>
      <family val="2"/>
    </font>
    <font>
      <b val="true"/>
      <sz val="11"/>
      <color rgb="FF000000"/>
      <name val="Arial"/>
      <family val="0"/>
      <charset val="1"/>
    </font>
    <font>
      <sz val="14"/>
      <color rgb="FF595959"/>
      <name val="Arial"/>
      <family val="0"/>
      <charset val="1"/>
    </font>
    <font>
      <b val="true"/>
      <sz val="12"/>
      <color theme="1"/>
      <name val="Calibri"/>
      <family val="0"/>
      <charset val="1"/>
    </font>
    <font>
      <sz val="12"/>
      <color rgb="FFFF0000"/>
      <name val="Arial"/>
      <family val="0"/>
      <charset val="1"/>
    </font>
    <font>
      <sz val="11"/>
      <color rgb="FFFF0000"/>
      <name val="Arial"/>
      <family val="0"/>
      <charset val="1"/>
    </font>
    <font>
      <sz val="12"/>
      <color theme="1"/>
      <name val="Calibri"/>
      <family val="0"/>
      <charset val="1"/>
    </font>
    <font>
      <sz val="14"/>
      <color theme="1"/>
      <name val="&quot;Calisto MT&quot;"/>
      <family val="0"/>
      <charset val="1"/>
    </font>
    <font>
      <b val="true"/>
      <sz val="17"/>
      <color theme="1"/>
      <name val="Times New Roman"/>
      <family val="0"/>
      <charset val="1"/>
    </font>
    <font>
      <sz val="11"/>
      <color rgb="FF000000"/>
      <name val="Arial"/>
      <family val="0"/>
      <charset val="1"/>
    </font>
    <font>
      <b val="true"/>
      <u val="single"/>
      <sz val="12"/>
      <color rgb="FF000000"/>
      <name val="Calibri"/>
      <family val="0"/>
      <charset val="1"/>
    </font>
    <font>
      <sz val="9"/>
      <color theme="1"/>
      <name val="Bookman Old Style"/>
      <family val="0"/>
      <charset val="1"/>
    </font>
    <font>
      <b val="true"/>
      <sz val="20"/>
      <color theme="1"/>
      <name val="Times New Roman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33A752"/>
        <bgColor rgb="FF34A853"/>
      </patternFill>
    </fill>
    <fill>
      <patternFill patternType="solid">
        <fgColor rgb="FFA6E3B6"/>
        <bgColor rgb="FFD2F1DA"/>
      </patternFill>
    </fill>
    <fill>
      <patternFill patternType="solid">
        <fgColor rgb="FFD2F1DA"/>
        <bgColor rgb="FFCCFF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7" fillId="2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center" textRotation="0" wrapText="false" indent="0" shrinkToFit="false" readingOrder="1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4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4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4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4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5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4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4" fillId="0" borderId="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1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7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2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4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2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2" borderId="0" xfId="0" applyFont="true" applyBorder="false" applyAlignment="true" applyProtection="false">
      <alignment horizontal="center" vertical="center" textRotation="0" wrapText="false" indent="0" shrinkToFit="false" readingOrder="1"/>
      <protection locked="true" hidden="false"/>
    </xf>
    <xf numFmtId="164" fontId="2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3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b val="1"/>
        <color rgb="FFFF0000"/>
      </font>
      <fill>
        <patternFill/>
      </fill>
    </dxf>
    <dxf>
      <fill>
        <patternFill patternType="solid">
          <bgColor rgb="FF000000"/>
        </patternFill>
      </fill>
    </dxf>
    <dxf>
      <fill>
        <patternFill patternType="solid">
          <fgColor rgb="FF33A752"/>
          <bgColor rgb="FF000000"/>
        </patternFill>
      </fill>
    </dxf>
    <dxf>
      <fill>
        <patternFill patternType="solid">
          <fgColor rgb="FFA6E3B6"/>
          <bgColor rgb="FF000000"/>
        </patternFill>
      </fill>
    </dxf>
    <dxf>
      <fill>
        <patternFill patternType="solid">
          <fgColor rgb="FFD2F1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33A752"/>
      <rgbColor rgb="FFB7B7B7"/>
      <rgbColor rgb="FF8B8B8B"/>
      <rgbColor rgb="FF8FACF6"/>
      <rgbColor rgb="FFEA4335"/>
      <rgbColor rgb="FFFFFFCC"/>
      <rgbColor rgb="FFCCFFFF"/>
      <rgbColor rgb="FF660066"/>
      <rgbColor rgb="FFEF908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34A853"/>
      <rgbColor rgb="FF0000FF"/>
      <rgbColor rgb="FF00CCFF"/>
      <rgbColor rgb="FFCCFFFF"/>
      <rgbColor rgb="FFD2F1DA"/>
      <rgbColor rgb="FFFFFF99"/>
      <rgbColor rgb="FFA6E3B6"/>
      <rgbColor rgb="FFFF99CC"/>
      <rgbColor rgb="FFCC99FF"/>
      <rgbColor rgb="FFFBCE87"/>
      <rgbColor rgb="FF4285F4"/>
      <rgbColor rgb="FF3EA8B0"/>
      <rgbColor rgb="FF99CC00"/>
      <rgbColor rgb="FFFBBC04"/>
      <rgbColor rgb="FFDFA703"/>
      <rgbColor rgb="FFFF6D01"/>
      <rgbColor rgb="FF595959"/>
      <rgbColor rgb="FF969696"/>
      <rgbColor rgb="FF003366"/>
      <rgbColor rgb="FF2E9549"/>
      <rgbColor rgb="FF003300"/>
      <rgbColor rgb="FF333300"/>
      <rgbColor rgb="FFE361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'II CSE'!$C$77</c:f>
              <c:strCache>
                <c:ptCount val="1"/>
                <c:pt idx="0">
                  <c:v>Name of the Staff Member &amp; Department</c:v>
                </c:pt>
              </c:strCache>
            </c:strRef>
          </c:tx>
          <c:spPr>
            <a:solidFill>
              <a:srgbClr val="4285F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CSE'!$B$78:$B$83</c:f>
              <c:strCache>
                <c:ptCount val="6"/>
                <c:pt idx="0">
                  <c:v>CS3452 - Theory of Computation</c:v>
                </c:pt>
                <c:pt idx="1">
                  <c:v>CS3491 - Artificial Intelligence and Machine Learning</c:v>
                </c:pt>
                <c:pt idx="2">
                  <c:v>CS3492 - Database Management Systems</c:v>
                </c:pt>
                <c:pt idx="3">
                  <c:v>CS3401 - Algorithms</c:v>
                </c:pt>
                <c:pt idx="4">
                  <c:v>CS3451 - Introduction to Operating Systems</c:v>
                </c:pt>
                <c:pt idx="5">
                  <c:v>GE3451 - Environmental Science and Sustainability</c:v>
                </c:pt>
              </c:strCache>
            </c:strRef>
          </c:cat>
          <c:val>
            <c:numRef>
              <c:f>'II CSE'!$C$78:$C$83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'II CSE'!$D$77</c:f>
              <c:strCache>
                <c:ptCount val="1"/>
                <c:pt idx="0">
                  <c:v>No of students attended</c:v>
                </c:pt>
              </c:strCache>
            </c:strRef>
          </c:tx>
          <c:spPr>
            <a:solidFill>
              <a:srgbClr val="EA4335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CSE'!$B$78:$B$83</c:f>
              <c:strCache>
                <c:ptCount val="6"/>
                <c:pt idx="0">
                  <c:v>CS3452 - Theory of Computation</c:v>
                </c:pt>
                <c:pt idx="1">
                  <c:v>CS3491 - Artificial Intelligence and Machine Learning</c:v>
                </c:pt>
                <c:pt idx="2">
                  <c:v>CS3492 - Database Management Systems</c:v>
                </c:pt>
                <c:pt idx="3">
                  <c:v>CS3401 - Algorithms</c:v>
                </c:pt>
                <c:pt idx="4">
                  <c:v>CS3451 - Introduction to Operating Systems</c:v>
                </c:pt>
                <c:pt idx="5">
                  <c:v>GE3451 - Environmental Science and Sustainability</c:v>
                </c:pt>
              </c:strCache>
            </c:strRef>
          </c:cat>
          <c:val>
            <c:numRef>
              <c:f>'II CSE'!$D$78:$D$83</c:f>
              <c:numCache>
                <c:formatCode>General</c:formatCode>
                <c:ptCount val="6"/>
                <c:pt idx="0">
                  <c:v>44</c:v>
                </c:pt>
                <c:pt idx="1">
                  <c:v>54</c:v>
                </c:pt>
                <c:pt idx="2">
                  <c:v>48</c:v>
                </c:pt>
                <c:pt idx="3">
                  <c:v>55</c:v>
                </c:pt>
                <c:pt idx="4">
                  <c:v>54</c:v>
                </c:pt>
                <c:pt idx="5">
                  <c:v>50</c:v>
                </c:pt>
              </c:numCache>
            </c:numRef>
          </c:val>
        </c:ser>
        <c:ser>
          <c:idx val="2"/>
          <c:order val="2"/>
          <c:tx>
            <c:strRef>
              <c:f>'II CSE'!$E$77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BBC0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CSE'!$B$78:$B$83</c:f>
              <c:strCache>
                <c:ptCount val="6"/>
                <c:pt idx="0">
                  <c:v>CS3452 - Theory of Computation</c:v>
                </c:pt>
                <c:pt idx="1">
                  <c:v>CS3491 - Artificial Intelligence and Machine Learning</c:v>
                </c:pt>
                <c:pt idx="2">
                  <c:v>CS3492 - Database Management Systems</c:v>
                </c:pt>
                <c:pt idx="3">
                  <c:v>CS3401 - Algorithms</c:v>
                </c:pt>
                <c:pt idx="4">
                  <c:v>CS3451 - Introduction to Operating Systems</c:v>
                </c:pt>
                <c:pt idx="5">
                  <c:v>GE3451 - Environmental Science and Sustainability</c:v>
                </c:pt>
              </c:strCache>
            </c:strRef>
          </c:cat>
          <c:val>
            <c:numRef>
              <c:f>'II CSE'!$E$78:$E$82</c:f>
              <c:numCache>
                <c:formatCode>General</c:formatCode>
                <c:ptCount val="5"/>
              </c:numCache>
            </c:numRef>
          </c:val>
        </c:ser>
        <c:ser>
          <c:idx val="3"/>
          <c:order val="3"/>
          <c:tx>
            <c:strRef>
              <c:f>'II CSE'!$F$77</c:f>
              <c:strCache>
                <c:ptCount val="1"/>
                <c:pt idx="0">
                  <c:v>No of students absent</c:v>
                </c:pt>
              </c:strCache>
            </c:strRef>
          </c:tx>
          <c:spPr>
            <a:solidFill>
              <a:srgbClr val="34A853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CSE'!$B$78:$B$83</c:f>
              <c:strCache>
                <c:ptCount val="6"/>
                <c:pt idx="0">
                  <c:v>CS3452 - Theory of Computation</c:v>
                </c:pt>
                <c:pt idx="1">
                  <c:v>CS3491 - Artificial Intelligence and Machine Learning</c:v>
                </c:pt>
                <c:pt idx="2">
                  <c:v>CS3492 - Database Management Systems</c:v>
                </c:pt>
                <c:pt idx="3">
                  <c:v>CS3401 - Algorithms</c:v>
                </c:pt>
                <c:pt idx="4">
                  <c:v>CS3451 - Introduction to Operating Systems</c:v>
                </c:pt>
                <c:pt idx="5">
                  <c:v>GE3451 - Environmental Science and Sustainability</c:v>
                </c:pt>
              </c:strCache>
            </c:strRef>
          </c:cat>
          <c:val>
            <c:numRef>
              <c:f>'II CSE'!$F$78:$F$83</c:f>
              <c:numCache>
                <c:formatCode>General</c:formatCode>
                <c:ptCount val="6"/>
                <c:pt idx="0">
                  <c:v>14</c:v>
                </c:pt>
                <c:pt idx="1">
                  <c:v>4</c:v>
                </c:pt>
                <c:pt idx="2">
                  <c:v>10</c:v>
                </c:pt>
                <c:pt idx="3">
                  <c:v>3</c:v>
                </c:pt>
                <c:pt idx="4">
                  <c:v>4</c:v>
                </c:pt>
                <c:pt idx="5">
                  <c:v>8</c:v>
                </c:pt>
              </c:numCache>
            </c:numRef>
          </c:val>
        </c:ser>
        <c:ser>
          <c:idx val="4"/>
          <c:order val="4"/>
          <c:tx>
            <c:strRef>
              <c:f>'II CSE'!$G$77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361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CSE'!$B$78:$B$83</c:f>
              <c:strCache>
                <c:ptCount val="6"/>
                <c:pt idx="0">
                  <c:v>CS3452 - Theory of Computation</c:v>
                </c:pt>
                <c:pt idx="1">
                  <c:v>CS3491 - Artificial Intelligence and Machine Learning</c:v>
                </c:pt>
                <c:pt idx="2">
                  <c:v>CS3492 - Database Management Systems</c:v>
                </c:pt>
                <c:pt idx="3">
                  <c:v>CS3401 - Algorithms</c:v>
                </c:pt>
                <c:pt idx="4">
                  <c:v>CS3451 - Introduction to Operating Systems</c:v>
                </c:pt>
                <c:pt idx="5">
                  <c:v>GE3451 - Environmental Science and Sustainability</c:v>
                </c:pt>
              </c:strCache>
            </c:strRef>
          </c:cat>
          <c:val>
            <c:numRef>
              <c:f>'II CSE'!$G$78:$G$82</c:f>
              <c:numCache>
                <c:formatCode>General</c:formatCode>
                <c:ptCount val="5"/>
              </c:numCache>
            </c:numRef>
          </c:val>
        </c:ser>
        <c:ser>
          <c:idx val="5"/>
          <c:order val="5"/>
          <c:tx>
            <c:strRef>
              <c:f>'II CSE'!$I$77</c:f>
              <c:strCache>
                <c:ptCount val="1"/>
                <c:pt idx="0">
                  <c:v>No of students Passed</c:v>
                </c:pt>
              </c:strCache>
            </c:strRef>
          </c:tx>
          <c:spPr>
            <a:solidFill>
              <a:srgbClr val="3EA8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CSE'!$B$78:$B$83</c:f>
              <c:strCache>
                <c:ptCount val="6"/>
                <c:pt idx="0">
                  <c:v>CS3452 - Theory of Computation</c:v>
                </c:pt>
                <c:pt idx="1">
                  <c:v>CS3491 - Artificial Intelligence and Machine Learning</c:v>
                </c:pt>
                <c:pt idx="2">
                  <c:v>CS3492 - Database Management Systems</c:v>
                </c:pt>
                <c:pt idx="3">
                  <c:v>CS3401 - Algorithms</c:v>
                </c:pt>
                <c:pt idx="4">
                  <c:v>CS3451 - Introduction to Operating Systems</c:v>
                </c:pt>
                <c:pt idx="5">
                  <c:v>GE3451 - Environmental Science and Sustainability</c:v>
                </c:pt>
              </c:strCache>
            </c:strRef>
          </c:cat>
          <c:val>
            <c:numRef>
              <c:f>'II CSE'!$I$78:$I$83</c:f>
              <c:numCache>
                <c:formatCode>General</c:formatCode>
                <c:ptCount val="6"/>
                <c:pt idx="0">
                  <c:v>24</c:v>
                </c:pt>
                <c:pt idx="1">
                  <c:v>18</c:v>
                </c:pt>
                <c:pt idx="2">
                  <c:v>17</c:v>
                </c:pt>
                <c:pt idx="3">
                  <c:v>29</c:v>
                </c:pt>
                <c:pt idx="4">
                  <c:v>23</c:v>
                </c:pt>
                <c:pt idx="5">
                  <c:v>27</c:v>
                </c:pt>
              </c:numCache>
            </c:numRef>
          </c:val>
        </c:ser>
        <c:ser>
          <c:idx val="6"/>
          <c:order val="6"/>
          <c:tx>
            <c:strRef>
              <c:f>'II CSE'!$J$77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FACF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CSE'!$B$78:$B$83</c:f>
              <c:strCache>
                <c:ptCount val="6"/>
                <c:pt idx="0">
                  <c:v>CS3452 - Theory of Computation</c:v>
                </c:pt>
                <c:pt idx="1">
                  <c:v>CS3491 - Artificial Intelligence and Machine Learning</c:v>
                </c:pt>
                <c:pt idx="2">
                  <c:v>CS3492 - Database Management Systems</c:v>
                </c:pt>
                <c:pt idx="3">
                  <c:v>CS3401 - Algorithms</c:v>
                </c:pt>
                <c:pt idx="4">
                  <c:v>CS3451 - Introduction to Operating Systems</c:v>
                </c:pt>
                <c:pt idx="5">
                  <c:v>GE3451 - Environmental Science and Sustainability</c:v>
                </c:pt>
              </c:strCache>
            </c:strRef>
          </c:cat>
          <c:val>
            <c:numRef>
              <c:f>'II CSE'!$J$78:$J$82</c:f>
              <c:numCache>
                <c:formatCode>General</c:formatCode>
                <c:ptCount val="5"/>
              </c:numCache>
            </c:numRef>
          </c:val>
        </c:ser>
        <c:ser>
          <c:idx val="7"/>
          <c:order val="7"/>
          <c:tx>
            <c:strRef>
              <c:f>'II CSE'!$K$77</c:f>
              <c:strCache>
                <c:ptCount val="1"/>
                <c:pt idx="0">
                  <c:v>Percentage of Passes (%)</c:v>
                </c:pt>
              </c:strCache>
            </c:strRef>
          </c:tx>
          <c:spPr>
            <a:solidFill>
              <a:srgbClr val="EF908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CSE'!$B$78:$B$83</c:f>
              <c:strCache>
                <c:ptCount val="6"/>
                <c:pt idx="0">
                  <c:v>CS3452 - Theory of Computation</c:v>
                </c:pt>
                <c:pt idx="1">
                  <c:v>CS3491 - Artificial Intelligence and Machine Learning</c:v>
                </c:pt>
                <c:pt idx="2">
                  <c:v>CS3492 - Database Management Systems</c:v>
                </c:pt>
                <c:pt idx="3">
                  <c:v>CS3401 - Algorithms</c:v>
                </c:pt>
                <c:pt idx="4">
                  <c:v>CS3451 - Introduction to Operating Systems</c:v>
                </c:pt>
                <c:pt idx="5">
                  <c:v>GE3451 - Environmental Science and Sustainability</c:v>
                </c:pt>
              </c:strCache>
            </c:strRef>
          </c:cat>
          <c:val>
            <c:numRef>
              <c:f>'II CSE'!$K$78:$K$82</c:f>
              <c:numCache>
                <c:formatCode>0</c:formatCode>
                <c:ptCount val="5"/>
                <c:pt idx="0">
                  <c:v>54.5454545454545</c:v>
                </c:pt>
                <c:pt idx="1">
                  <c:v>33.3333333333333</c:v>
                </c:pt>
                <c:pt idx="2">
                  <c:v>35.4166666666667</c:v>
                </c:pt>
                <c:pt idx="3">
                  <c:v>52.7272727272727</c:v>
                </c:pt>
                <c:pt idx="4">
                  <c:v>42.5925925925926</c:v>
                </c:pt>
              </c:numCache>
            </c:numRef>
          </c:val>
        </c:ser>
        <c:gapWidth val="150"/>
        <c:overlap val="0"/>
        <c:axId val="7803594"/>
        <c:axId val="71798429"/>
      </c:barChart>
      <c:catAx>
        <c:axId val="780359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71798429"/>
        <c:crosses val="autoZero"/>
        <c:auto val="1"/>
        <c:lblAlgn val="ctr"/>
        <c:lblOffset val="100"/>
        <c:noMultiLvlLbl val="0"/>
      </c:catAx>
      <c:valAx>
        <c:axId val="7179842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780359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'III CSE'!$D$81</c:f>
              <c:strCache>
                <c:ptCount val="1"/>
                <c:pt idx="0">
                  <c:v>Name of the Staff Member &amp; Department</c:v>
                </c:pt>
              </c:strCache>
            </c:strRef>
          </c:tx>
          <c:spPr>
            <a:solidFill>
              <a:srgbClr val="4285F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CSE'!$C$82:$C$87</c:f>
              <c:strCache>
                <c:ptCount val="6"/>
                <c:pt idx="0">
                  <c:v>CCS356 - Object Oriented Software Engineering</c:v>
                </c:pt>
                <c:pt idx="1">
                  <c:v>OEE 351
Open Elective - I
Renewable Energy Systems</c:v>
                </c:pt>
                <c:pt idx="2">
                  <c:v>CS3691 - Embedded Systems and IOT</c:v>
                </c:pt>
                <c:pt idx="3">
                  <c:v>CCS355 - Professional Elective-III Neural Network and Deep Learning</c:v>
                </c:pt>
                <c:pt idx="4">
                  <c:v>CCS372 - Professional Elective-IV Virtualization</c:v>
                </c:pt>
                <c:pt idx="5">
                  <c:v>CCS354 - Professional Elective-V Network Security</c:v>
                </c:pt>
              </c:strCache>
            </c:strRef>
          </c:cat>
          <c:val>
            <c:numRef>
              <c:f>'III CSE'!$D$82:$D$87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'III CSE'!$E$81</c:f>
              <c:strCache>
                <c:ptCount val="1"/>
                <c:pt idx="0">
                  <c:v>No of students attended</c:v>
                </c:pt>
              </c:strCache>
            </c:strRef>
          </c:tx>
          <c:spPr>
            <a:solidFill>
              <a:srgbClr val="EA4335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CSE'!$C$82:$C$87</c:f>
              <c:strCache>
                <c:ptCount val="6"/>
                <c:pt idx="0">
                  <c:v>CCS356 - Object Oriented Software Engineering</c:v>
                </c:pt>
                <c:pt idx="1">
                  <c:v>OEE 351
Open Elective - I
Renewable Energy Systems</c:v>
                </c:pt>
                <c:pt idx="2">
                  <c:v>CS3691 - Embedded Systems and IOT</c:v>
                </c:pt>
                <c:pt idx="3">
                  <c:v>CCS355 - Professional Elective-III Neural Network and Deep Learning</c:v>
                </c:pt>
                <c:pt idx="4">
                  <c:v>CCS372 - Professional Elective-IV Virtualization</c:v>
                </c:pt>
                <c:pt idx="5">
                  <c:v>CCS354 - Professional Elective-V Network Security</c:v>
                </c:pt>
              </c:strCache>
            </c:strRef>
          </c:cat>
          <c:val>
            <c:numRef>
              <c:f>'III CSE'!$E$82:$E$87</c:f>
              <c:numCache>
                <c:formatCode>General</c:formatCode>
                <c:ptCount val="6"/>
                <c:pt idx="0">
                  <c:v>57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56</c:v>
                </c:pt>
                <c:pt idx="5">
                  <c:v>56</c:v>
                </c:pt>
              </c:numCache>
            </c:numRef>
          </c:val>
        </c:ser>
        <c:ser>
          <c:idx val="2"/>
          <c:order val="2"/>
          <c:tx>
            <c:strRef>
              <c:f>'III CSE'!$F$81</c:f>
              <c:strCache>
                <c:ptCount val="1"/>
                <c:pt idx="0">
                  <c:v>No of students absent</c:v>
                </c:pt>
              </c:strCache>
            </c:strRef>
          </c:tx>
          <c:spPr>
            <a:solidFill>
              <a:srgbClr val="FBBC0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CSE'!$C$82:$C$87</c:f>
              <c:strCache>
                <c:ptCount val="6"/>
                <c:pt idx="0">
                  <c:v>CCS356 - Object Oriented Software Engineering</c:v>
                </c:pt>
                <c:pt idx="1">
                  <c:v>OEE 351
Open Elective - I
Renewable Energy Systems</c:v>
                </c:pt>
                <c:pt idx="2">
                  <c:v>CS3691 - Embedded Systems and IOT</c:v>
                </c:pt>
                <c:pt idx="3">
                  <c:v>CCS355 - Professional Elective-III Neural Network and Deep Learning</c:v>
                </c:pt>
                <c:pt idx="4">
                  <c:v>CCS372 - Professional Elective-IV Virtualization</c:v>
                </c:pt>
                <c:pt idx="5">
                  <c:v>CCS354 - Professional Elective-V Network Security</c:v>
                </c:pt>
              </c:strCache>
            </c:strRef>
          </c:cat>
          <c:val>
            <c:numRef>
              <c:f>'III CSE'!$F$82:$F$87</c:f>
              <c:numCache>
                <c:formatCode>General</c:formatCode>
                <c:ptCount val="6"/>
                <c:pt idx="0">
                  <c:v>5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  <c:pt idx="4">
                  <c:v>3</c:v>
                </c:pt>
                <c:pt idx="5">
                  <c:v>6</c:v>
                </c:pt>
              </c:numCache>
            </c:numRef>
          </c:val>
        </c:ser>
        <c:ser>
          <c:idx val="3"/>
          <c:order val="3"/>
          <c:tx>
            <c:strRef>
              <c:f>'III CSE'!$G$81</c:f>
              <c:strCache>
                <c:ptCount val="1"/>
                <c:pt idx="0">
                  <c:v>No of students Passed</c:v>
                </c:pt>
              </c:strCache>
            </c:strRef>
          </c:tx>
          <c:spPr>
            <a:solidFill>
              <a:srgbClr val="34A853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CSE'!$C$82:$C$87</c:f>
              <c:strCache>
                <c:ptCount val="6"/>
                <c:pt idx="0">
                  <c:v>CCS356 - Object Oriented Software Engineering</c:v>
                </c:pt>
                <c:pt idx="1">
                  <c:v>OEE 351
Open Elective - I
Renewable Energy Systems</c:v>
                </c:pt>
                <c:pt idx="2">
                  <c:v>CS3691 - Embedded Systems and IOT</c:v>
                </c:pt>
                <c:pt idx="3">
                  <c:v>CCS355 - Professional Elective-III Neural Network and Deep Learning</c:v>
                </c:pt>
                <c:pt idx="4">
                  <c:v>CCS372 - Professional Elective-IV Virtualization</c:v>
                </c:pt>
                <c:pt idx="5">
                  <c:v>CCS354 - Professional Elective-V Network Security</c:v>
                </c:pt>
              </c:strCache>
            </c:strRef>
          </c:cat>
          <c:val>
            <c:numRef>
              <c:f>'III CSE'!$G$82:$G$87</c:f>
              <c:numCache>
                <c:formatCode>General</c:formatCode>
                <c:ptCount val="6"/>
                <c:pt idx="0">
                  <c:v>32</c:v>
                </c:pt>
                <c:pt idx="1">
                  <c:v>0</c:v>
                </c:pt>
                <c:pt idx="2">
                  <c:v>39</c:v>
                </c:pt>
                <c:pt idx="3">
                  <c:v>0</c:v>
                </c:pt>
                <c:pt idx="4">
                  <c:v>11</c:v>
                </c:pt>
                <c:pt idx="5">
                  <c:v>21</c:v>
                </c:pt>
              </c:numCache>
            </c:numRef>
          </c:val>
        </c:ser>
        <c:ser>
          <c:idx val="4"/>
          <c:order val="4"/>
          <c:tx>
            <c:strRef>
              <c:f>'III CSE'!$I$81</c:f>
              <c:strCache>
                <c:ptCount val="1"/>
                <c:pt idx="0">
                  <c:v>Percentage of Passes (%)</c:v>
                </c:pt>
              </c:strCache>
            </c:strRef>
          </c:tx>
          <c:spPr>
            <a:solidFill>
              <a:srgbClr val="FF6D0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CSE'!$C$82:$C$87</c:f>
              <c:strCache>
                <c:ptCount val="6"/>
                <c:pt idx="0">
                  <c:v>CCS356 - Object Oriented Software Engineering</c:v>
                </c:pt>
                <c:pt idx="1">
                  <c:v>OEE 351
Open Elective - I
Renewable Energy Systems</c:v>
                </c:pt>
                <c:pt idx="2">
                  <c:v>CS3691 - Embedded Systems and IOT</c:v>
                </c:pt>
                <c:pt idx="3">
                  <c:v>CCS355 - Professional Elective-III Neural Network and Deep Learning</c:v>
                </c:pt>
                <c:pt idx="4">
                  <c:v>CCS372 - Professional Elective-IV Virtualization</c:v>
                </c:pt>
                <c:pt idx="5">
                  <c:v>CCS354 - Professional Elective-V Network Security</c:v>
                </c:pt>
              </c:strCache>
            </c:strRef>
          </c:cat>
          <c:val>
            <c:numRef>
              <c:f>'III CSE'!$I$82:$I$87</c:f>
              <c:numCache>
                <c:formatCode>0</c:formatCode>
                <c:ptCount val="6"/>
                <c:pt idx="0">
                  <c:v>56.140350877193</c:v>
                </c:pt>
                <c:pt idx="4">
                  <c:v>18</c:v>
                </c:pt>
                <c:pt idx="5">
                  <c:v>37.5</c:v>
                </c:pt>
              </c:numCache>
            </c:numRef>
          </c:val>
        </c:ser>
        <c:gapWidth val="150"/>
        <c:overlap val="0"/>
        <c:axId val="42899683"/>
        <c:axId val="15954061"/>
      </c:barChart>
      <c:catAx>
        <c:axId val="428996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15954061"/>
        <c:crosses val="autoZero"/>
        <c:auto val="1"/>
        <c:lblAlgn val="ctr"/>
        <c:lblOffset val="100"/>
        <c:noMultiLvlLbl val="0"/>
      </c:catAx>
      <c:valAx>
        <c:axId val="15954061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4289968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'IV CSE'!$C$86</c:f>
              <c:strCache>
                <c:ptCount val="1"/>
                <c:pt idx="0">
                  <c:v>Name of the Staff Member &amp; Department</c:v>
                </c:pt>
              </c:strCache>
            </c:strRef>
          </c:tx>
          <c:spPr>
            <a:solidFill>
              <a:srgbClr val="4285F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'IV CSE'!$B$87:$B$90</c:f>
              <c:strCache>
                <c:ptCount val="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</c:strCache>
            </c:strRef>
          </c:cat>
          <c:val>
            <c:numRef>
              <c:f>'IV CSE'!$C$87:$C$90</c:f>
              <c:numCache>
                <c:formatCode>General</c:formatCode>
                <c:ptCount val="4"/>
              </c:numCache>
            </c:numRef>
          </c:val>
        </c:ser>
        <c:ser>
          <c:idx val="1"/>
          <c:order val="1"/>
          <c:tx>
            <c:strRef>
              <c:f>'IV CSE'!$D$86</c:f>
              <c:strCache>
                <c:ptCount val="1"/>
                <c:pt idx="0">
                  <c:v>No of students attended</c:v>
                </c:pt>
              </c:strCache>
            </c:strRef>
          </c:tx>
          <c:spPr>
            <a:solidFill>
              <a:srgbClr val="EA4335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'IV CSE'!$B$87:$B$90</c:f>
              <c:strCache>
                <c:ptCount val="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</c:strCache>
            </c:strRef>
          </c:cat>
          <c:val>
            <c:numRef>
              <c:f>'IV CSE'!$D$87:$D$90</c:f>
              <c:numCache>
                <c:formatCode>General</c:formatCode>
                <c:ptCount val="4"/>
              </c:numCache>
            </c:numRef>
          </c:val>
        </c:ser>
        <c:ser>
          <c:idx val="2"/>
          <c:order val="2"/>
          <c:tx>
            <c:strRef>
              <c:f>'IV CSE'!$E$86</c:f>
              <c:strCache>
                <c:ptCount val="1"/>
                <c:pt idx="0">
                  <c:v>No of students absent</c:v>
                </c:pt>
              </c:strCache>
            </c:strRef>
          </c:tx>
          <c:spPr>
            <a:solidFill>
              <a:srgbClr val="DFA70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'IV CSE'!$B$87:$B$90</c:f>
              <c:strCache>
                <c:ptCount val="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</c:strCache>
            </c:strRef>
          </c:cat>
          <c:val>
            <c:numRef>
              <c:f>'IV CSE'!$E$87:$E$90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3">
                  <c:v>0</c:v>
                </c:pt>
              </c:numCache>
            </c:numRef>
          </c:val>
        </c:ser>
        <c:ser>
          <c:idx val="3"/>
          <c:order val="3"/>
          <c:tx>
            <c:strRef>
              <c:f>'IV CSE'!$F$86</c:f>
              <c:strCache>
                <c:ptCount val="1"/>
                <c:pt idx="0">
                  <c:v>No of students Passed</c:v>
                </c:pt>
              </c:strCache>
            </c:strRef>
          </c:tx>
          <c:spPr>
            <a:solidFill>
              <a:srgbClr val="2E954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'IV CSE'!$B$87:$B$90</c:f>
              <c:strCache>
                <c:ptCount val="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</c:strCache>
            </c:strRef>
          </c:cat>
          <c:val>
            <c:numRef>
              <c:f>'IV CSE'!$F$87:$F$90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4"/>
          <c:order val="4"/>
          <c:tx>
            <c:strRef>
              <c:f>'IV CSE'!$G$86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361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'IV CSE'!$B$87:$B$90</c:f>
              <c:strCache>
                <c:ptCount val="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</c:strCache>
            </c:strRef>
          </c:cat>
          <c:val>
            <c:numRef>
              <c:f>'IV CSE'!$G$87:$G$90</c:f>
              <c:numCache>
                <c:formatCode>General</c:formatCode>
                <c:ptCount val="4"/>
              </c:numCache>
            </c:numRef>
          </c:val>
        </c:ser>
        <c:ser>
          <c:idx val="5"/>
          <c:order val="5"/>
          <c:tx>
            <c:strRef>
              <c:f>'IV CSE'!$H$86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3EA8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'IV CSE'!$B$87:$B$90</c:f>
              <c:strCache>
                <c:ptCount val="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</c:strCache>
            </c:strRef>
          </c:cat>
          <c:val>
            <c:numRef>
              <c:f>'IV CSE'!$H$87:$H$90</c:f>
              <c:numCache>
                <c:formatCode>General</c:formatCode>
                <c:ptCount val="4"/>
              </c:numCache>
            </c:numRef>
          </c:val>
        </c:ser>
        <c:ser>
          <c:idx val="6"/>
          <c:order val="6"/>
          <c:tx>
            <c:strRef>
              <c:f>'IV CSE'!$I$86</c:f>
              <c:strCache>
                <c:ptCount val="1"/>
                <c:pt idx="0">
                  <c:v>Percentage of Passes (%)</c:v>
                </c:pt>
              </c:strCache>
            </c:strRef>
          </c:tx>
          <c:spPr>
            <a:solidFill>
              <a:srgbClr val="8FACF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'IV CSE'!$B$87:$B$90</c:f>
              <c:strCache>
                <c:ptCount val="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</c:strCache>
            </c:strRef>
          </c:cat>
          <c:val>
            <c:numRef>
              <c:f>'IV CSE'!$I$87:$I$90</c:f>
              <c:numCache>
                <c:formatCode>0</c:formatCode>
                <c:ptCount val="4"/>
              </c:numCache>
            </c:numRef>
          </c:val>
        </c:ser>
        <c:gapWidth val="150"/>
        <c:overlap val="0"/>
        <c:axId val="28959964"/>
        <c:axId val="20101167"/>
      </c:barChart>
      <c:catAx>
        <c:axId val="289599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20101167"/>
        <c:crosses val="autoZero"/>
        <c:auto val="1"/>
        <c:lblAlgn val="ctr"/>
        <c:lblOffset val="100"/>
        <c:noMultiLvlLbl val="0"/>
      </c:catAx>
      <c:valAx>
        <c:axId val="20101167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2895996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'II IT'!$C$83</c:f>
              <c:strCache>
                <c:ptCount val="1"/>
                <c:pt idx="0">
                  <c:v>Name of the Staff Member &amp; Department</c:v>
                </c:pt>
              </c:strCache>
            </c:strRef>
          </c:tx>
          <c:spPr>
            <a:solidFill>
              <a:srgbClr val="4285F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IT'!$B$84:$B$89</c:f>
              <c:strCache>
                <c:ptCount val="6"/>
                <c:pt idx="0">
                  <c:v>CS3452 - Theory of Computation</c:v>
                </c:pt>
                <c:pt idx="1">
                  <c:v>CS3491 - Artificial Intelligence and Machine Learning</c:v>
                </c:pt>
                <c:pt idx="2">
                  <c:v>CS3492 - Database Management Systems</c:v>
                </c:pt>
                <c:pt idx="3">
                  <c:v>IT3401 - Web Essentials</c:v>
                </c:pt>
                <c:pt idx="4">
                  <c:v>CS3451 - Introduction to Operating Systems</c:v>
                </c:pt>
                <c:pt idx="5">
                  <c:v>GE3451 - Environmental Science and Sustainability</c:v>
                </c:pt>
              </c:strCache>
            </c:strRef>
          </c:cat>
          <c:val>
            <c:numRef>
              <c:f>'II IT'!$C$84:$C$89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'II IT'!$D$83</c:f>
              <c:strCache>
                <c:ptCount val="1"/>
                <c:pt idx="0">
                  <c:v>No of students attended</c:v>
                </c:pt>
              </c:strCache>
            </c:strRef>
          </c:tx>
          <c:spPr>
            <a:solidFill>
              <a:srgbClr val="EA4335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IT'!$B$84:$B$89</c:f>
              <c:strCache>
                <c:ptCount val="6"/>
                <c:pt idx="0">
                  <c:v>CS3452 - Theory of Computation</c:v>
                </c:pt>
                <c:pt idx="1">
                  <c:v>CS3491 - Artificial Intelligence and Machine Learning</c:v>
                </c:pt>
                <c:pt idx="2">
                  <c:v>CS3492 - Database Management Systems</c:v>
                </c:pt>
                <c:pt idx="3">
                  <c:v>IT3401 - Web Essentials</c:v>
                </c:pt>
                <c:pt idx="4">
                  <c:v>CS3451 - Introduction to Operating Systems</c:v>
                </c:pt>
                <c:pt idx="5">
                  <c:v>GE3451 - Environmental Science and Sustainability</c:v>
                </c:pt>
              </c:strCache>
            </c:strRef>
          </c:cat>
          <c:val>
            <c:numRef>
              <c:f>'II IT'!$D$84:$D$89</c:f>
              <c:numCache>
                <c:formatCode>General</c:formatCode>
                <c:ptCount val="6"/>
                <c:pt idx="0">
                  <c:v>47</c:v>
                </c:pt>
                <c:pt idx="1">
                  <c:v>58</c:v>
                </c:pt>
                <c:pt idx="2">
                  <c:v>57</c:v>
                </c:pt>
                <c:pt idx="3">
                  <c:v>57</c:v>
                </c:pt>
                <c:pt idx="4">
                  <c:v>59</c:v>
                </c:pt>
                <c:pt idx="5">
                  <c:v>57</c:v>
                </c:pt>
              </c:numCache>
            </c:numRef>
          </c:val>
        </c:ser>
        <c:ser>
          <c:idx val="2"/>
          <c:order val="2"/>
          <c:tx>
            <c:strRef>
              <c:f>'II IT'!$E$83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BBC0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IT'!$B$84:$B$89</c:f>
              <c:strCache>
                <c:ptCount val="6"/>
                <c:pt idx="0">
                  <c:v>CS3452 - Theory of Computation</c:v>
                </c:pt>
                <c:pt idx="1">
                  <c:v>CS3491 - Artificial Intelligence and Machine Learning</c:v>
                </c:pt>
                <c:pt idx="2">
                  <c:v>CS3492 - Database Management Systems</c:v>
                </c:pt>
                <c:pt idx="3">
                  <c:v>IT3401 - Web Essentials</c:v>
                </c:pt>
                <c:pt idx="4">
                  <c:v>CS3451 - Introduction to Operating Systems</c:v>
                </c:pt>
                <c:pt idx="5">
                  <c:v>GE3451 - Environmental Science and Sustainability</c:v>
                </c:pt>
              </c:strCache>
            </c:strRef>
          </c:cat>
          <c:val>
            <c:numRef>
              <c:f>'II IT'!$E$84:$E$89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'II IT'!$F$83</c:f>
              <c:strCache>
                <c:ptCount val="1"/>
                <c:pt idx="0">
                  <c:v>No of students absent</c:v>
                </c:pt>
              </c:strCache>
            </c:strRef>
          </c:tx>
          <c:spPr>
            <a:solidFill>
              <a:srgbClr val="34A853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IT'!$B$84:$B$89</c:f>
              <c:strCache>
                <c:ptCount val="6"/>
                <c:pt idx="0">
                  <c:v>CS3452 - Theory of Computation</c:v>
                </c:pt>
                <c:pt idx="1">
                  <c:v>CS3491 - Artificial Intelligence and Machine Learning</c:v>
                </c:pt>
                <c:pt idx="2">
                  <c:v>CS3492 - Database Management Systems</c:v>
                </c:pt>
                <c:pt idx="3">
                  <c:v>IT3401 - Web Essentials</c:v>
                </c:pt>
                <c:pt idx="4">
                  <c:v>CS3451 - Introduction to Operating Systems</c:v>
                </c:pt>
                <c:pt idx="5">
                  <c:v>GE3451 - Environmental Science and Sustainability</c:v>
                </c:pt>
              </c:strCache>
            </c:strRef>
          </c:cat>
          <c:val>
            <c:numRef>
              <c:f>'II IT'!$F$84:$F$89</c:f>
              <c:numCache>
                <c:formatCode>General</c:formatCode>
                <c:ptCount val="6"/>
                <c:pt idx="0">
                  <c:v>14</c:v>
                </c:pt>
                <c:pt idx="1">
                  <c:v>6</c:v>
                </c:pt>
                <c:pt idx="2">
                  <c:v>3</c:v>
                </c:pt>
                <c:pt idx="3">
                  <c:v>6</c:v>
                </c:pt>
                <c:pt idx="4">
                  <c:v>4</c:v>
                </c:pt>
                <c:pt idx="5">
                  <c:v>7</c:v>
                </c:pt>
              </c:numCache>
            </c:numRef>
          </c:val>
        </c:ser>
        <c:ser>
          <c:idx val="4"/>
          <c:order val="4"/>
          <c:tx>
            <c:strRef>
              <c:f>'II IT'!$G$83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361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IT'!$B$84:$B$89</c:f>
              <c:strCache>
                <c:ptCount val="6"/>
                <c:pt idx="0">
                  <c:v>CS3452 - Theory of Computation</c:v>
                </c:pt>
                <c:pt idx="1">
                  <c:v>CS3491 - Artificial Intelligence and Machine Learning</c:v>
                </c:pt>
                <c:pt idx="2">
                  <c:v>CS3492 - Database Management Systems</c:v>
                </c:pt>
                <c:pt idx="3">
                  <c:v>IT3401 - Web Essentials</c:v>
                </c:pt>
                <c:pt idx="4">
                  <c:v>CS3451 - Introduction to Operating Systems</c:v>
                </c:pt>
                <c:pt idx="5">
                  <c:v>GE3451 - Environmental Science and Sustainability</c:v>
                </c:pt>
              </c:strCache>
            </c:strRef>
          </c:cat>
          <c:val>
            <c:numRef>
              <c:f>'II IT'!$G$84:$G$89</c:f>
              <c:numCache>
                <c:formatCode>General</c:formatCode>
                <c:ptCount val="6"/>
              </c:numCache>
            </c:numRef>
          </c:val>
        </c:ser>
        <c:ser>
          <c:idx val="5"/>
          <c:order val="5"/>
          <c:tx>
            <c:strRef>
              <c:f>'II IT'!$H$83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3EA8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IT'!$B$84:$B$89</c:f>
              <c:strCache>
                <c:ptCount val="6"/>
                <c:pt idx="0">
                  <c:v>CS3452 - Theory of Computation</c:v>
                </c:pt>
                <c:pt idx="1">
                  <c:v>CS3491 - Artificial Intelligence and Machine Learning</c:v>
                </c:pt>
                <c:pt idx="2">
                  <c:v>CS3492 - Database Management Systems</c:v>
                </c:pt>
                <c:pt idx="3">
                  <c:v>IT3401 - Web Essentials</c:v>
                </c:pt>
                <c:pt idx="4">
                  <c:v>CS3451 - Introduction to Operating Systems</c:v>
                </c:pt>
                <c:pt idx="5">
                  <c:v>GE3451 - Environmental Science and Sustainability</c:v>
                </c:pt>
              </c:strCache>
            </c:strRef>
          </c:cat>
          <c:val>
            <c:numRef>
              <c:f>'II IT'!$H$84:$H$89</c:f>
              <c:numCache>
                <c:formatCode>General</c:formatCode>
                <c:ptCount val="6"/>
              </c:numCache>
            </c:numRef>
          </c:val>
        </c:ser>
        <c:ser>
          <c:idx val="6"/>
          <c:order val="6"/>
          <c:tx>
            <c:strRef>
              <c:f>'II IT'!$I$83</c:f>
              <c:strCache>
                <c:ptCount val="1"/>
                <c:pt idx="0">
                  <c:v>No of students Passed</c:v>
                </c:pt>
              </c:strCache>
            </c:strRef>
          </c:tx>
          <c:spPr>
            <a:solidFill>
              <a:srgbClr val="8FACF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IT'!$B$84:$B$89</c:f>
              <c:strCache>
                <c:ptCount val="6"/>
                <c:pt idx="0">
                  <c:v>CS3452 - Theory of Computation</c:v>
                </c:pt>
                <c:pt idx="1">
                  <c:v>CS3491 - Artificial Intelligence and Machine Learning</c:v>
                </c:pt>
                <c:pt idx="2">
                  <c:v>CS3492 - Database Management Systems</c:v>
                </c:pt>
                <c:pt idx="3">
                  <c:v>IT3401 - Web Essentials</c:v>
                </c:pt>
                <c:pt idx="4">
                  <c:v>CS3451 - Introduction to Operating Systems</c:v>
                </c:pt>
                <c:pt idx="5">
                  <c:v>GE3451 - Environmental Science and Sustainability</c:v>
                </c:pt>
              </c:strCache>
            </c:strRef>
          </c:cat>
          <c:val>
            <c:numRef>
              <c:f>'II IT'!$I$84:$I$89</c:f>
              <c:numCache>
                <c:formatCode>General</c:formatCode>
                <c:ptCount val="6"/>
                <c:pt idx="0">
                  <c:v>10</c:v>
                </c:pt>
                <c:pt idx="1">
                  <c:v>17</c:v>
                </c:pt>
                <c:pt idx="2">
                  <c:v>26</c:v>
                </c:pt>
                <c:pt idx="3">
                  <c:v>22</c:v>
                </c:pt>
                <c:pt idx="4">
                  <c:v>44</c:v>
                </c:pt>
                <c:pt idx="5">
                  <c:v>42</c:v>
                </c:pt>
              </c:numCache>
            </c:numRef>
          </c:val>
        </c:ser>
        <c:ser>
          <c:idx val="7"/>
          <c:order val="7"/>
          <c:tx>
            <c:strRef>
              <c:f>'II IT'!$J$83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F908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IT'!$B$84:$B$89</c:f>
              <c:strCache>
                <c:ptCount val="6"/>
                <c:pt idx="0">
                  <c:v>CS3452 - Theory of Computation</c:v>
                </c:pt>
                <c:pt idx="1">
                  <c:v>CS3491 - Artificial Intelligence and Machine Learning</c:v>
                </c:pt>
                <c:pt idx="2">
                  <c:v>CS3492 - Database Management Systems</c:v>
                </c:pt>
                <c:pt idx="3">
                  <c:v>IT3401 - Web Essentials</c:v>
                </c:pt>
                <c:pt idx="4">
                  <c:v>CS3451 - Introduction to Operating Systems</c:v>
                </c:pt>
                <c:pt idx="5">
                  <c:v>GE3451 - Environmental Science and Sustainability</c:v>
                </c:pt>
              </c:strCache>
            </c:strRef>
          </c:cat>
          <c:val>
            <c:numRef>
              <c:f>'II IT'!$J$84:$J$89</c:f>
              <c:numCache>
                <c:formatCode>General</c:formatCode>
                <c:ptCount val="6"/>
              </c:numCache>
            </c:numRef>
          </c:val>
        </c:ser>
        <c:ser>
          <c:idx val="8"/>
          <c:order val="8"/>
          <c:tx>
            <c:strRef>
              <c:f>'II IT'!$K$83</c:f>
              <c:strCache>
                <c:ptCount val="1"/>
                <c:pt idx="0">
                  <c:v>Percentage of Passes (%)</c:v>
                </c:pt>
              </c:strCache>
            </c:strRef>
          </c:tx>
          <c:spPr>
            <a:solidFill>
              <a:srgbClr val="FBCE8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IT'!$B$84:$B$89</c:f>
              <c:strCache>
                <c:ptCount val="6"/>
                <c:pt idx="0">
                  <c:v>CS3452 - Theory of Computation</c:v>
                </c:pt>
                <c:pt idx="1">
                  <c:v>CS3491 - Artificial Intelligence and Machine Learning</c:v>
                </c:pt>
                <c:pt idx="2">
                  <c:v>CS3492 - Database Management Systems</c:v>
                </c:pt>
                <c:pt idx="3">
                  <c:v>IT3401 - Web Essentials</c:v>
                </c:pt>
                <c:pt idx="4">
                  <c:v>CS3451 - Introduction to Operating Systems</c:v>
                </c:pt>
                <c:pt idx="5">
                  <c:v>GE3451 - Environmental Science and Sustainability</c:v>
                </c:pt>
              </c:strCache>
            </c:strRef>
          </c:cat>
          <c:val>
            <c:numRef>
              <c:f>'II IT'!$K$84:$K$89</c:f>
              <c:numCache>
                <c:formatCode>0</c:formatCode>
                <c:ptCount val="6"/>
                <c:pt idx="0">
                  <c:v>21.2765957446809</c:v>
                </c:pt>
                <c:pt idx="1">
                  <c:v>29.3103448275862</c:v>
                </c:pt>
                <c:pt idx="2">
                  <c:v>45.6140350877193</c:v>
                </c:pt>
                <c:pt idx="3">
                  <c:v>38.5964912280702</c:v>
                </c:pt>
                <c:pt idx="4">
                  <c:v>74.5762711864407</c:v>
                </c:pt>
                <c:pt idx="5">
                  <c:v>73.6842105263158</c:v>
                </c:pt>
              </c:numCache>
            </c:numRef>
          </c:val>
        </c:ser>
        <c:gapWidth val="150"/>
        <c:overlap val="0"/>
        <c:axId val="71796924"/>
        <c:axId val="76492410"/>
      </c:barChart>
      <c:catAx>
        <c:axId val="717969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76492410"/>
        <c:crosses val="autoZero"/>
        <c:auto val="1"/>
        <c:lblAlgn val="ctr"/>
        <c:lblOffset val="100"/>
        <c:noMultiLvlLbl val="0"/>
      </c:catAx>
      <c:valAx>
        <c:axId val="76492410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7179692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'III IT'!$C$78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285F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IT'!$B$79:$B$83</c:f>
              <c:strCache>
                <c:ptCount val="5"/>
                <c:pt idx="0">
                  <c:v>CCS356 - Object Oriented Software Engineering</c:v>
                </c:pt>
                <c:pt idx="1">
                  <c:v>OEE351 - Open Elective –I Renewable Energy Systems</c:v>
                </c:pt>
                <c:pt idx="2">
                  <c:v>CCS354 - Professional Elective-V Network Security</c:v>
                </c:pt>
                <c:pt idx="3">
                  <c:v>CCS372 - Professional Elective-IV Virtualization</c:v>
                </c:pt>
                <c:pt idx="4">
                  <c:v>CCS355 - Professional Elective-III Neural Network and Deep Learning</c:v>
                </c:pt>
              </c:strCache>
            </c:strRef>
          </c:cat>
          <c:val>
            <c:numRef>
              <c:f>'III IT'!$C$79:$C$83</c:f>
              <c:numCache>
                <c:formatCode>General</c:formatCode>
                <c:ptCount val="5"/>
              </c:numCache>
            </c:numRef>
          </c:val>
        </c:ser>
        <c:ser>
          <c:idx val="1"/>
          <c:order val="1"/>
          <c:tx>
            <c:strRef>
              <c:f>'III IT'!$D$78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A4335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IT'!$B$79:$B$83</c:f>
              <c:strCache>
                <c:ptCount val="5"/>
                <c:pt idx="0">
                  <c:v>CCS356 - Object Oriented Software Engineering</c:v>
                </c:pt>
                <c:pt idx="1">
                  <c:v>OEE351 - Open Elective –I Renewable Energy Systems</c:v>
                </c:pt>
                <c:pt idx="2">
                  <c:v>CCS354 - Professional Elective-V Network Security</c:v>
                </c:pt>
                <c:pt idx="3">
                  <c:v>CCS372 - Professional Elective-IV Virtualization</c:v>
                </c:pt>
                <c:pt idx="4">
                  <c:v>CCS355 - Professional Elective-III Neural Network and Deep Learning</c:v>
                </c:pt>
              </c:strCache>
            </c:strRef>
          </c:cat>
          <c:val>
            <c:numRef>
              <c:f>'III IT'!$D$79:$D$83</c:f>
              <c:numCache>
                <c:formatCode>General</c:formatCode>
                <c:ptCount val="5"/>
              </c:numCache>
            </c:numRef>
          </c:val>
        </c:ser>
        <c:ser>
          <c:idx val="2"/>
          <c:order val="2"/>
          <c:tx>
            <c:strRef>
              <c:f>'III IT'!$E$78</c:f>
              <c:strCache>
                <c:ptCount val="1"/>
                <c:pt idx="0">
                  <c:v>Name of the Staff Member &amp; Department</c:v>
                </c:pt>
              </c:strCache>
            </c:strRef>
          </c:tx>
          <c:spPr>
            <a:solidFill>
              <a:srgbClr val="FBBC0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IT'!$B$79:$B$83</c:f>
              <c:strCache>
                <c:ptCount val="5"/>
                <c:pt idx="0">
                  <c:v>CCS356 - Object Oriented Software Engineering</c:v>
                </c:pt>
                <c:pt idx="1">
                  <c:v>OEE351 - Open Elective –I Renewable Energy Systems</c:v>
                </c:pt>
                <c:pt idx="2">
                  <c:v>CCS354 - Professional Elective-V Network Security</c:v>
                </c:pt>
                <c:pt idx="3">
                  <c:v>CCS372 - Professional Elective-IV Virtualization</c:v>
                </c:pt>
                <c:pt idx="4">
                  <c:v>CCS355 - Professional Elective-III Neural Network and Deep Learning</c:v>
                </c:pt>
              </c:strCache>
            </c:strRef>
          </c:cat>
          <c:val>
            <c:numRef>
              <c:f>'III IT'!$E$79:$E$83</c:f>
              <c:numCache>
                <c:formatCode>General</c:formatCode>
                <c:ptCount val="5"/>
              </c:numCache>
            </c:numRef>
          </c:val>
        </c:ser>
        <c:ser>
          <c:idx val="3"/>
          <c:order val="3"/>
          <c:tx>
            <c:strRef>
              <c:f>'III IT'!$F$78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34A853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IT'!$B$79:$B$83</c:f>
              <c:strCache>
                <c:ptCount val="5"/>
                <c:pt idx="0">
                  <c:v>CCS356 - Object Oriented Software Engineering</c:v>
                </c:pt>
                <c:pt idx="1">
                  <c:v>OEE351 - Open Elective –I Renewable Energy Systems</c:v>
                </c:pt>
                <c:pt idx="2">
                  <c:v>CCS354 - Professional Elective-V Network Security</c:v>
                </c:pt>
                <c:pt idx="3">
                  <c:v>CCS372 - Professional Elective-IV Virtualization</c:v>
                </c:pt>
                <c:pt idx="4">
                  <c:v>CCS355 - Professional Elective-III Neural Network and Deep Learning</c:v>
                </c:pt>
              </c:strCache>
            </c:strRef>
          </c:cat>
          <c:val>
            <c:numRef>
              <c:f>'III IT'!$F$79:$F$83</c:f>
              <c:numCache>
                <c:formatCode>General</c:formatCode>
                <c:ptCount val="5"/>
              </c:numCache>
            </c:numRef>
          </c:val>
        </c:ser>
        <c:ser>
          <c:idx val="4"/>
          <c:order val="4"/>
          <c:tx>
            <c:strRef>
              <c:f>'III IT'!$G$78</c:f>
              <c:strCache>
                <c:ptCount val="1"/>
                <c:pt idx="0">
                  <c:v>No of students attended</c:v>
                </c:pt>
              </c:strCache>
            </c:strRef>
          </c:tx>
          <c:spPr>
            <a:solidFill>
              <a:srgbClr val="E361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IT'!$B$79:$B$83</c:f>
              <c:strCache>
                <c:ptCount val="5"/>
                <c:pt idx="0">
                  <c:v>CCS356 - Object Oriented Software Engineering</c:v>
                </c:pt>
                <c:pt idx="1">
                  <c:v>OEE351 - Open Elective –I Renewable Energy Systems</c:v>
                </c:pt>
                <c:pt idx="2">
                  <c:v>CCS354 - Professional Elective-V Network Security</c:v>
                </c:pt>
                <c:pt idx="3">
                  <c:v>CCS372 - Professional Elective-IV Virtualization</c:v>
                </c:pt>
                <c:pt idx="4">
                  <c:v>CCS355 - Professional Elective-III Neural Network and Deep Learning</c:v>
                </c:pt>
              </c:strCache>
            </c:strRef>
          </c:cat>
          <c:val>
            <c:numRef>
              <c:f>'III IT'!$G$79:$G$83</c:f>
              <c:numCache>
                <c:formatCode>General</c:formatCode>
                <c:ptCount val="5"/>
                <c:pt idx="0">
                  <c:v>54</c:v>
                </c:pt>
                <c:pt idx="1">
                  <c:v>51</c:v>
                </c:pt>
                <c:pt idx="2">
                  <c:v>55</c:v>
                </c:pt>
                <c:pt idx="3">
                  <c:v>51</c:v>
                </c:pt>
                <c:pt idx="4">
                  <c:v>0</c:v>
                </c:pt>
              </c:numCache>
            </c:numRef>
          </c:val>
        </c:ser>
        <c:ser>
          <c:idx val="5"/>
          <c:order val="5"/>
          <c:tx>
            <c:strRef>
              <c:f>'III IT'!$H$78</c:f>
              <c:strCache>
                <c:ptCount val="1"/>
                <c:pt idx="0">
                  <c:v>No of students absent</c:v>
                </c:pt>
              </c:strCache>
            </c:strRef>
          </c:tx>
          <c:spPr>
            <a:solidFill>
              <a:srgbClr val="3EA8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IT'!$B$79:$B$83</c:f>
              <c:strCache>
                <c:ptCount val="5"/>
                <c:pt idx="0">
                  <c:v>CCS356 - Object Oriented Software Engineering</c:v>
                </c:pt>
                <c:pt idx="1">
                  <c:v>OEE351 - Open Elective –I Renewable Energy Systems</c:v>
                </c:pt>
                <c:pt idx="2">
                  <c:v>CCS354 - Professional Elective-V Network Security</c:v>
                </c:pt>
                <c:pt idx="3">
                  <c:v>CCS372 - Professional Elective-IV Virtualization</c:v>
                </c:pt>
                <c:pt idx="4">
                  <c:v>CCS355 - Professional Elective-III Neural Network and Deep Learning</c:v>
                </c:pt>
              </c:strCache>
            </c:strRef>
          </c:cat>
          <c:val>
            <c:numRef>
              <c:f>'III IT'!$H$79:$H$83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3</c:v>
                </c:pt>
                <c:pt idx="3">
                  <c:v>7</c:v>
                </c:pt>
                <c:pt idx="4">
                  <c:v>0</c:v>
                </c:pt>
              </c:numCache>
            </c:numRef>
          </c:val>
        </c:ser>
        <c:ser>
          <c:idx val="6"/>
          <c:order val="6"/>
          <c:tx>
            <c:strRef>
              <c:f>'III IT'!$I$78</c:f>
              <c:strCache>
                <c:ptCount val="1"/>
                <c:pt idx="0">
                  <c:v>No of students Passed</c:v>
                </c:pt>
              </c:strCache>
            </c:strRef>
          </c:tx>
          <c:spPr>
            <a:solidFill>
              <a:srgbClr val="8FACF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IT'!$B$79:$B$83</c:f>
              <c:strCache>
                <c:ptCount val="5"/>
                <c:pt idx="0">
                  <c:v>CCS356 - Object Oriented Software Engineering</c:v>
                </c:pt>
                <c:pt idx="1">
                  <c:v>OEE351 - Open Elective –I Renewable Energy Systems</c:v>
                </c:pt>
                <c:pt idx="2">
                  <c:v>CCS354 - Professional Elective-V Network Security</c:v>
                </c:pt>
                <c:pt idx="3">
                  <c:v>CCS372 - Professional Elective-IV Virtualization</c:v>
                </c:pt>
                <c:pt idx="4">
                  <c:v>CCS355 - Professional Elective-III Neural Network and Deep Learning</c:v>
                </c:pt>
              </c:strCache>
            </c:strRef>
          </c:cat>
          <c:val>
            <c:numRef>
              <c:f>'III IT'!$I$79:$I$83</c:f>
              <c:numCache>
                <c:formatCode>General</c:formatCode>
                <c:ptCount val="5"/>
                <c:pt idx="0">
                  <c:v>19</c:v>
                </c:pt>
                <c:pt idx="1">
                  <c:v>35</c:v>
                </c:pt>
                <c:pt idx="2">
                  <c:v>18</c:v>
                </c:pt>
                <c:pt idx="3">
                  <c:v>15</c:v>
                </c:pt>
                <c:pt idx="4">
                  <c:v>0</c:v>
                </c:pt>
              </c:numCache>
            </c:numRef>
          </c:val>
        </c:ser>
        <c:ser>
          <c:idx val="7"/>
          <c:order val="7"/>
          <c:tx>
            <c:strRef>
              <c:f>'III IT'!$J$78</c:f>
              <c:strCache>
                <c:ptCount val="1"/>
                <c:pt idx="0">
                  <c:v>Percentage of Passes (%)</c:v>
                </c:pt>
              </c:strCache>
            </c:strRef>
          </c:tx>
          <c:spPr>
            <a:solidFill>
              <a:srgbClr val="EF908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IT'!$B$79:$B$83</c:f>
              <c:strCache>
                <c:ptCount val="5"/>
                <c:pt idx="0">
                  <c:v>CCS356 - Object Oriented Software Engineering</c:v>
                </c:pt>
                <c:pt idx="1">
                  <c:v>OEE351 - Open Elective –I Renewable Energy Systems</c:v>
                </c:pt>
                <c:pt idx="2">
                  <c:v>CCS354 - Professional Elective-V Network Security</c:v>
                </c:pt>
                <c:pt idx="3">
                  <c:v>CCS372 - Professional Elective-IV Virtualization</c:v>
                </c:pt>
                <c:pt idx="4">
                  <c:v>CCS355 - Professional Elective-III Neural Network and Deep Learning</c:v>
                </c:pt>
              </c:strCache>
            </c:strRef>
          </c:cat>
          <c:val>
            <c:numRef>
              <c:f>'III IT'!$J$79:$J$83</c:f>
              <c:numCache>
                <c:formatCode>0</c:formatCode>
                <c:ptCount val="5"/>
                <c:pt idx="0">
                  <c:v>35.1851851851852</c:v>
                </c:pt>
                <c:pt idx="1">
                  <c:v>68.6274509803922</c:v>
                </c:pt>
                <c:pt idx="2">
                  <c:v>32.7272727272727</c:v>
                </c:pt>
                <c:pt idx="3">
                  <c:v>29.4117647058824</c:v>
                </c:pt>
              </c:numCache>
            </c:numRef>
          </c:val>
        </c:ser>
        <c:gapWidth val="150"/>
        <c:overlap val="0"/>
        <c:axId val="82090547"/>
        <c:axId val="77998735"/>
      </c:barChart>
      <c:catAx>
        <c:axId val="820905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77998735"/>
        <c:crosses val="autoZero"/>
        <c:auto val="1"/>
        <c:lblAlgn val="ctr"/>
        <c:lblOffset val="100"/>
        <c:noMultiLvlLbl val="0"/>
      </c:catAx>
      <c:valAx>
        <c:axId val="7799873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8209054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'II AI&amp;DS'!$C$73:$C$74</c:f>
              <c:strCache>
                <c:ptCount val="1"/>
                <c:pt idx="0">
                  <c:v>Column2 Name of the Staff Member &amp; Department</c:v>
                </c:pt>
              </c:strCache>
            </c:strRef>
          </c:tx>
          <c:spPr>
            <a:solidFill>
              <a:srgbClr val="4285F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AI&amp;DS'!$B$75:$B$80</c:f>
              <c:strCache>
                <c:ptCount val="6"/>
                <c:pt idx="0">
                  <c:v>MA3391 - Probability and Statistics</c:v>
                </c:pt>
                <c:pt idx="1">
                  <c:v>AL3452 - Operating Systems</c:v>
                </c:pt>
                <c:pt idx="2">
                  <c:v>AL3451 - Machine Learning</c:v>
                </c:pt>
                <c:pt idx="3">
                  <c:v>AD3491 - Fundamentals of Data Science and Analytics</c:v>
                </c:pt>
                <c:pt idx="4">
                  <c:v>CS3591 - Computer Networks</c:v>
                </c:pt>
                <c:pt idx="5">
                  <c:v>GE3451 - Environmental Sciences and Sustainability</c:v>
                </c:pt>
              </c:strCache>
            </c:strRef>
          </c:cat>
          <c:val>
            <c:numRef>
              <c:f>'II AI&amp;DS'!$C$75:$C$80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'II AI&amp;DS'!$D$73:$D$74</c:f>
              <c:strCache>
                <c:ptCount val="1"/>
                <c:pt idx="0">
                  <c:v>Column3 No of students attended</c:v>
                </c:pt>
              </c:strCache>
            </c:strRef>
          </c:tx>
          <c:spPr>
            <a:solidFill>
              <a:srgbClr val="EA4335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AI&amp;DS'!$B$75:$B$80</c:f>
              <c:strCache>
                <c:ptCount val="6"/>
                <c:pt idx="0">
                  <c:v>MA3391 - Probability and Statistics</c:v>
                </c:pt>
                <c:pt idx="1">
                  <c:v>AL3452 - Operating Systems</c:v>
                </c:pt>
                <c:pt idx="2">
                  <c:v>AL3451 - Machine Learning</c:v>
                </c:pt>
                <c:pt idx="3">
                  <c:v>AD3491 - Fundamentals of Data Science and Analytics</c:v>
                </c:pt>
                <c:pt idx="4">
                  <c:v>CS3591 - Computer Networks</c:v>
                </c:pt>
                <c:pt idx="5">
                  <c:v>GE3451 - Environmental Sciences and Sustainability</c:v>
                </c:pt>
              </c:strCache>
            </c:strRef>
          </c:cat>
          <c:val>
            <c:numRef>
              <c:f>'II AI&amp;DS'!$D$75:$D$80</c:f>
              <c:numCache>
                <c:formatCode>General</c:formatCode>
                <c:ptCount val="6"/>
                <c:pt idx="0">
                  <c:v>53</c:v>
                </c:pt>
                <c:pt idx="1">
                  <c:v>51</c:v>
                </c:pt>
                <c:pt idx="2">
                  <c:v>51</c:v>
                </c:pt>
                <c:pt idx="3">
                  <c:v>50</c:v>
                </c:pt>
                <c:pt idx="4">
                  <c:v>50</c:v>
                </c:pt>
                <c:pt idx="5">
                  <c:v>54</c:v>
                </c:pt>
              </c:numCache>
            </c:numRef>
          </c:val>
        </c:ser>
        <c:ser>
          <c:idx val="2"/>
          <c:order val="2"/>
          <c:tx>
            <c:strRef>
              <c:f>'II AI&amp;DS'!$E$73:$E$74</c:f>
              <c:strCache>
                <c:ptCount val="1"/>
                <c:pt idx="0">
                  <c:v>Column4</c:v>
                </c:pt>
              </c:strCache>
            </c:strRef>
          </c:tx>
          <c:spPr>
            <a:solidFill>
              <a:srgbClr val="FBBC0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AI&amp;DS'!$B$75:$B$80</c:f>
              <c:strCache>
                <c:ptCount val="6"/>
                <c:pt idx="0">
                  <c:v>MA3391 - Probability and Statistics</c:v>
                </c:pt>
                <c:pt idx="1">
                  <c:v>AL3452 - Operating Systems</c:v>
                </c:pt>
                <c:pt idx="2">
                  <c:v>AL3451 - Machine Learning</c:v>
                </c:pt>
                <c:pt idx="3">
                  <c:v>AD3491 - Fundamentals of Data Science and Analytics</c:v>
                </c:pt>
                <c:pt idx="4">
                  <c:v>CS3591 - Computer Networks</c:v>
                </c:pt>
                <c:pt idx="5">
                  <c:v>GE3451 - Environmental Sciences and Sustainability</c:v>
                </c:pt>
              </c:strCache>
            </c:strRef>
          </c:cat>
          <c:val>
            <c:numRef>
              <c:f>'II AI&amp;DS'!$E$75:$E$80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'II AI&amp;DS'!$F$73:$F$74</c:f>
              <c:strCache>
                <c:ptCount val="1"/>
                <c:pt idx="0">
                  <c:v>Column5 No of students absent</c:v>
                </c:pt>
              </c:strCache>
            </c:strRef>
          </c:tx>
          <c:spPr>
            <a:solidFill>
              <a:srgbClr val="34A853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AI&amp;DS'!$B$75:$B$80</c:f>
              <c:strCache>
                <c:ptCount val="6"/>
                <c:pt idx="0">
                  <c:v>MA3391 - Probability and Statistics</c:v>
                </c:pt>
                <c:pt idx="1">
                  <c:v>AL3452 - Operating Systems</c:v>
                </c:pt>
                <c:pt idx="2">
                  <c:v>AL3451 - Machine Learning</c:v>
                </c:pt>
                <c:pt idx="3">
                  <c:v>AD3491 - Fundamentals of Data Science and Analytics</c:v>
                </c:pt>
                <c:pt idx="4">
                  <c:v>CS3591 - Computer Networks</c:v>
                </c:pt>
                <c:pt idx="5">
                  <c:v>GE3451 - Environmental Sciences and Sustainability</c:v>
                </c:pt>
              </c:strCache>
            </c:strRef>
          </c:cat>
          <c:val>
            <c:numRef>
              <c:f>'II AI&amp;DS'!$F$75:$F$80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</c:ser>
        <c:ser>
          <c:idx val="4"/>
          <c:order val="4"/>
          <c:tx>
            <c:strRef>
              <c:f>'II AI&amp;DS'!$G$73:$G$74</c:f>
              <c:strCache>
                <c:ptCount val="1"/>
                <c:pt idx="0">
                  <c:v>Column6</c:v>
                </c:pt>
              </c:strCache>
            </c:strRef>
          </c:tx>
          <c:spPr>
            <a:solidFill>
              <a:srgbClr val="E361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AI&amp;DS'!$B$75:$B$80</c:f>
              <c:strCache>
                <c:ptCount val="6"/>
                <c:pt idx="0">
                  <c:v>MA3391 - Probability and Statistics</c:v>
                </c:pt>
                <c:pt idx="1">
                  <c:v>AL3452 - Operating Systems</c:v>
                </c:pt>
                <c:pt idx="2">
                  <c:v>AL3451 - Machine Learning</c:v>
                </c:pt>
                <c:pt idx="3">
                  <c:v>AD3491 - Fundamentals of Data Science and Analytics</c:v>
                </c:pt>
                <c:pt idx="4">
                  <c:v>CS3591 - Computer Networks</c:v>
                </c:pt>
                <c:pt idx="5">
                  <c:v>GE3451 - Environmental Sciences and Sustainability</c:v>
                </c:pt>
              </c:strCache>
            </c:strRef>
          </c:cat>
          <c:val>
            <c:numRef>
              <c:f>'II AI&amp;DS'!$G$75:$G$80</c:f>
              <c:numCache>
                <c:formatCode>General</c:formatCode>
                <c:ptCount val="6"/>
              </c:numCache>
            </c:numRef>
          </c:val>
        </c:ser>
        <c:ser>
          <c:idx val="5"/>
          <c:order val="5"/>
          <c:tx>
            <c:strRef>
              <c:f>'II AI&amp;DS'!$H$73:$H$74</c:f>
              <c:strCache>
                <c:ptCount val="1"/>
                <c:pt idx="0">
                  <c:v>Column7 No of students Passed</c:v>
                </c:pt>
              </c:strCache>
            </c:strRef>
          </c:tx>
          <c:spPr>
            <a:solidFill>
              <a:srgbClr val="3EA8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AI&amp;DS'!$B$75:$B$80</c:f>
              <c:strCache>
                <c:ptCount val="6"/>
                <c:pt idx="0">
                  <c:v>MA3391 - Probability and Statistics</c:v>
                </c:pt>
                <c:pt idx="1">
                  <c:v>AL3452 - Operating Systems</c:v>
                </c:pt>
                <c:pt idx="2">
                  <c:v>AL3451 - Machine Learning</c:v>
                </c:pt>
                <c:pt idx="3">
                  <c:v>AD3491 - Fundamentals of Data Science and Analytics</c:v>
                </c:pt>
                <c:pt idx="4">
                  <c:v>CS3591 - Computer Networks</c:v>
                </c:pt>
                <c:pt idx="5">
                  <c:v>GE3451 - Environmental Sciences and Sustainability</c:v>
                </c:pt>
              </c:strCache>
            </c:strRef>
          </c:cat>
          <c:val>
            <c:numRef>
              <c:f>'II AI&amp;DS'!$H$75:$H$80</c:f>
              <c:numCache>
                <c:formatCode>General</c:formatCode>
                <c:ptCount val="6"/>
                <c:pt idx="0">
                  <c:v>31</c:v>
                </c:pt>
                <c:pt idx="1">
                  <c:v>5</c:v>
                </c:pt>
                <c:pt idx="2">
                  <c:v>11</c:v>
                </c:pt>
                <c:pt idx="3">
                  <c:v>8</c:v>
                </c:pt>
                <c:pt idx="4">
                  <c:v>1</c:v>
                </c:pt>
                <c:pt idx="5">
                  <c:v>34</c:v>
                </c:pt>
              </c:numCache>
            </c:numRef>
          </c:val>
        </c:ser>
        <c:ser>
          <c:idx val="6"/>
          <c:order val="6"/>
          <c:tx>
            <c:strRef>
              <c:f>'II AI&amp;DS'!$I$73:$I$74</c:f>
              <c:strCache>
                <c:ptCount val="1"/>
                <c:pt idx="0">
                  <c:v>Column8</c:v>
                </c:pt>
              </c:strCache>
            </c:strRef>
          </c:tx>
          <c:spPr>
            <a:solidFill>
              <a:srgbClr val="8FACF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AI&amp;DS'!$B$75:$B$80</c:f>
              <c:strCache>
                <c:ptCount val="6"/>
                <c:pt idx="0">
                  <c:v>MA3391 - Probability and Statistics</c:v>
                </c:pt>
                <c:pt idx="1">
                  <c:v>AL3452 - Operating Systems</c:v>
                </c:pt>
                <c:pt idx="2">
                  <c:v>AL3451 - Machine Learning</c:v>
                </c:pt>
                <c:pt idx="3">
                  <c:v>AD3491 - Fundamentals of Data Science and Analytics</c:v>
                </c:pt>
                <c:pt idx="4">
                  <c:v>CS3591 - Computer Networks</c:v>
                </c:pt>
                <c:pt idx="5">
                  <c:v>GE3451 - Environmental Sciences and Sustainability</c:v>
                </c:pt>
              </c:strCache>
            </c:strRef>
          </c:cat>
          <c:val>
            <c:numRef>
              <c:f>'II AI&amp;DS'!$I$75:$I$80</c:f>
              <c:numCache>
                <c:formatCode>General</c:formatCode>
                <c:ptCount val="6"/>
              </c:numCache>
            </c:numRef>
          </c:val>
        </c:ser>
        <c:ser>
          <c:idx val="7"/>
          <c:order val="7"/>
          <c:tx>
            <c:strRef>
              <c:f>'II AI&amp;DS'!$J$73:$J$74</c:f>
              <c:strCache>
                <c:ptCount val="1"/>
                <c:pt idx="0">
                  <c:v>Column9</c:v>
                </c:pt>
              </c:strCache>
            </c:strRef>
          </c:tx>
          <c:spPr>
            <a:solidFill>
              <a:srgbClr val="EF908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AI&amp;DS'!$B$75:$B$80</c:f>
              <c:strCache>
                <c:ptCount val="6"/>
                <c:pt idx="0">
                  <c:v>MA3391 - Probability and Statistics</c:v>
                </c:pt>
                <c:pt idx="1">
                  <c:v>AL3452 - Operating Systems</c:v>
                </c:pt>
                <c:pt idx="2">
                  <c:v>AL3451 - Machine Learning</c:v>
                </c:pt>
                <c:pt idx="3">
                  <c:v>AD3491 - Fundamentals of Data Science and Analytics</c:v>
                </c:pt>
                <c:pt idx="4">
                  <c:v>CS3591 - Computer Networks</c:v>
                </c:pt>
                <c:pt idx="5">
                  <c:v>GE3451 - Environmental Sciences and Sustainability</c:v>
                </c:pt>
              </c:strCache>
            </c:strRef>
          </c:cat>
          <c:val>
            <c:numRef>
              <c:f>'II AI&amp;DS'!$J$75:$J$80</c:f>
              <c:numCache>
                <c:formatCode>General</c:formatCode>
                <c:ptCount val="6"/>
              </c:numCache>
            </c:numRef>
          </c:val>
        </c:ser>
        <c:ser>
          <c:idx val="8"/>
          <c:order val="8"/>
          <c:tx>
            <c:strRef>
              <c:f>'II AI&amp;DS'!$K$73:$K$74</c:f>
              <c:strCache>
                <c:ptCount val="1"/>
                <c:pt idx="0">
                  <c:v>Column10 Percentage of Passes (%)</c:v>
                </c:pt>
              </c:strCache>
            </c:strRef>
          </c:tx>
          <c:spPr>
            <a:solidFill>
              <a:srgbClr val="FBCE8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AI&amp;DS'!$B$75:$B$80</c:f>
              <c:strCache>
                <c:ptCount val="6"/>
                <c:pt idx="0">
                  <c:v>MA3391 - Probability and Statistics</c:v>
                </c:pt>
                <c:pt idx="1">
                  <c:v>AL3452 - Operating Systems</c:v>
                </c:pt>
                <c:pt idx="2">
                  <c:v>AL3451 - Machine Learning</c:v>
                </c:pt>
                <c:pt idx="3">
                  <c:v>AD3491 - Fundamentals of Data Science and Analytics</c:v>
                </c:pt>
                <c:pt idx="4">
                  <c:v>CS3591 - Computer Networks</c:v>
                </c:pt>
                <c:pt idx="5">
                  <c:v>GE3451 - Environmental Sciences and Sustainability</c:v>
                </c:pt>
              </c:strCache>
            </c:strRef>
          </c:cat>
          <c:val>
            <c:numRef>
              <c:f>'II AI&amp;DS'!$K$75:$K$80</c:f>
              <c:numCache>
                <c:formatCode>0</c:formatCode>
                <c:ptCount val="6"/>
                <c:pt idx="0">
                  <c:v>58.4905660377358</c:v>
                </c:pt>
                <c:pt idx="1">
                  <c:v>9.80392156862745</c:v>
                </c:pt>
                <c:pt idx="2">
                  <c:v>21.5686274509804</c:v>
                </c:pt>
                <c:pt idx="3">
                  <c:v>16</c:v>
                </c:pt>
                <c:pt idx="4">
                  <c:v>2</c:v>
                </c:pt>
                <c:pt idx="5">
                  <c:v>62.962962962963</c:v>
                </c:pt>
              </c:numCache>
            </c:numRef>
          </c:val>
        </c:ser>
        <c:gapWidth val="150"/>
        <c:overlap val="0"/>
        <c:axId val="13787428"/>
        <c:axId val="65023076"/>
      </c:barChart>
      <c:catAx>
        <c:axId val="137874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65023076"/>
        <c:crosses val="autoZero"/>
        <c:auto val="1"/>
        <c:lblAlgn val="ctr"/>
        <c:lblOffset val="100"/>
        <c:noMultiLvlLbl val="0"/>
      </c:catAx>
      <c:valAx>
        <c:axId val="6502307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1378742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19080</xdr:colOff>
      <xdr:row>84</xdr:row>
      <xdr:rowOff>38160</xdr:rowOff>
    </xdr:from>
    <xdr:to>
      <xdr:col>10</xdr:col>
      <xdr:colOff>226440</xdr:colOff>
      <xdr:row>114</xdr:row>
      <xdr:rowOff>47160</xdr:rowOff>
    </xdr:to>
    <xdr:graphicFrame>
      <xdr:nvGraphicFramePr>
        <xdr:cNvPr id="1" name="Chart 1"/>
        <xdr:cNvGraphicFramePr/>
      </xdr:nvGraphicFramePr>
      <xdr:xfrm>
        <a:off x="671400" y="28365480"/>
        <a:ext cx="10096200" cy="6009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76320</xdr:colOff>
      <xdr:row>0</xdr:row>
      <xdr:rowOff>85680</xdr:rowOff>
    </xdr:from>
    <xdr:to>
      <xdr:col>11</xdr:col>
      <xdr:colOff>722160</xdr:colOff>
      <xdr:row>5</xdr:row>
      <xdr:rowOff>190080</xdr:rowOff>
    </xdr:to>
    <xdr:pic>
      <xdr:nvPicPr>
        <xdr:cNvPr id="2" name="image1.png"/>
        <xdr:cNvPicPr/>
      </xdr:nvPicPr>
      <xdr:blipFill>
        <a:blip r:embed="rId2"/>
        <a:stretch/>
      </xdr:blipFill>
      <xdr:spPr>
        <a:xfrm>
          <a:off x="76320" y="85680"/>
          <a:ext cx="12077280" cy="1104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142920</xdr:colOff>
      <xdr:row>93</xdr:row>
      <xdr:rowOff>152280</xdr:rowOff>
    </xdr:from>
    <xdr:to>
      <xdr:col>10</xdr:col>
      <xdr:colOff>451080</xdr:colOff>
      <xdr:row>120</xdr:row>
      <xdr:rowOff>142200</xdr:rowOff>
    </xdr:to>
    <xdr:graphicFrame>
      <xdr:nvGraphicFramePr>
        <xdr:cNvPr id="3" name="Chart 2"/>
        <xdr:cNvGraphicFramePr/>
      </xdr:nvGraphicFramePr>
      <xdr:xfrm>
        <a:off x="601560" y="32641920"/>
        <a:ext cx="8714880" cy="539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66600</xdr:colOff>
      <xdr:row>0</xdr:row>
      <xdr:rowOff>28440</xdr:rowOff>
    </xdr:from>
    <xdr:to>
      <xdr:col>11</xdr:col>
      <xdr:colOff>520920</xdr:colOff>
      <xdr:row>5</xdr:row>
      <xdr:rowOff>161640</xdr:rowOff>
    </xdr:to>
    <xdr:pic>
      <xdr:nvPicPr>
        <xdr:cNvPr id="4" name="image1.png"/>
        <xdr:cNvPicPr/>
      </xdr:nvPicPr>
      <xdr:blipFill>
        <a:blip r:embed="rId2"/>
        <a:stretch/>
      </xdr:blipFill>
      <xdr:spPr>
        <a:xfrm>
          <a:off x="66600" y="28440"/>
          <a:ext cx="9848520" cy="1133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419040</xdr:colOff>
      <xdr:row>102</xdr:row>
      <xdr:rowOff>171360</xdr:rowOff>
    </xdr:from>
    <xdr:to>
      <xdr:col>8</xdr:col>
      <xdr:colOff>585720</xdr:colOff>
      <xdr:row>126</xdr:row>
      <xdr:rowOff>123480</xdr:rowOff>
    </xdr:to>
    <xdr:graphicFrame>
      <xdr:nvGraphicFramePr>
        <xdr:cNvPr id="5" name="Chart 3"/>
        <xdr:cNvGraphicFramePr/>
      </xdr:nvGraphicFramePr>
      <xdr:xfrm>
        <a:off x="1309320" y="31278600"/>
        <a:ext cx="7314840" cy="4524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85680</xdr:colOff>
      <xdr:row>0</xdr:row>
      <xdr:rowOff>0</xdr:rowOff>
    </xdr:from>
    <xdr:to>
      <xdr:col>10</xdr:col>
      <xdr:colOff>734400</xdr:colOff>
      <xdr:row>5</xdr:row>
      <xdr:rowOff>180720</xdr:rowOff>
    </xdr:to>
    <xdr:pic>
      <xdr:nvPicPr>
        <xdr:cNvPr id="6" name="image1.png"/>
        <xdr:cNvPicPr/>
      </xdr:nvPicPr>
      <xdr:blipFill>
        <a:blip r:embed="rId2"/>
        <a:stretch/>
      </xdr:blipFill>
      <xdr:spPr>
        <a:xfrm>
          <a:off x="85680" y="0"/>
          <a:ext cx="10467720" cy="1133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89</xdr:row>
      <xdr:rowOff>76320</xdr:rowOff>
    </xdr:from>
    <xdr:to>
      <xdr:col>10</xdr:col>
      <xdr:colOff>783360</xdr:colOff>
      <xdr:row>118</xdr:row>
      <xdr:rowOff>95040</xdr:rowOff>
    </xdr:to>
    <xdr:graphicFrame>
      <xdr:nvGraphicFramePr>
        <xdr:cNvPr id="7" name="Chart 4"/>
        <xdr:cNvGraphicFramePr/>
      </xdr:nvGraphicFramePr>
      <xdr:xfrm>
        <a:off x="1912680" y="30165840"/>
        <a:ext cx="9419760" cy="5819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76320</xdr:colOff>
      <xdr:row>0</xdr:row>
      <xdr:rowOff>85680</xdr:rowOff>
    </xdr:from>
    <xdr:to>
      <xdr:col>11</xdr:col>
      <xdr:colOff>714240</xdr:colOff>
      <xdr:row>5</xdr:row>
      <xdr:rowOff>114120</xdr:rowOff>
    </xdr:to>
    <xdr:pic>
      <xdr:nvPicPr>
        <xdr:cNvPr id="8" name="image1.png"/>
        <xdr:cNvPicPr/>
      </xdr:nvPicPr>
      <xdr:blipFill>
        <a:blip r:embed="rId2"/>
        <a:stretch/>
      </xdr:blipFill>
      <xdr:spPr>
        <a:xfrm>
          <a:off x="76320" y="85680"/>
          <a:ext cx="12077280" cy="1028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650880</xdr:colOff>
      <xdr:row>88</xdr:row>
      <xdr:rowOff>57240</xdr:rowOff>
    </xdr:from>
    <xdr:to>
      <xdr:col>10</xdr:col>
      <xdr:colOff>678960</xdr:colOff>
      <xdr:row>111</xdr:row>
      <xdr:rowOff>180360</xdr:rowOff>
    </xdr:to>
    <xdr:graphicFrame>
      <xdr:nvGraphicFramePr>
        <xdr:cNvPr id="9" name="Chart 5"/>
        <xdr:cNvGraphicFramePr/>
      </xdr:nvGraphicFramePr>
      <xdr:xfrm>
        <a:off x="650880" y="27555840"/>
        <a:ext cx="10639080" cy="4723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85680</xdr:colOff>
      <xdr:row>0</xdr:row>
      <xdr:rowOff>0</xdr:rowOff>
    </xdr:from>
    <xdr:to>
      <xdr:col>13</xdr:col>
      <xdr:colOff>5040</xdr:colOff>
      <xdr:row>5</xdr:row>
      <xdr:rowOff>133200</xdr:rowOff>
    </xdr:to>
    <xdr:pic>
      <xdr:nvPicPr>
        <xdr:cNvPr id="10" name="image1.png"/>
        <xdr:cNvPicPr/>
      </xdr:nvPicPr>
      <xdr:blipFill>
        <a:blip r:embed="rId2"/>
        <a:stretch/>
      </xdr:blipFill>
      <xdr:spPr>
        <a:xfrm>
          <a:off x="85680" y="0"/>
          <a:ext cx="13201200" cy="1133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476280</xdr:colOff>
      <xdr:row>81</xdr:row>
      <xdr:rowOff>142920</xdr:rowOff>
    </xdr:from>
    <xdr:to>
      <xdr:col>12</xdr:col>
      <xdr:colOff>763920</xdr:colOff>
      <xdr:row>110</xdr:row>
      <xdr:rowOff>95040</xdr:rowOff>
    </xdr:to>
    <xdr:graphicFrame>
      <xdr:nvGraphicFramePr>
        <xdr:cNvPr id="11" name="Chart 6"/>
        <xdr:cNvGraphicFramePr/>
      </xdr:nvGraphicFramePr>
      <xdr:xfrm>
        <a:off x="1128600" y="27841680"/>
        <a:ext cx="12106080" cy="575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66600</xdr:colOff>
      <xdr:row>0</xdr:row>
      <xdr:rowOff>28440</xdr:rowOff>
    </xdr:from>
    <xdr:to>
      <xdr:col>12</xdr:col>
      <xdr:colOff>825840</xdr:colOff>
      <xdr:row>5</xdr:row>
      <xdr:rowOff>161640</xdr:rowOff>
    </xdr:to>
    <xdr:pic>
      <xdr:nvPicPr>
        <xdr:cNvPr id="12" name="image1.png"/>
        <xdr:cNvPicPr/>
      </xdr:nvPicPr>
      <xdr:blipFill>
        <a:blip r:embed="rId2"/>
        <a:stretch/>
      </xdr:blipFill>
      <xdr:spPr>
        <a:xfrm>
          <a:off x="66600" y="28440"/>
          <a:ext cx="13230000" cy="1133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_1" displayName="Table_1" ref="B77:K83" headerRowCount="0" totalsRowCount="0" totalsRowShown="0"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</table>
</file>

<file path=xl/tables/table2.xml><?xml version="1.0" encoding="utf-8"?>
<table xmlns="http://schemas.openxmlformats.org/spreadsheetml/2006/main" id="2" name="Table_2" displayName="Table_2" ref="C81:K87" headerRowCount="0" totalsRowCount="0" totalsRowShown="0">
  <tableColumns count="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</tableColumns>
</table>
</file>

<file path=xl/tables/table3.xml><?xml version="1.0" encoding="utf-8"?>
<table xmlns="http://schemas.openxmlformats.org/spreadsheetml/2006/main" id="3" name="Table_3" displayName="Table_3" ref="B85:I90" headerRowCount="0" totalsRowCount="0" totalsRowShown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</table>
</file>

<file path=xl/tables/table4.xml><?xml version="1.0" encoding="utf-8"?>
<table xmlns="http://schemas.openxmlformats.org/spreadsheetml/2006/main" id="4" name="Table_4" displayName="Table_4" ref="B83:K89" headerRowCount="0" totalsRowCount="0" totalsRowShown="0"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</table>
</file>

<file path=xl/tables/table5.xml><?xml version="1.0" encoding="utf-8"?>
<table xmlns="http://schemas.openxmlformats.org/spreadsheetml/2006/main" id="5" name="Table_5" displayName="Table_5" ref="D10:I68" headerRowCount="0" totalsRowCount="0" totalsRowShown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</table>
</file>

<file path=xl/tables/table6.xml><?xml version="1.0" encoding="utf-8"?>
<table xmlns="http://schemas.openxmlformats.org/spreadsheetml/2006/main" id="6" name="Table_6" displayName="Table_6" ref="B73:K80" headerRowCount="1" totalsRowCount="0" totalsRowShown="0"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6.xml"/><Relationship Id="rId3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9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9.25"/>
    <col collapsed="false" customWidth="true" hidden="false" outlineLevel="0" max="2" min="2" style="0" width="17.88"/>
    <col collapsed="false" customWidth="true" hidden="false" outlineLevel="0" max="3" min="3" style="0" width="20.51"/>
    <col collapsed="false" customWidth="true" hidden="false" outlineLevel="0" max="4" min="4" style="0" width="15.63"/>
    <col collapsed="false" customWidth="true" hidden="false" outlineLevel="0" max="5" min="5" style="0" width="14.51"/>
    <col collapsed="false" customWidth="true" hidden="false" outlineLevel="0" max="6" min="6" style="0" width="14"/>
    <col collapsed="false" customWidth="true" hidden="false" outlineLevel="0" max="9" min="7" style="0" width="13.88"/>
    <col collapsed="false" customWidth="true" hidden="false" outlineLevel="0" max="10" min="10" style="0" width="16.12"/>
  </cols>
  <sheetData>
    <row r="1" customFormat="false" ht="15.75" hidden="false" customHeight="true" outlineLevel="0" collapsed="false">
      <c r="A1" s="1" t="n">
        <v>86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true" outlineLevel="0" collapsed="false">
      <c r="A2" s="2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true" outlineLevel="0" collapsed="false">
      <c r="A3" s="2"/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true" outlineLevel="0" collapsed="false">
      <c r="A4" s="2"/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true" outlineLevel="0" collapsed="false">
      <c r="A5" s="2"/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true" outlineLevel="0" collapsed="false">
      <c r="A6" s="2"/>
      <c r="B6" s="2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true" outlineLevel="0" collapsed="false">
      <c r="A7" s="4" t="s">
        <v>0</v>
      </c>
      <c r="B7" s="4"/>
      <c r="C7" s="4"/>
      <c r="D7" s="4"/>
      <c r="E7" s="4"/>
      <c r="F7" s="4"/>
      <c r="G7" s="4"/>
      <c r="H7" s="4"/>
      <c r="I7" s="4"/>
      <c r="J7" s="4"/>
      <c r="K7" s="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true" outlineLevel="0" collapsed="false">
      <c r="A8" s="6" t="s">
        <v>1</v>
      </c>
      <c r="B8" s="6"/>
      <c r="C8" s="7"/>
      <c r="D8" s="8"/>
      <c r="E8" s="9" t="s">
        <v>2</v>
      </c>
      <c r="F8" s="9"/>
      <c r="G8" s="9"/>
      <c r="H8" s="9"/>
      <c r="I8" s="10" t="s">
        <v>3</v>
      </c>
      <c r="J8" s="9" t="s">
        <v>4</v>
      </c>
      <c r="K8" s="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21.75" hidden="false" customHeight="true" outlineLevel="0" collapsed="false">
      <c r="A9" s="11" t="s">
        <v>5</v>
      </c>
      <c r="B9" s="11" t="s">
        <v>6</v>
      </c>
      <c r="C9" s="12" t="s">
        <v>7</v>
      </c>
      <c r="D9" s="13"/>
      <c r="E9" s="13"/>
      <c r="F9" s="13"/>
      <c r="G9" s="13"/>
      <c r="H9" s="13"/>
      <c r="I9" s="13"/>
      <c r="J9" s="14" t="s">
        <v>8</v>
      </c>
      <c r="K9" s="15" t="s">
        <v>9</v>
      </c>
      <c r="L9" s="16" t="s">
        <v>10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60" hidden="false" customHeight="true" outlineLevel="0" collapsed="false">
      <c r="A10" s="11"/>
      <c r="B10" s="11"/>
      <c r="C10" s="11"/>
      <c r="D10" s="17" t="s">
        <v>11</v>
      </c>
      <c r="E10" s="17" t="s">
        <v>12</v>
      </c>
      <c r="F10" s="17" t="s">
        <v>13</v>
      </c>
      <c r="G10" s="18" t="s">
        <v>14</v>
      </c>
      <c r="H10" s="17" t="s">
        <v>15</v>
      </c>
      <c r="I10" s="17" t="s">
        <v>16</v>
      </c>
      <c r="J10" s="14"/>
      <c r="K10" s="14"/>
      <c r="L10" s="14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24.75" hidden="false" customHeight="true" outlineLevel="0" collapsed="false">
      <c r="A11" s="19" t="n">
        <v>1</v>
      </c>
      <c r="B11" s="20" t="n">
        <v>511523104001</v>
      </c>
      <c r="C11" s="21" t="s">
        <v>17</v>
      </c>
      <c r="D11" s="22" t="n">
        <v>61</v>
      </c>
      <c r="E11" s="23" t="n">
        <v>65</v>
      </c>
      <c r="F11" s="24" t="n">
        <v>79</v>
      </c>
      <c r="G11" s="22" t="n">
        <v>81</v>
      </c>
      <c r="H11" s="22" t="n">
        <v>65</v>
      </c>
      <c r="I11" s="24" t="n">
        <v>94</v>
      </c>
      <c r="J11" s="19"/>
      <c r="K11" s="19" t="n">
        <f aca="false">COUNTIF(D11:I11,"&lt;=49")+COUNTIF(D11:I11,"AB")</f>
        <v>0</v>
      </c>
      <c r="L11" s="19" t="n">
        <f aca="false">COUNTIF(D11:I11,"AB")</f>
        <v>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24.75" hidden="false" customHeight="true" outlineLevel="0" collapsed="false">
      <c r="A12" s="19" t="n">
        <v>2</v>
      </c>
      <c r="B12" s="20" t="n">
        <v>511523104002</v>
      </c>
      <c r="C12" s="25" t="s">
        <v>18</v>
      </c>
      <c r="D12" s="26" t="n">
        <v>71</v>
      </c>
      <c r="E12" s="23" t="n">
        <v>82</v>
      </c>
      <c r="F12" s="27" t="n">
        <v>79</v>
      </c>
      <c r="G12" s="28" t="n">
        <v>87</v>
      </c>
      <c r="H12" s="28" t="n">
        <v>73</v>
      </c>
      <c r="I12" s="27" t="n">
        <v>94</v>
      </c>
      <c r="J12" s="19"/>
      <c r="K12" s="19" t="n">
        <f aca="false">COUNTIF(D12:I12,"&lt;=49")+COUNTIF(D12:I12,"AB")</f>
        <v>0</v>
      </c>
      <c r="L12" s="19" t="n">
        <f aca="false">COUNTIF(D12:I12,"AB")</f>
        <v>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24.75" hidden="false" customHeight="true" outlineLevel="0" collapsed="false">
      <c r="A13" s="19" t="n">
        <v>3</v>
      </c>
      <c r="B13" s="20" t="n">
        <v>511523104003</v>
      </c>
      <c r="C13" s="25" t="s">
        <v>19</v>
      </c>
      <c r="D13" s="26" t="n">
        <v>57</v>
      </c>
      <c r="E13" s="23" t="n">
        <v>51</v>
      </c>
      <c r="F13" s="27" t="n">
        <v>70</v>
      </c>
      <c r="G13" s="22" t="n">
        <v>75</v>
      </c>
      <c r="H13" s="22" t="n">
        <v>64</v>
      </c>
      <c r="I13" s="27" t="n">
        <v>78</v>
      </c>
      <c r="J13" s="19"/>
      <c r="K13" s="19" t="n">
        <f aca="false">COUNTIF(D13:I13,"&lt;=49")+COUNTIF(D13:I13,"AB")</f>
        <v>0</v>
      </c>
      <c r="L13" s="19" t="n">
        <f aca="false">COUNTIF(D13:I13,"AB")</f>
        <v>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24.75" hidden="false" customHeight="true" outlineLevel="0" collapsed="false">
      <c r="A14" s="19" t="n">
        <v>4</v>
      </c>
      <c r="B14" s="20" t="n">
        <v>511523104004</v>
      </c>
      <c r="C14" s="25" t="s">
        <v>20</v>
      </c>
      <c r="D14" s="26" t="n">
        <v>28</v>
      </c>
      <c r="E14" s="23" t="n">
        <v>17</v>
      </c>
      <c r="F14" s="27" t="n">
        <v>27</v>
      </c>
      <c r="G14" s="22" t="n">
        <v>39</v>
      </c>
      <c r="H14" s="22" t="n">
        <v>29</v>
      </c>
      <c r="I14" s="27" t="n">
        <v>53</v>
      </c>
      <c r="J14" s="19"/>
      <c r="K14" s="19" t="n">
        <f aca="false">COUNTIF(D14:I14,"&lt;=49")+COUNTIF(D14:I14,"AB")</f>
        <v>5</v>
      </c>
      <c r="L14" s="19" t="n">
        <f aca="false">COUNTIF(D14:I14,"AB")</f>
        <v>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24.75" hidden="false" customHeight="true" outlineLevel="0" collapsed="false">
      <c r="A15" s="19" t="n">
        <v>5</v>
      </c>
      <c r="B15" s="20" t="n">
        <v>511523104005</v>
      </c>
      <c r="C15" s="25" t="s">
        <v>21</v>
      </c>
      <c r="D15" s="26" t="n">
        <v>20</v>
      </c>
      <c r="E15" s="23" t="n">
        <v>13</v>
      </c>
      <c r="F15" s="27" t="n">
        <v>37</v>
      </c>
      <c r="G15" s="28" t="n">
        <v>46</v>
      </c>
      <c r="H15" s="28" t="n">
        <v>28</v>
      </c>
      <c r="I15" s="27" t="n">
        <v>23</v>
      </c>
      <c r="J15" s="19"/>
      <c r="K15" s="19" t="n">
        <f aca="false">COUNTIF(D15:I15,"&lt;=49")+COUNTIF(D15:I15,"AB")</f>
        <v>6</v>
      </c>
      <c r="L15" s="19" t="n">
        <f aca="false">COUNTIF(D15:I15,"AB")</f>
        <v>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24.75" hidden="false" customHeight="true" outlineLevel="0" collapsed="false">
      <c r="A16" s="19" t="n">
        <v>6</v>
      </c>
      <c r="B16" s="20" t="n">
        <v>511523104006</v>
      </c>
      <c r="C16" s="25" t="s">
        <v>22</v>
      </c>
      <c r="D16" s="26" t="n">
        <v>50</v>
      </c>
      <c r="E16" s="23" t="n">
        <v>40</v>
      </c>
      <c r="F16" s="27" t="n">
        <v>67</v>
      </c>
      <c r="G16" s="28" t="n">
        <v>65</v>
      </c>
      <c r="H16" s="28" t="n">
        <v>51</v>
      </c>
      <c r="I16" s="27" t="n">
        <v>74</v>
      </c>
      <c r="J16" s="19"/>
      <c r="K16" s="19" t="n">
        <f aca="false">COUNTIF(D16:I16,"&lt;=49")+COUNTIF(D16:I16,"AB")</f>
        <v>1</v>
      </c>
      <c r="L16" s="19" t="n">
        <f aca="false">COUNTIF(D16:I16,"AB")</f>
        <v>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24.75" hidden="false" customHeight="true" outlineLevel="0" collapsed="false">
      <c r="A17" s="19" t="n">
        <v>7</v>
      </c>
      <c r="B17" s="20" t="n">
        <v>511523104007</v>
      </c>
      <c r="C17" s="25" t="s">
        <v>23</v>
      </c>
      <c r="D17" s="26" t="n">
        <v>63</v>
      </c>
      <c r="E17" s="23" t="n">
        <v>57</v>
      </c>
      <c r="F17" s="23" t="s">
        <v>24</v>
      </c>
      <c r="G17" s="28" t="n">
        <v>70</v>
      </c>
      <c r="H17" s="28" t="n">
        <v>65</v>
      </c>
      <c r="I17" s="27" t="n">
        <v>73</v>
      </c>
      <c r="J17" s="19"/>
      <c r="K17" s="19" t="n">
        <f aca="false">COUNTIF(D17:I17,"&lt;=49")+COUNTIF(D17:I17,"AB")</f>
        <v>1</v>
      </c>
      <c r="L17" s="19" t="n">
        <f aca="false">COUNTIF(D17:I17,"AB")</f>
        <v>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24.75" hidden="false" customHeight="true" outlineLevel="0" collapsed="false">
      <c r="A18" s="19" t="n">
        <v>8</v>
      </c>
      <c r="B18" s="20" t="n">
        <v>511523104008</v>
      </c>
      <c r="C18" s="25" t="s">
        <v>25</v>
      </c>
      <c r="D18" s="26" t="n">
        <v>23</v>
      </c>
      <c r="E18" s="23" t="n">
        <v>12</v>
      </c>
      <c r="F18" s="27" t="n">
        <v>10</v>
      </c>
      <c r="G18" s="22" t="n">
        <v>42</v>
      </c>
      <c r="H18" s="22" t="n">
        <v>17</v>
      </c>
      <c r="I18" s="27" t="s">
        <v>24</v>
      </c>
      <c r="J18" s="19"/>
      <c r="K18" s="19" t="n">
        <f aca="false">COUNTIF(D18:I18,"&lt;=49")+COUNTIF(D18:I18,"AB")</f>
        <v>6</v>
      </c>
      <c r="L18" s="19" t="n">
        <f aca="false">COUNTIF(D18:I18,"AB")</f>
        <v>1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24.75" hidden="false" customHeight="true" outlineLevel="0" collapsed="false">
      <c r="A19" s="19" t="n">
        <v>9</v>
      </c>
      <c r="B19" s="20" t="n">
        <v>511523104010</v>
      </c>
      <c r="C19" s="25" t="s">
        <v>26</v>
      </c>
      <c r="D19" s="26" t="n">
        <v>27</v>
      </c>
      <c r="E19" s="23" t="n">
        <v>5</v>
      </c>
      <c r="F19" s="27" t="n">
        <v>10</v>
      </c>
      <c r="G19" s="22" t="n">
        <v>17</v>
      </c>
      <c r="H19" s="22" t="n">
        <v>27</v>
      </c>
      <c r="I19" s="27" t="s">
        <v>24</v>
      </c>
      <c r="J19" s="19"/>
      <c r="K19" s="19" t="n">
        <f aca="false">COUNTIF(D19:I19,"&lt;=49")+COUNTIF(D19:I19,"AB")</f>
        <v>6</v>
      </c>
      <c r="L19" s="19" t="n">
        <f aca="false">COUNTIF(D19:I19,"AB")</f>
        <v>1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24.75" hidden="false" customHeight="true" outlineLevel="0" collapsed="false">
      <c r="A20" s="19" t="n">
        <v>10</v>
      </c>
      <c r="B20" s="20" t="n">
        <v>511523104012</v>
      </c>
      <c r="C20" s="25" t="s">
        <v>27</v>
      </c>
      <c r="D20" s="26" t="n">
        <v>57</v>
      </c>
      <c r="E20" s="23" t="n">
        <v>72</v>
      </c>
      <c r="F20" s="27" t="n">
        <v>73</v>
      </c>
      <c r="G20" s="22" t="n">
        <v>87</v>
      </c>
      <c r="H20" s="22" t="n">
        <v>70</v>
      </c>
      <c r="I20" s="27" t="n">
        <v>86</v>
      </c>
      <c r="J20" s="19"/>
      <c r="K20" s="19" t="n">
        <f aca="false">COUNTIF(D20:I20,"&lt;=49")+COUNTIF(D20:I20,"AB")</f>
        <v>0</v>
      </c>
      <c r="L20" s="19" t="n">
        <f aca="false">COUNTIF(D20:I20,"AB")</f>
        <v>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24.75" hidden="false" customHeight="true" outlineLevel="0" collapsed="false">
      <c r="A21" s="19" t="n">
        <v>11</v>
      </c>
      <c r="B21" s="20" t="n">
        <v>511523104013</v>
      </c>
      <c r="C21" s="25" t="s">
        <v>28</v>
      </c>
      <c r="D21" s="26" t="n">
        <v>23</v>
      </c>
      <c r="E21" s="23" t="n">
        <v>10</v>
      </c>
      <c r="F21" s="27" t="n">
        <v>28</v>
      </c>
      <c r="G21" s="22" t="n">
        <v>40</v>
      </c>
      <c r="H21" s="22" t="n">
        <v>34</v>
      </c>
      <c r="I21" s="27" t="n">
        <v>42</v>
      </c>
      <c r="J21" s="19"/>
      <c r="K21" s="19" t="n">
        <f aca="false">COUNTIF(D21:I21,"&lt;=49")+COUNTIF(D21:I21,"AB")</f>
        <v>6</v>
      </c>
      <c r="L21" s="19" t="n">
        <f aca="false">COUNTIF(D21:I21,"AB")</f>
        <v>0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24.75" hidden="false" customHeight="true" outlineLevel="0" collapsed="false">
      <c r="A22" s="19" t="n">
        <v>12</v>
      </c>
      <c r="B22" s="20" t="n">
        <v>511523104014</v>
      </c>
      <c r="C22" s="25" t="s">
        <v>29</v>
      </c>
      <c r="D22" s="26" t="s">
        <v>24</v>
      </c>
      <c r="E22" s="23" t="n">
        <v>15</v>
      </c>
      <c r="F22" s="27" t="n">
        <v>23</v>
      </c>
      <c r="G22" s="22" t="n">
        <v>44</v>
      </c>
      <c r="H22" s="22" t="n">
        <v>56</v>
      </c>
      <c r="I22" s="27" t="n">
        <v>41</v>
      </c>
      <c r="J22" s="19"/>
      <c r="K22" s="19" t="n">
        <f aca="false">COUNTIF(D22:I22,"&lt;=49")+COUNTIF(D22:I22,"AB")</f>
        <v>5</v>
      </c>
      <c r="L22" s="19" t="n">
        <f aca="false">COUNTIF(D22:I22,"AB")</f>
        <v>1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24.75" hidden="false" customHeight="true" outlineLevel="0" collapsed="false">
      <c r="A23" s="19" t="n">
        <v>13</v>
      </c>
      <c r="B23" s="20" t="n">
        <v>511523104015</v>
      </c>
      <c r="C23" s="25" t="s">
        <v>30</v>
      </c>
      <c r="D23" s="26" t="n">
        <v>26</v>
      </c>
      <c r="E23" s="23" t="n">
        <v>27</v>
      </c>
      <c r="F23" s="27" t="n">
        <v>31</v>
      </c>
      <c r="G23" s="22" t="n">
        <v>56</v>
      </c>
      <c r="H23" s="22" t="n">
        <v>45</v>
      </c>
      <c r="I23" s="27" t="n">
        <v>42</v>
      </c>
      <c r="J23" s="19"/>
      <c r="K23" s="19" t="n">
        <f aca="false">COUNTIF(D23:I23,"&lt;=49")+COUNTIF(D23:I23,"AB")</f>
        <v>5</v>
      </c>
      <c r="L23" s="19" t="n">
        <f aca="false">COUNTIF(D23:I23,"AB")</f>
        <v>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24.75" hidden="false" customHeight="true" outlineLevel="0" collapsed="false">
      <c r="A24" s="19" t="n">
        <v>14</v>
      </c>
      <c r="B24" s="20" t="n">
        <v>511523104016</v>
      </c>
      <c r="C24" s="25" t="s">
        <v>31</v>
      </c>
      <c r="D24" s="26" t="n">
        <v>63</v>
      </c>
      <c r="E24" s="23" t="n">
        <v>67</v>
      </c>
      <c r="F24" s="27" t="n">
        <v>77</v>
      </c>
      <c r="G24" s="22" t="n">
        <v>82</v>
      </c>
      <c r="H24" s="22" t="n">
        <v>64</v>
      </c>
      <c r="I24" s="27" t="n">
        <v>88</v>
      </c>
      <c r="J24" s="19"/>
      <c r="K24" s="19" t="n">
        <f aca="false">COUNTIF(D24:I24,"&lt;=49")+COUNTIF(D24:I24,"AB")</f>
        <v>0</v>
      </c>
      <c r="L24" s="19" t="n">
        <f aca="false">COUNTIF(D24:I24,"AB")</f>
        <v>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24.75" hidden="false" customHeight="true" outlineLevel="0" collapsed="false">
      <c r="A25" s="19" t="n">
        <v>15</v>
      </c>
      <c r="B25" s="20" t="n">
        <v>511523104017</v>
      </c>
      <c r="C25" s="25" t="s">
        <v>32</v>
      </c>
      <c r="D25" s="26" t="s">
        <v>24</v>
      </c>
      <c r="E25" s="23" t="n">
        <v>10</v>
      </c>
      <c r="F25" s="23" t="s">
        <v>24</v>
      </c>
      <c r="G25" s="22" t="n">
        <v>8</v>
      </c>
      <c r="H25" s="22" t="n">
        <v>16</v>
      </c>
      <c r="I25" s="27" t="n">
        <v>4</v>
      </c>
      <c r="J25" s="19"/>
      <c r="K25" s="19" t="n">
        <f aca="false">COUNTIF(D25:I25,"&lt;=49")+COUNTIF(D25:I25,"AB")</f>
        <v>6</v>
      </c>
      <c r="L25" s="19" t="n">
        <f aca="false">COUNTIF(D25:I25,"AB")</f>
        <v>2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24.75" hidden="false" customHeight="true" outlineLevel="0" collapsed="false">
      <c r="A26" s="19" t="n">
        <v>16</v>
      </c>
      <c r="B26" s="20" t="n">
        <v>511523104018</v>
      </c>
      <c r="C26" s="25" t="s">
        <v>33</v>
      </c>
      <c r="D26" s="26" t="n">
        <v>50</v>
      </c>
      <c r="E26" s="23" t="n">
        <v>60</v>
      </c>
      <c r="F26" s="27" t="n">
        <v>50</v>
      </c>
      <c r="G26" s="22" t="n">
        <v>65</v>
      </c>
      <c r="H26" s="22" t="n">
        <v>66</v>
      </c>
      <c r="I26" s="27" t="n">
        <v>94</v>
      </c>
      <c r="J26" s="19"/>
      <c r="K26" s="19" t="n">
        <f aca="false">COUNTIF(D26:I26,"&lt;=49")+COUNTIF(D26:I26,"AB")</f>
        <v>0</v>
      </c>
      <c r="L26" s="19" t="n">
        <f aca="false">COUNTIF(D26:I26,"AB")</f>
        <v>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24.75" hidden="false" customHeight="true" outlineLevel="0" collapsed="false">
      <c r="A27" s="19" t="n">
        <v>17</v>
      </c>
      <c r="B27" s="20" t="n">
        <v>511523104019</v>
      </c>
      <c r="C27" s="25" t="s">
        <v>34</v>
      </c>
      <c r="D27" s="29" t="s">
        <v>24</v>
      </c>
      <c r="E27" s="23" t="s">
        <v>24</v>
      </c>
      <c r="F27" s="23" t="s">
        <v>24</v>
      </c>
      <c r="G27" s="22" t="s">
        <v>24</v>
      </c>
      <c r="H27" s="22" t="s">
        <v>24</v>
      </c>
      <c r="I27" s="30" t="n">
        <v>58</v>
      </c>
      <c r="J27" s="19"/>
      <c r="K27" s="19" t="n">
        <f aca="false">COUNTIF(D27:I27,"&lt;=49")+COUNTIF(D27:I27,"AB")</f>
        <v>5</v>
      </c>
      <c r="L27" s="19" t="n">
        <f aca="false">COUNTIF(D27:I27,"AB")</f>
        <v>5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24.75" hidden="false" customHeight="true" outlineLevel="0" collapsed="false">
      <c r="A28" s="31" t="n">
        <v>18</v>
      </c>
      <c r="B28" s="32" t="n">
        <v>511523104020</v>
      </c>
      <c r="C28" s="33" t="s">
        <v>35</v>
      </c>
      <c r="D28" s="26" t="n">
        <v>80</v>
      </c>
      <c r="E28" s="34" t="n">
        <v>89</v>
      </c>
      <c r="F28" s="30" t="n">
        <v>81</v>
      </c>
      <c r="G28" s="35" t="n">
        <v>86</v>
      </c>
      <c r="H28" s="35" t="n">
        <v>76</v>
      </c>
      <c r="I28" s="27" t="n">
        <v>94</v>
      </c>
      <c r="J28" s="19"/>
      <c r="K28" s="19" t="n">
        <f aca="false">COUNTIF(D28:I28,"&lt;=49")+COUNTIF(D28:I28,"AB")</f>
        <v>0</v>
      </c>
      <c r="L28" s="19" t="n">
        <f aca="false">COUNTIF(D28:I28,"AB")</f>
        <v>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24.75" hidden="false" customHeight="true" outlineLevel="0" collapsed="false">
      <c r="A29" s="19" t="n">
        <v>19</v>
      </c>
      <c r="B29" s="20" t="n">
        <v>511523104021</v>
      </c>
      <c r="C29" s="25" t="s">
        <v>36</v>
      </c>
      <c r="D29" s="26" t="n">
        <v>66</v>
      </c>
      <c r="E29" s="23" t="n">
        <v>62</v>
      </c>
      <c r="F29" s="27" t="n">
        <v>46</v>
      </c>
      <c r="G29" s="22" t="n">
        <v>75</v>
      </c>
      <c r="H29" s="22" t="n">
        <v>54</v>
      </c>
      <c r="I29" s="27" t="n">
        <v>68</v>
      </c>
      <c r="J29" s="19"/>
      <c r="K29" s="19" t="n">
        <f aca="false">COUNTIF(D29:I29,"&lt;=49")+COUNTIF(D29:I29,"AB")</f>
        <v>1</v>
      </c>
      <c r="L29" s="19" t="n">
        <f aca="false">COUNTIF(D29:I29,"AB")</f>
        <v>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24.75" hidden="false" customHeight="true" outlineLevel="0" collapsed="false">
      <c r="A30" s="19" t="n">
        <v>20</v>
      </c>
      <c r="B30" s="20" t="n">
        <v>511523104022</v>
      </c>
      <c r="C30" s="25" t="s">
        <v>37</v>
      </c>
      <c r="D30" s="26" t="n">
        <v>56</v>
      </c>
      <c r="E30" s="23" t="n">
        <v>50</v>
      </c>
      <c r="F30" s="23" t="s">
        <v>24</v>
      </c>
      <c r="G30" s="22" t="n">
        <v>57</v>
      </c>
      <c r="H30" s="22" t="n">
        <v>50</v>
      </c>
      <c r="I30" s="27" t="n">
        <v>60</v>
      </c>
      <c r="J30" s="19"/>
      <c r="K30" s="19" t="n">
        <f aca="false">COUNTIF(D30:I30,"&lt;=49")+COUNTIF(D30:I30,"AB")</f>
        <v>1</v>
      </c>
      <c r="L30" s="19" t="n">
        <f aca="false">COUNTIF(D30:I30,"AB")</f>
        <v>1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24.75" hidden="false" customHeight="true" outlineLevel="0" collapsed="false">
      <c r="A31" s="19" t="n">
        <v>21</v>
      </c>
      <c r="B31" s="20" t="n">
        <v>511523104023</v>
      </c>
      <c r="C31" s="25" t="s">
        <v>38</v>
      </c>
      <c r="D31" s="26" t="n">
        <v>64</v>
      </c>
      <c r="E31" s="23" t="n">
        <v>52</v>
      </c>
      <c r="F31" s="27" t="n">
        <v>81</v>
      </c>
      <c r="G31" s="22" t="n">
        <v>50</v>
      </c>
      <c r="H31" s="22" t="n">
        <v>67</v>
      </c>
      <c r="I31" s="27" t="n">
        <v>69</v>
      </c>
      <c r="J31" s="19"/>
      <c r="K31" s="19" t="n">
        <f aca="false">COUNTIF(D31:I31,"&lt;=49")+COUNTIF(D31:I31,"AB")</f>
        <v>0</v>
      </c>
      <c r="L31" s="19" t="n">
        <f aca="false">COUNTIF(D31:I31,"AB")</f>
        <v>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24.75" hidden="false" customHeight="true" outlineLevel="0" collapsed="false">
      <c r="A32" s="19" t="n">
        <v>22</v>
      </c>
      <c r="B32" s="20" t="n">
        <v>511523104024</v>
      </c>
      <c r="C32" s="25" t="s">
        <v>39</v>
      </c>
      <c r="D32" s="26" t="n">
        <v>76</v>
      </c>
      <c r="E32" s="23" t="n">
        <v>73</v>
      </c>
      <c r="F32" s="27" t="n">
        <v>74</v>
      </c>
      <c r="G32" s="22" t="n">
        <v>90</v>
      </c>
      <c r="H32" s="22" t="n">
        <v>79</v>
      </c>
      <c r="I32" s="27" t="n">
        <v>92</v>
      </c>
      <c r="J32" s="19"/>
      <c r="K32" s="19" t="n">
        <f aca="false">COUNTIF(D32:I32,"&lt;=49")+COUNTIF(D32:I32,"AB")</f>
        <v>0</v>
      </c>
      <c r="L32" s="19" t="n">
        <f aca="false">COUNTIF(D32:I32,"AB")</f>
        <v>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24.75" hidden="false" customHeight="true" outlineLevel="0" collapsed="false">
      <c r="A33" s="19" t="n">
        <v>23</v>
      </c>
      <c r="B33" s="20" t="n">
        <v>511523104025</v>
      </c>
      <c r="C33" s="25" t="s">
        <v>40</v>
      </c>
      <c r="D33" s="26" t="n">
        <v>41</v>
      </c>
      <c r="E33" s="23" t="n">
        <v>16</v>
      </c>
      <c r="F33" s="23" t="s">
        <v>24</v>
      </c>
      <c r="G33" s="22" t="n">
        <v>45</v>
      </c>
      <c r="H33" s="22" t="n">
        <v>43</v>
      </c>
      <c r="I33" s="27" t="s">
        <v>24</v>
      </c>
      <c r="J33" s="19"/>
      <c r="K33" s="19" t="n">
        <f aca="false">COUNTIF(D33:I33,"&lt;=49")+COUNTIF(D33:I33,"AB")</f>
        <v>6</v>
      </c>
      <c r="L33" s="19" t="n">
        <f aca="false">COUNTIF(D33:I33,"AB")</f>
        <v>2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24.75" hidden="false" customHeight="true" outlineLevel="0" collapsed="false">
      <c r="A34" s="19" t="n">
        <v>24</v>
      </c>
      <c r="B34" s="20" t="n">
        <v>511523104026</v>
      </c>
      <c r="C34" s="25" t="s">
        <v>41</v>
      </c>
      <c r="D34" s="26" t="n">
        <v>73</v>
      </c>
      <c r="E34" s="23" t="n">
        <v>66</v>
      </c>
      <c r="F34" s="27" t="n">
        <v>45</v>
      </c>
      <c r="G34" s="22" t="n">
        <v>78</v>
      </c>
      <c r="H34" s="22" t="n">
        <v>64</v>
      </c>
      <c r="I34" s="27" t="n">
        <v>74</v>
      </c>
      <c r="J34" s="19"/>
      <c r="K34" s="19" t="n">
        <f aca="false">COUNTIF(D34:I34,"&lt;=49")+COUNTIF(D34:I34,"AB")</f>
        <v>1</v>
      </c>
      <c r="L34" s="19" t="n">
        <f aca="false">COUNTIF(D34:I34,"AB")</f>
        <v>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24.75" hidden="false" customHeight="true" outlineLevel="0" collapsed="false">
      <c r="A35" s="19" t="n">
        <v>25</v>
      </c>
      <c r="B35" s="20" t="n">
        <v>511523104027</v>
      </c>
      <c r="C35" s="25" t="s">
        <v>42</v>
      </c>
      <c r="D35" s="26" t="s">
        <v>24</v>
      </c>
      <c r="E35" s="23" t="n">
        <v>33</v>
      </c>
      <c r="F35" s="27" t="n">
        <v>39</v>
      </c>
      <c r="G35" s="22" t="n">
        <v>53</v>
      </c>
      <c r="H35" s="22" t="n">
        <v>29</v>
      </c>
      <c r="I35" s="27" t="n">
        <v>23</v>
      </c>
      <c r="J35" s="19"/>
      <c r="K35" s="19" t="n">
        <f aca="false">COUNTIF(D35:I35,"&lt;=49")+COUNTIF(D35:I35,"AB")</f>
        <v>5</v>
      </c>
      <c r="L35" s="19" t="n">
        <f aca="false">COUNTIF(D35:I35,"AB")</f>
        <v>1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24.75" hidden="false" customHeight="true" outlineLevel="0" collapsed="false">
      <c r="A36" s="19" t="n">
        <v>26</v>
      </c>
      <c r="B36" s="20" t="n">
        <v>511523104028</v>
      </c>
      <c r="C36" s="25" t="s">
        <v>43</v>
      </c>
      <c r="D36" s="26" t="s">
        <v>24</v>
      </c>
      <c r="E36" s="23" t="n">
        <v>4</v>
      </c>
      <c r="F36" s="23" t="s">
        <v>24</v>
      </c>
      <c r="G36" s="22" t="n">
        <v>28</v>
      </c>
      <c r="H36" s="22" t="s">
        <v>24</v>
      </c>
      <c r="I36" s="27" t="n">
        <v>3</v>
      </c>
      <c r="J36" s="19"/>
      <c r="K36" s="19" t="n">
        <f aca="false">COUNTIF(D36:I36,"&lt;=49")+COUNTIF(D36:I36,"AB")</f>
        <v>6</v>
      </c>
      <c r="L36" s="19" t="n">
        <f aca="false">COUNTIF(D36:I36,"AB")</f>
        <v>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24.75" hidden="false" customHeight="true" outlineLevel="0" collapsed="false">
      <c r="A37" s="19" t="n">
        <v>27</v>
      </c>
      <c r="B37" s="20" t="n">
        <v>511523104029</v>
      </c>
      <c r="C37" s="25" t="s">
        <v>44</v>
      </c>
      <c r="D37" s="26" t="s">
        <v>24</v>
      </c>
      <c r="E37" s="23" t="n">
        <v>35</v>
      </c>
      <c r="F37" s="27" t="n">
        <v>35</v>
      </c>
      <c r="G37" s="22" t="n">
        <v>50</v>
      </c>
      <c r="H37" s="22" t="n">
        <v>42</v>
      </c>
      <c r="I37" s="27" t="n">
        <v>45</v>
      </c>
      <c r="J37" s="19"/>
      <c r="K37" s="19" t="n">
        <f aca="false">COUNTIF(D37:I37,"&lt;=49")+COUNTIF(D37:I37,"AB")</f>
        <v>5</v>
      </c>
      <c r="L37" s="19" t="n">
        <f aca="false">COUNTIF(D37:I37,"AB")</f>
        <v>1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24.75" hidden="false" customHeight="true" outlineLevel="0" collapsed="false">
      <c r="A38" s="19" t="n">
        <v>28</v>
      </c>
      <c r="B38" s="20" t="n">
        <v>511523104030</v>
      </c>
      <c r="C38" s="25" t="s">
        <v>45</v>
      </c>
      <c r="D38" s="26" t="s">
        <v>24</v>
      </c>
      <c r="E38" s="23" t="n">
        <v>20</v>
      </c>
      <c r="F38" s="27" t="n">
        <v>22</v>
      </c>
      <c r="G38" s="22" t="n">
        <v>36</v>
      </c>
      <c r="H38" s="22" t="n">
        <v>39</v>
      </c>
      <c r="I38" s="27" t="n">
        <v>61</v>
      </c>
      <c r="J38" s="19"/>
      <c r="K38" s="19" t="n">
        <f aca="false">COUNTIF(D38:I38,"&lt;=49")+COUNTIF(D38:I38,"AB")</f>
        <v>5</v>
      </c>
      <c r="L38" s="19" t="n">
        <f aca="false">COUNTIF(D38:I38,"AB")</f>
        <v>1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24.75" hidden="false" customHeight="true" outlineLevel="0" collapsed="false">
      <c r="A39" s="19" t="n">
        <v>29</v>
      </c>
      <c r="B39" s="20" t="n">
        <v>511523104031</v>
      </c>
      <c r="C39" s="25" t="s">
        <v>46</v>
      </c>
      <c r="D39" s="26" t="s">
        <v>24</v>
      </c>
      <c r="E39" s="23" t="n">
        <v>17</v>
      </c>
      <c r="F39" s="27" t="n">
        <v>27</v>
      </c>
      <c r="G39" s="22" t="n">
        <v>16</v>
      </c>
      <c r="H39" s="22" t="n">
        <v>20</v>
      </c>
      <c r="I39" s="27" t="n">
        <v>5</v>
      </c>
      <c r="J39" s="19"/>
      <c r="K39" s="19" t="n">
        <f aca="false">COUNTIF(D39:I39,"&lt;=49")+COUNTIF(D39:I39,"AB")</f>
        <v>6</v>
      </c>
      <c r="L39" s="19" t="n">
        <f aca="false">COUNTIF(D39:I39,"AB")</f>
        <v>1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24.75" hidden="false" customHeight="true" outlineLevel="0" collapsed="false">
      <c r="A40" s="19" t="n">
        <v>30</v>
      </c>
      <c r="B40" s="20" t="n">
        <v>511523104032</v>
      </c>
      <c r="C40" s="25" t="s">
        <v>47</v>
      </c>
      <c r="D40" s="26" t="n">
        <v>65</v>
      </c>
      <c r="E40" s="23" t="n">
        <v>45</v>
      </c>
      <c r="F40" s="27" t="n">
        <v>61</v>
      </c>
      <c r="G40" s="22" t="n">
        <v>58</v>
      </c>
      <c r="H40" s="22" t="n">
        <v>53</v>
      </c>
      <c r="I40" s="27" t="n">
        <v>74</v>
      </c>
      <c r="J40" s="19"/>
      <c r="K40" s="19" t="n">
        <f aca="false">COUNTIF(D40:I40,"&lt;=49")+COUNTIF(D40:I40,"AB")</f>
        <v>1</v>
      </c>
      <c r="L40" s="19" t="n">
        <f aca="false">COUNTIF(D40:I40,"AB")</f>
        <v>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24.75" hidden="false" customHeight="true" outlineLevel="0" collapsed="false">
      <c r="A41" s="19" t="n">
        <v>31</v>
      </c>
      <c r="B41" s="20" t="n">
        <v>511523104033</v>
      </c>
      <c r="C41" s="25" t="s">
        <v>48</v>
      </c>
      <c r="D41" s="26" t="n">
        <v>50</v>
      </c>
      <c r="E41" s="23" t="s">
        <v>24</v>
      </c>
      <c r="F41" s="27" t="n">
        <v>55</v>
      </c>
      <c r="G41" s="22" t="n">
        <v>62</v>
      </c>
      <c r="H41" s="22" t="n">
        <v>57</v>
      </c>
      <c r="I41" s="27" t="n">
        <v>74</v>
      </c>
      <c r="J41" s="19"/>
      <c r="K41" s="19" t="n">
        <f aca="false">COUNTIF(D41:I41,"&lt;=49")+COUNTIF(D41:I41,"AB")</f>
        <v>1</v>
      </c>
      <c r="L41" s="19" t="n">
        <f aca="false">COUNTIF(D41:I41,"AB")</f>
        <v>1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24.75" hidden="false" customHeight="true" outlineLevel="0" collapsed="false">
      <c r="A42" s="19" t="n">
        <v>32</v>
      </c>
      <c r="B42" s="20" t="n">
        <v>511523104034</v>
      </c>
      <c r="C42" s="25" t="s">
        <v>49</v>
      </c>
      <c r="D42" s="26" t="n">
        <v>60</v>
      </c>
      <c r="E42" s="23" t="n">
        <v>50</v>
      </c>
      <c r="F42" s="27" t="n">
        <v>55</v>
      </c>
      <c r="G42" s="22" t="n">
        <v>75</v>
      </c>
      <c r="H42" s="22" t="n">
        <v>54</v>
      </c>
      <c r="I42" s="27" t="n">
        <v>74</v>
      </c>
      <c r="J42" s="19"/>
      <c r="K42" s="19" t="n">
        <f aca="false">COUNTIF(D42:I42,"&lt;=49")+COUNTIF(D42:I42,"AB")</f>
        <v>0</v>
      </c>
      <c r="L42" s="19" t="n">
        <f aca="false">COUNTIF(D42:I42,"AB")</f>
        <v>0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24.75" hidden="false" customHeight="true" outlineLevel="0" collapsed="false">
      <c r="A43" s="19" t="n">
        <v>33</v>
      </c>
      <c r="B43" s="20" t="n">
        <v>511523104037</v>
      </c>
      <c r="C43" s="25" t="s">
        <v>50</v>
      </c>
      <c r="D43" s="26" t="n">
        <v>86</v>
      </c>
      <c r="E43" s="23" t="n">
        <v>77</v>
      </c>
      <c r="F43" s="27" t="n">
        <v>76</v>
      </c>
      <c r="G43" s="22" t="n">
        <v>83</v>
      </c>
      <c r="H43" s="22" t="n">
        <v>74</v>
      </c>
      <c r="I43" s="27" t="n">
        <v>84</v>
      </c>
      <c r="J43" s="19"/>
      <c r="K43" s="19" t="n">
        <f aca="false">COUNTIF(D43:I43,"&lt;=49")+COUNTIF(D43:I43,"AB")</f>
        <v>0</v>
      </c>
      <c r="L43" s="19" t="n">
        <f aca="false">COUNTIF(D43:I43,"AB")</f>
        <v>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24.75" hidden="false" customHeight="true" outlineLevel="0" collapsed="false">
      <c r="A44" s="19" t="n">
        <v>34</v>
      </c>
      <c r="B44" s="20" t="n">
        <v>511523104038</v>
      </c>
      <c r="C44" s="25" t="s">
        <v>51</v>
      </c>
      <c r="D44" s="26" t="n">
        <v>54</v>
      </c>
      <c r="E44" s="23" t="n">
        <v>60</v>
      </c>
      <c r="F44" s="27" t="n">
        <v>49</v>
      </c>
      <c r="G44" s="22" t="n">
        <v>65</v>
      </c>
      <c r="H44" s="22" t="n">
        <v>67</v>
      </c>
      <c r="I44" s="27" t="n">
        <v>94</v>
      </c>
      <c r="J44" s="19"/>
      <c r="K44" s="19" t="n">
        <f aca="false">COUNTIF(D44:I44,"&lt;=49")+COUNTIF(D44:I44,"AB")</f>
        <v>1</v>
      </c>
      <c r="L44" s="19" t="n">
        <f aca="false">COUNTIF(D44:I44,"AB")</f>
        <v>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24.75" hidden="false" customHeight="true" outlineLevel="0" collapsed="false">
      <c r="A45" s="19" t="n">
        <v>35</v>
      </c>
      <c r="B45" s="20" t="n">
        <v>511523104039</v>
      </c>
      <c r="C45" s="25" t="s">
        <v>52</v>
      </c>
      <c r="D45" s="26" t="n">
        <v>30</v>
      </c>
      <c r="E45" s="23" t="n">
        <v>41</v>
      </c>
      <c r="F45" s="27" t="n">
        <v>37</v>
      </c>
      <c r="G45" s="22" t="n">
        <v>34</v>
      </c>
      <c r="H45" s="22" t="n">
        <v>38</v>
      </c>
      <c r="I45" s="27" t="n">
        <v>39</v>
      </c>
      <c r="J45" s="19"/>
      <c r="K45" s="19" t="n">
        <f aca="false">COUNTIF(D45:I45,"&lt;=49")+COUNTIF(D45:I45,"AB")</f>
        <v>6</v>
      </c>
      <c r="L45" s="19" t="n">
        <f aca="false">COUNTIF(D45:I45,"AB")</f>
        <v>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24.75" hidden="false" customHeight="true" outlineLevel="0" collapsed="false">
      <c r="A46" s="19" t="n">
        <v>36</v>
      </c>
      <c r="B46" s="20" t="n">
        <v>511523104040</v>
      </c>
      <c r="C46" s="25" t="s">
        <v>53</v>
      </c>
      <c r="D46" s="26" t="n">
        <v>33</v>
      </c>
      <c r="E46" s="23" t="n">
        <v>30</v>
      </c>
      <c r="F46" s="27" t="n">
        <v>27</v>
      </c>
      <c r="G46" s="22" t="n">
        <v>20</v>
      </c>
      <c r="H46" s="22" t="n">
        <v>35</v>
      </c>
      <c r="I46" s="27" t="n">
        <v>30</v>
      </c>
      <c r="J46" s="19"/>
      <c r="K46" s="19" t="n">
        <f aca="false">COUNTIF(D46:I46,"&lt;=49")+COUNTIF(D46:I46,"AB")</f>
        <v>6</v>
      </c>
      <c r="L46" s="19" t="n">
        <f aca="false">COUNTIF(D46:I46,"AB")</f>
        <v>0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24.75" hidden="false" customHeight="true" outlineLevel="0" collapsed="false">
      <c r="A47" s="36" t="n">
        <v>37</v>
      </c>
      <c r="B47" s="20" t="n">
        <v>511523104042</v>
      </c>
      <c r="C47" s="25" t="s">
        <v>54</v>
      </c>
      <c r="D47" s="26" t="n">
        <v>4</v>
      </c>
      <c r="E47" s="23" t="n">
        <v>5</v>
      </c>
      <c r="F47" s="23" t="s">
        <v>24</v>
      </c>
      <c r="G47" s="22" t="n">
        <v>14</v>
      </c>
      <c r="H47" s="22" t="n">
        <v>12</v>
      </c>
      <c r="I47" s="27" t="n">
        <v>2</v>
      </c>
      <c r="J47" s="19"/>
      <c r="K47" s="19" t="n">
        <f aca="false">COUNTIF(D47:I47,"&lt;=49")+COUNTIF(D47:I47,"AB")</f>
        <v>6</v>
      </c>
      <c r="L47" s="19" t="n">
        <f aca="false">COUNTIF(D47:I47,"AB")</f>
        <v>1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24.75" hidden="false" customHeight="true" outlineLevel="0" collapsed="false">
      <c r="A48" s="19" t="n">
        <v>38</v>
      </c>
      <c r="B48" s="20" t="n">
        <v>511523104043</v>
      </c>
      <c r="C48" s="25" t="s">
        <v>55</v>
      </c>
      <c r="D48" s="26" t="s">
        <v>24</v>
      </c>
      <c r="E48" s="23" t="n">
        <v>16</v>
      </c>
      <c r="F48" s="27" t="n">
        <v>36</v>
      </c>
      <c r="G48" s="22" t="n">
        <v>32</v>
      </c>
      <c r="H48" s="22" t="n">
        <v>27</v>
      </c>
      <c r="I48" s="27" t="n">
        <v>6</v>
      </c>
      <c r="J48" s="19"/>
      <c r="K48" s="19" t="n">
        <f aca="false">COUNTIF(D48:I48,"&lt;=49")+COUNTIF(D48:I48,"AB")</f>
        <v>6</v>
      </c>
      <c r="L48" s="19" t="n">
        <f aca="false">COUNTIF(D48:I48,"AB")</f>
        <v>1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24.75" hidden="false" customHeight="true" outlineLevel="0" collapsed="false">
      <c r="A49" s="19" t="n">
        <v>39</v>
      </c>
      <c r="B49" s="20" t="n">
        <v>511523104044</v>
      </c>
      <c r="C49" s="25" t="s">
        <v>56</v>
      </c>
      <c r="D49" s="26" t="n">
        <v>4</v>
      </c>
      <c r="E49" s="23" t="n">
        <v>14</v>
      </c>
      <c r="F49" s="27" t="n">
        <v>5</v>
      </c>
      <c r="G49" s="22" t="n">
        <v>27</v>
      </c>
      <c r="H49" s="22" t="n">
        <v>15</v>
      </c>
      <c r="I49" s="27" t="n">
        <v>21</v>
      </c>
      <c r="J49" s="19"/>
      <c r="K49" s="19" t="n">
        <f aca="false">COUNTIF(D49:I49,"&lt;=49")+COUNTIF(D49:I49,"AB")</f>
        <v>6</v>
      </c>
      <c r="L49" s="19" t="n">
        <f aca="false">COUNTIF(D49:I49,"AB")</f>
        <v>0</v>
      </c>
      <c r="M49" s="2"/>
      <c r="N49" s="37"/>
      <c r="O49" s="37"/>
      <c r="P49" s="37"/>
      <c r="Q49" s="37"/>
      <c r="R49" s="37"/>
      <c r="S49" s="37"/>
      <c r="T49" s="2"/>
      <c r="U49" s="2"/>
      <c r="V49" s="2"/>
      <c r="W49" s="2"/>
      <c r="X49" s="2"/>
      <c r="Y49" s="2"/>
      <c r="Z49" s="2"/>
    </row>
    <row r="50" customFormat="false" ht="24.75" hidden="false" customHeight="true" outlineLevel="0" collapsed="false">
      <c r="A50" s="19" t="n">
        <v>40</v>
      </c>
      <c r="B50" s="20" t="n">
        <v>511523104045</v>
      </c>
      <c r="C50" s="25" t="s">
        <v>57</v>
      </c>
      <c r="D50" s="26" t="s">
        <v>24</v>
      </c>
      <c r="E50" s="23" t="n">
        <v>5</v>
      </c>
      <c r="F50" s="27" t="n">
        <v>9</v>
      </c>
      <c r="G50" s="22" t="n">
        <v>14</v>
      </c>
      <c r="H50" s="22" t="n">
        <v>11</v>
      </c>
      <c r="I50" s="27" t="n">
        <v>29</v>
      </c>
      <c r="J50" s="19"/>
      <c r="K50" s="19" t="n">
        <f aca="false">COUNTIF(D50:I50,"&lt;=49")+COUNTIF(D50:I50,"AB")</f>
        <v>6</v>
      </c>
      <c r="L50" s="19" t="n">
        <f aca="false">COUNTIF(D50:I50,"AB")</f>
        <v>1</v>
      </c>
      <c r="M50" s="2"/>
      <c r="N50" s="38"/>
      <c r="O50" s="38"/>
      <c r="P50" s="38"/>
      <c r="Q50" s="38"/>
      <c r="R50" s="38"/>
      <c r="S50" s="38"/>
      <c r="T50" s="2"/>
      <c r="U50" s="2"/>
      <c r="V50" s="2"/>
      <c r="W50" s="2"/>
      <c r="X50" s="2"/>
      <c r="Y50" s="2"/>
      <c r="Z50" s="2"/>
    </row>
    <row r="51" customFormat="false" ht="24.75" hidden="false" customHeight="true" outlineLevel="0" collapsed="false">
      <c r="A51" s="19" t="n">
        <v>41</v>
      </c>
      <c r="B51" s="20" t="n">
        <v>511523104046</v>
      </c>
      <c r="C51" s="25" t="s">
        <v>58</v>
      </c>
      <c r="D51" s="26" t="n">
        <v>39</v>
      </c>
      <c r="E51" s="23" t="n">
        <v>29</v>
      </c>
      <c r="F51" s="27" t="n">
        <v>11</v>
      </c>
      <c r="G51" s="22" t="n">
        <v>53</v>
      </c>
      <c r="H51" s="22" t="n">
        <v>10</v>
      </c>
      <c r="I51" s="27" t="n">
        <v>36</v>
      </c>
      <c r="J51" s="19"/>
      <c r="K51" s="19" t="n">
        <f aca="false">COUNTIF(D51:I51,"&lt;=49")+COUNTIF(D51:I51,"AB")</f>
        <v>5</v>
      </c>
      <c r="L51" s="19" t="n">
        <f aca="false">COUNTIF(D51:I51,"AB")</f>
        <v>0</v>
      </c>
      <c r="M51" s="39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24.75" hidden="false" customHeight="true" outlineLevel="0" collapsed="false">
      <c r="A52" s="19" t="n">
        <v>42</v>
      </c>
      <c r="B52" s="20" t="n">
        <v>511523104047</v>
      </c>
      <c r="C52" s="25" t="s">
        <v>59</v>
      </c>
      <c r="D52" s="26" t="n">
        <v>53</v>
      </c>
      <c r="E52" s="23" t="n">
        <v>67</v>
      </c>
      <c r="F52" s="27" t="n">
        <v>70</v>
      </c>
      <c r="G52" s="22" t="n">
        <v>77</v>
      </c>
      <c r="H52" s="22" t="n">
        <v>68</v>
      </c>
      <c r="I52" s="27" t="n">
        <v>67</v>
      </c>
      <c r="J52" s="19"/>
      <c r="K52" s="19" t="n">
        <f aca="false">COUNTIF(D52:I52,"&lt;=49")+COUNTIF(D52:I52,"AB")</f>
        <v>0</v>
      </c>
      <c r="L52" s="19" t="n">
        <f aca="false">COUNTIF(D52:I52,"AB")</f>
        <v>0</v>
      </c>
      <c r="M52" s="39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24.75" hidden="false" customHeight="true" outlineLevel="0" collapsed="false">
      <c r="A53" s="19" t="n">
        <v>43</v>
      </c>
      <c r="B53" s="20" t="n">
        <v>511523104048</v>
      </c>
      <c r="C53" s="25" t="s">
        <v>60</v>
      </c>
      <c r="D53" s="26" t="n">
        <v>38</v>
      </c>
      <c r="E53" s="23" t="n">
        <v>21</v>
      </c>
      <c r="F53" s="27" t="n">
        <v>45</v>
      </c>
      <c r="G53" s="22" t="n">
        <v>43</v>
      </c>
      <c r="H53" s="22" t="n">
        <v>39</v>
      </c>
      <c r="I53" s="27" t="n">
        <v>20</v>
      </c>
      <c r="J53" s="19"/>
      <c r="K53" s="19" t="n">
        <f aca="false">COUNTIF(D53:I53,"&lt;=49")+COUNTIF(D53:I53,"AB")</f>
        <v>6</v>
      </c>
      <c r="L53" s="19" t="n">
        <f aca="false">COUNTIF(D53:I53,"AB")</f>
        <v>0</v>
      </c>
      <c r="M53" s="39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24.75" hidden="false" customHeight="true" outlineLevel="0" collapsed="false">
      <c r="A54" s="19" t="n">
        <v>44</v>
      </c>
      <c r="B54" s="20" t="n">
        <v>511523104049</v>
      </c>
      <c r="C54" s="25" t="s">
        <v>61</v>
      </c>
      <c r="D54" s="26" t="s">
        <v>24</v>
      </c>
      <c r="E54" s="23" t="n">
        <v>5</v>
      </c>
      <c r="F54" s="23" t="s">
        <v>24</v>
      </c>
      <c r="G54" s="22" t="n">
        <v>0</v>
      </c>
      <c r="H54" s="22" t="s">
        <v>24</v>
      </c>
      <c r="I54" s="27" t="n">
        <v>20</v>
      </c>
      <c r="J54" s="19"/>
      <c r="K54" s="19" t="n">
        <f aca="false">COUNTIF(D54:I54,"&lt;=49")+COUNTIF(D54:I54,"AB")</f>
        <v>6</v>
      </c>
      <c r="L54" s="19" t="n">
        <f aca="false">COUNTIF(D54:I54,"AB")</f>
        <v>3</v>
      </c>
      <c r="M54" s="39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24.75" hidden="false" customHeight="true" outlineLevel="0" collapsed="false">
      <c r="A55" s="19" t="n">
        <v>45</v>
      </c>
      <c r="B55" s="20" t="n">
        <v>511523104050</v>
      </c>
      <c r="C55" s="25" t="s">
        <v>62</v>
      </c>
      <c r="D55" s="26" t="s">
        <v>24</v>
      </c>
      <c r="E55" s="23" t="n">
        <v>29</v>
      </c>
      <c r="F55" s="23" t="s">
        <v>24</v>
      </c>
      <c r="G55" s="22" t="s">
        <v>24</v>
      </c>
      <c r="H55" s="22" t="s">
        <v>24</v>
      </c>
      <c r="I55" s="27" t="n">
        <v>32</v>
      </c>
      <c r="J55" s="19"/>
      <c r="K55" s="19" t="n">
        <f aca="false">COUNTIF(D55:I55,"&lt;=49")+COUNTIF(D55:I55,"AB")</f>
        <v>6</v>
      </c>
      <c r="L55" s="19" t="n">
        <f aca="false">COUNTIF(D55:I55,"AB")</f>
        <v>4</v>
      </c>
      <c r="M55" s="39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24.75" hidden="false" customHeight="true" outlineLevel="0" collapsed="false">
      <c r="A56" s="19" t="n">
        <v>46</v>
      </c>
      <c r="B56" s="20" t="n">
        <v>511523104051</v>
      </c>
      <c r="C56" s="25" t="s">
        <v>63</v>
      </c>
      <c r="D56" s="26" t="n">
        <v>50</v>
      </c>
      <c r="E56" s="23" t="n">
        <v>20</v>
      </c>
      <c r="F56" s="23" t="s">
        <v>24</v>
      </c>
      <c r="G56" s="22" t="n">
        <v>52</v>
      </c>
      <c r="H56" s="22" t="n">
        <v>47</v>
      </c>
      <c r="I56" s="27" t="n">
        <v>60</v>
      </c>
      <c r="J56" s="19"/>
      <c r="K56" s="19" t="n">
        <f aca="false">COUNTIF(D56:I56,"&lt;=49")+COUNTIF(D56:I56,"AB")</f>
        <v>3</v>
      </c>
      <c r="L56" s="19" t="n">
        <f aca="false">COUNTIF(D56:I56,"AB")</f>
        <v>1</v>
      </c>
      <c r="M56" s="39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24.75" hidden="false" customHeight="true" outlineLevel="0" collapsed="false">
      <c r="A57" s="19" t="n">
        <v>47</v>
      </c>
      <c r="B57" s="20" t="n">
        <v>511523104052</v>
      </c>
      <c r="C57" s="25" t="s">
        <v>64</v>
      </c>
      <c r="D57" s="26" t="n">
        <v>35</v>
      </c>
      <c r="E57" s="23" t="n">
        <v>28</v>
      </c>
      <c r="F57" s="27" t="n">
        <v>45</v>
      </c>
      <c r="G57" s="22" t="n">
        <v>45</v>
      </c>
      <c r="H57" s="22" t="n">
        <v>24</v>
      </c>
      <c r="I57" s="27" t="s">
        <v>24</v>
      </c>
      <c r="J57" s="19"/>
      <c r="K57" s="19" t="n">
        <f aca="false">COUNTIF(D57:I57,"&lt;=49")+COUNTIF(D57:I57,"AB")</f>
        <v>6</v>
      </c>
      <c r="L57" s="19" t="n">
        <f aca="false">COUNTIF(D57:I57,"AB")</f>
        <v>1</v>
      </c>
      <c r="M57" s="39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24.75" hidden="false" customHeight="true" outlineLevel="0" collapsed="false">
      <c r="A58" s="19" t="n">
        <v>48</v>
      </c>
      <c r="B58" s="20" t="n">
        <v>511523104053</v>
      </c>
      <c r="C58" s="25" t="s">
        <v>65</v>
      </c>
      <c r="D58" s="26" t="n">
        <v>8</v>
      </c>
      <c r="E58" s="23" t="n">
        <v>9</v>
      </c>
      <c r="F58" s="27" t="n">
        <v>4</v>
      </c>
      <c r="G58" s="22" t="n">
        <v>30</v>
      </c>
      <c r="H58" s="22" t="n">
        <v>20</v>
      </c>
      <c r="I58" s="27" t="s">
        <v>24</v>
      </c>
      <c r="J58" s="19"/>
      <c r="K58" s="19" t="n">
        <f aca="false">COUNTIF(D58:I58,"&lt;=49")+COUNTIF(D58:I58,"AB")</f>
        <v>6</v>
      </c>
      <c r="L58" s="19" t="n">
        <f aca="false">COUNTIF(D58:I58,"AB")</f>
        <v>1</v>
      </c>
      <c r="M58" s="39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24.75" hidden="false" customHeight="true" outlineLevel="0" collapsed="false">
      <c r="A59" s="19" t="n">
        <v>49</v>
      </c>
      <c r="B59" s="20" t="n">
        <v>511523104054</v>
      </c>
      <c r="C59" s="25" t="s">
        <v>66</v>
      </c>
      <c r="D59" s="26" t="n">
        <v>23</v>
      </c>
      <c r="E59" s="23" t="n">
        <v>20</v>
      </c>
      <c r="F59" s="27" t="n">
        <v>13</v>
      </c>
      <c r="G59" s="22" t="n">
        <v>37</v>
      </c>
      <c r="H59" s="22" t="n">
        <v>15</v>
      </c>
      <c r="I59" s="27" t="n">
        <v>43</v>
      </c>
      <c r="J59" s="19"/>
      <c r="K59" s="19" t="n">
        <f aca="false">COUNTIF(D59:I59,"&lt;=49")+COUNTIF(D59:I59,"AB")</f>
        <v>6</v>
      </c>
      <c r="L59" s="19" t="n">
        <f aca="false">COUNTIF(D59:I59,"AB")</f>
        <v>0</v>
      </c>
      <c r="M59" s="39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24.75" hidden="false" customHeight="true" outlineLevel="0" collapsed="false">
      <c r="A60" s="19" t="n">
        <v>50</v>
      </c>
      <c r="B60" s="20" t="n">
        <v>511523104055</v>
      </c>
      <c r="C60" s="25" t="s">
        <v>67</v>
      </c>
      <c r="D60" s="26" t="s">
        <v>24</v>
      </c>
      <c r="E60" s="23" t="n">
        <v>16</v>
      </c>
      <c r="F60" s="27" t="n">
        <v>33</v>
      </c>
      <c r="G60" s="22" t="n">
        <v>52</v>
      </c>
      <c r="H60" s="22" t="n">
        <v>36</v>
      </c>
      <c r="I60" s="27" t="n">
        <v>39</v>
      </c>
      <c r="J60" s="19"/>
      <c r="K60" s="19" t="n">
        <f aca="false">COUNTIF(D60:I60,"&lt;=49")+COUNTIF(D60:I60,"AB")</f>
        <v>5</v>
      </c>
      <c r="L60" s="19" t="n">
        <f aca="false">COUNTIF(D60:I60,"AB")</f>
        <v>1</v>
      </c>
      <c r="M60" s="39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24.75" hidden="false" customHeight="true" outlineLevel="0" collapsed="false">
      <c r="A61" s="19" t="n">
        <v>51</v>
      </c>
      <c r="B61" s="20" t="n">
        <v>511523104056</v>
      </c>
      <c r="C61" s="25" t="s">
        <v>68</v>
      </c>
      <c r="D61" s="26" t="s">
        <v>24</v>
      </c>
      <c r="E61" s="23" t="s">
        <v>24</v>
      </c>
      <c r="F61" s="27" t="n">
        <v>10</v>
      </c>
      <c r="G61" s="22" t="s">
        <v>24</v>
      </c>
      <c r="H61" s="22" t="n">
        <v>6</v>
      </c>
      <c r="I61" s="27" t="s">
        <v>24</v>
      </c>
      <c r="J61" s="19"/>
      <c r="K61" s="19" t="n">
        <f aca="false">COUNTIF(D61:I61,"&lt;=49")+COUNTIF(D61:I61,"AB")</f>
        <v>6</v>
      </c>
      <c r="L61" s="19" t="n">
        <f aca="false">COUNTIF(D61:I61,"AB")</f>
        <v>4</v>
      </c>
      <c r="M61" s="39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24.75" hidden="false" customHeight="true" outlineLevel="0" collapsed="false">
      <c r="A62" s="19" t="n">
        <v>52</v>
      </c>
      <c r="B62" s="20" t="n">
        <v>511523104057</v>
      </c>
      <c r="C62" s="25" t="s">
        <v>69</v>
      </c>
      <c r="D62" s="26" t="n">
        <v>84</v>
      </c>
      <c r="E62" s="23" t="n">
        <v>85</v>
      </c>
      <c r="F62" s="27" t="n">
        <v>87</v>
      </c>
      <c r="G62" s="22" t="n">
        <v>90</v>
      </c>
      <c r="H62" s="22" t="n">
        <v>75</v>
      </c>
      <c r="I62" s="27" t="n">
        <v>93</v>
      </c>
      <c r="J62" s="19"/>
      <c r="K62" s="19" t="n">
        <f aca="false">COUNTIF(D62:I62,"&lt;=49")+COUNTIF(D62:I62,"AB")</f>
        <v>0</v>
      </c>
      <c r="L62" s="19" t="n">
        <f aca="false">COUNTIF(D62:I62,"AB")</f>
        <v>0</v>
      </c>
      <c r="M62" s="39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24.75" hidden="false" customHeight="true" outlineLevel="0" collapsed="false">
      <c r="A63" s="19" t="n">
        <v>53</v>
      </c>
      <c r="B63" s="20" t="n">
        <v>511523104058</v>
      </c>
      <c r="C63" s="25" t="s">
        <v>70</v>
      </c>
      <c r="D63" s="26" t="n">
        <v>50</v>
      </c>
      <c r="E63" s="23" t="n">
        <v>30</v>
      </c>
      <c r="F63" s="27" t="n">
        <v>10</v>
      </c>
      <c r="G63" s="22" t="n">
        <v>57</v>
      </c>
      <c r="H63" s="22" t="n">
        <v>10</v>
      </c>
      <c r="I63" s="27" t="n">
        <v>73</v>
      </c>
      <c r="J63" s="19"/>
      <c r="K63" s="19" t="n">
        <f aca="false">COUNTIF(D63:I63,"&lt;=49")+COUNTIF(D63:I63,"AB")</f>
        <v>3</v>
      </c>
      <c r="L63" s="19" t="n">
        <f aca="false">COUNTIF(D63:I63,"AB")</f>
        <v>0</v>
      </c>
      <c r="M63" s="39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24.75" hidden="false" customHeight="true" outlineLevel="0" collapsed="false">
      <c r="A64" s="19" t="n">
        <v>54</v>
      </c>
      <c r="B64" s="20" t="n">
        <v>511523104059</v>
      </c>
      <c r="C64" s="25" t="s">
        <v>71</v>
      </c>
      <c r="D64" s="26" t="n">
        <v>8</v>
      </c>
      <c r="E64" s="23" t="n">
        <v>7</v>
      </c>
      <c r="F64" s="27" t="n">
        <v>32</v>
      </c>
      <c r="G64" s="22" t="n">
        <v>4</v>
      </c>
      <c r="H64" s="22" t="n">
        <v>23</v>
      </c>
      <c r="I64" s="27" t="n">
        <v>6</v>
      </c>
      <c r="J64" s="19"/>
      <c r="K64" s="19" t="n">
        <f aca="false">COUNTIF(D64:I64,"&lt;=49")+COUNTIF(D64:I64,"AB")</f>
        <v>6</v>
      </c>
      <c r="L64" s="19" t="n">
        <f aca="false">COUNTIF(D64:I64,"AB")</f>
        <v>0</v>
      </c>
      <c r="M64" s="39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24.75" hidden="false" customHeight="true" outlineLevel="0" collapsed="false">
      <c r="A65" s="19" t="n">
        <v>55</v>
      </c>
      <c r="B65" s="20" t="n">
        <v>511523104060</v>
      </c>
      <c r="C65" s="25" t="s">
        <v>72</v>
      </c>
      <c r="D65" s="26" t="n">
        <v>2</v>
      </c>
      <c r="E65" s="23" t="n">
        <v>2</v>
      </c>
      <c r="F65" s="27" t="n">
        <v>8</v>
      </c>
      <c r="G65" s="22" t="n">
        <v>18</v>
      </c>
      <c r="H65" s="22" t="n">
        <v>4</v>
      </c>
      <c r="I65" s="27" t="s">
        <v>24</v>
      </c>
      <c r="J65" s="19"/>
      <c r="K65" s="19" t="n">
        <f aca="false">COUNTIF(D65:I65,"&lt;=49")+COUNTIF(D65:I65,"AB")</f>
        <v>6</v>
      </c>
      <c r="L65" s="19" t="n">
        <f aca="false">COUNTIF(D65:I65,"AB")</f>
        <v>1</v>
      </c>
      <c r="M65" s="39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24.75" hidden="false" customHeight="true" outlineLevel="0" collapsed="false">
      <c r="A66" s="19" t="n">
        <v>56</v>
      </c>
      <c r="B66" s="20" t="n">
        <v>511523104061</v>
      </c>
      <c r="C66" s="25" t="s">
        <v>73</v>
      </c>
      <c r="D66" s="26" t="n">
        <v>2</v>
      </c>
      <c r="E66" s="23" t="n">
        <v>3</v>
      </c>
      <c r="F66" s="27" t="n">
        <v>8</v>
      </c>
      <c r="G66" s="22" t="n">
        <v>16</v>
      </c>
      <c r="H66" s="22" t="n">
        <v>10</v>
      </c>
      <c r="I66" s="27" t="s">
        <v>24</v>
      </c>
      <c r="J66" s="19"/>
      <c r="K66" s="19" t="n">
        <f aca="false">COUNTIF(D66:I66,"&lt;=49")+COUNTIF(D66:I66,"AB")</f>
        <v>6</v>
      </c>
      <c r="L66" s="19" t="n">
        <f aca="false">COUNTIF(D66:I66,"AB")</f>
        <v>1</v>
      </c>
      <c r="M66" s="39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24.75" hidden="false" customHeight="true" outlineLevel="0" collapsed="false">
      <c r="A67" s="19" t="n">
        <v>57</v>
      </c>
      <c r="B67" s="20" t="n">
        <v>511523104062</v>
      </c>
      <c r="C67" s="25" t="s">
        <v>74</v>
      </c>
      <c r="D67" s="26" t="n">
        <v>54</v>
      </c>
      <c r="E67" s="23" t="n">
        <v>42</v>
      </c>
      <c r="F67" s="27" t="n">
        <v>60</v>
      </c>
      <c r="G67" s="22" t="n">
        <v>84</v>
      </c>
      <c r="H67" s="22" t="n">
        <v>63</v>
      </c>
      <c r="I67" s="27" t="n">
        <v>63</v>
      </c>
      <c r="J67" s="19"/>
      <c r="K67" s="19" t="n">
        <f aca="false">COUNTIF(D67:I67,"&lt;=49")+COUNTIF(D67:I67,"AB")</f>
        <v>1</v>
      </c>
      <c r="L67" s="19" t="n">
        <f aca="false">COUNTIF(D67:I67,"AB")</f>
        <v>0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24.75" hidden="false" customHeight="true" outlineLevel="0" collapsed="false">
      <c r="A68" s="19" t="n">
        <v>58</v>
      </c>
      <c r="B68" s="20" t="n">
        <v>511523104701</v>
      </c>
      <c r="C68" s="40" t="s">
        <v>75</v>
      </c>
      <c r="D68" s="26" t="n">
        <v>26</v>
      </c>
      <c r="E68" s="41" t="s">
        <v>24</v>
      </c>
      <c r="F68" s="27" t="n">
        <v>27</v>
      </c>
      <c r="G68" s="22" t="n">
        <v>37</v>
      </c>
      <c r="H68" s="22" t="n">
        <v>41</v>
      </c>
      <c r="I68" s="27" t="n">
        <v>38</v>
      </c>
      <c r="J68" s="19"/>
      <c r="K68" s="19" t="n">
        <f aca="false">COUNTIF(D68:I68,"&lt;=49")+COUNTIF(D68:I68,"AB")</f>
        <v>6</v>
      </c>
      <c r="L68" s="19" t="n">
        <f aca="false">COUNTIF(D68:I68,"AB")</f>
        <v>1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37.5" hidden="false" customHeight="true" outlineLevel="0" collapsed="false">
      <c r="A69" s="42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4" t="s">
        <v>76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24.75" hidden="false" customHeight="true" outlineLevel="0" collapsed="false">
      <c r="A70" s="45" t="s">
        <v>77</v>
      </c>
      <c r="B70" s="45"/>
      <c r="C70" s="45"/>
      <c r="D70" s="24" t="n">
        <v>58</v>
      </c>
      <c r="E70" s="24" t="n">
        <v>58</v>
      </c>
      <c r="F70" s="24" t="n">
        <v>58</v>
      </c>
      <c r="G70" s="24" t="n">
        <v>58</v>
      </c>
      <c r="H70" s="24" t="n">
        <v>58</v>
      </c>
      <c r="I70" s="24" t="n">
        <v>58</v>
      </c>
      <c r="J70" s="46" t="s">
        <v>78</v>
      </c>
      <c r="K70" s="46" t="n">
        <f aca="false">COUNTIF(K11:K68,"1")</f>
        <v>9</v>
      </c>
      <c r="L70" s="47" t="n">
        <f aca="false">COUNTIF(K11:K68,"0")</f>
        <v>13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24.75" hidden="false" customHeight="true" outlineLevel="0" collapsed="false">
      <c r="A71" s="48" t="s">
        <v>79</v>
      </c>
      <c r="B71" s="48"/>
      <c r="C71" s="48"/>
      <c r="D71" s="24" t="n">
        <f aca="false">COUNT(D11:D68,"!AB")</f>
        <v>44</v>
      </c>
      <c r="E71" s="24" t="n">
        <f aca="false">COUNT(E11:E68,"!AB")</f>
        <v>54</v>
      </c>
      <c r="F71" s="24" t="n">
        <f aca="false">COUNT(F11:F68,"!AB")</f>
        <v>48</v>
      </c>
      <c r="G71" s="24" t="n">
        <f aca="false">COUNT(G11:G68,"!AB")</f>
        <v>55</v>
      </c>
      <c r="H71" s="24" t="n">
        <f aca="false">COUNT(H11:H68,"!AB")</f>
        <v>54</v>
      </c>
      <c r="I71" s="24" t="n">
        <f aca="false">COUNT(I11:I68,"!AB")</f>
        <v>50</v>
      </c>
      <c r="J71" s="46" t="s">
        <v>80</v>
      </c>
      <c r="K71" s="46" t="n">
        <f aca="false">COUNTIF(K12:K68,"2")</f>
        <v>0</v>
      </c>
      <c r="L71" s="47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24.75" hidden="false" customHeight="true" outlineLevel="0" collapsed="false">
      <c r="A72" s="48" t="s">
        <v>81</v>
      </c>
      <c r="B72" s="48"/>
      <c r="C72" s="48"/>
      <c r="D72" s="24" t="n">
        <f aca="false">COUNTIF(D11:D68,"AB")</f>
        <v>14</v>
      </c>
      <c r="E72" s="24" t="n">
        <f aca="false">COUNTIF(E11:E68,"AB")</f>
        <v>4</v>
      </c>
      <c r="F72" s="24" t="n">
        <f aca="false">COUNTIF(F11:F68,"AB")</f>
        <v>10</v>
      </c>
      <c r="G72" s="24" t="n">
        <f aca="false">COUNTIF(G11:G68,"AB")</f>
        <v>3</v>
      </c>
      <c r="H72" s="24" t="n">
        <f aca="false">COUNTIF(H11:H68,"AB")</f>
        <v>4</v>
      </c>
      <c r="I72" s="24" t="n">
        <f aca="false">COUNTIF(I11:I68,"AB")</f>
        <v>8</v>
      </c>
      <c r="J72" s="46" t="s">
        <v>82</v>
      </c>
      <c r="K72" s="46" t="n">
        <f aca="false">COUNTIF(K13:K68,"3")</f>
        <v>2</v>
      </c>
      <c r="L72" s="47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24.75" hidden="false" customHeight="true" outlineLevel="0" collapsed="false">
      <c r="A73" s="48" t="s">
        <v>83</v>
      </c>
      <c r="B73" s="48"/>
      <c r="C73" s="48"/>
      <c r="D73" s="24" t="n">
        <f aca="false">COUNTIF(D11:D68,"OD")</f>
        <v>0</v>
      </c>
      <c r="E73" s="24" t="n">
        <f aca="false">COUNTIF(E11:E68,"OD")</f>
        <v>0</v>
      </c>
      <c r="F73" s="24" t="n">
        <f aca="false">COUNTIF(F11:F68,"OD")</f>
        <v>0</v>
      </c>
      <c r="G73" s="24" t="n">
        <f aca="false">COUNTIF(G11:G68,"OD")</f>
        <v>0</v>
      </c>
      <c r="H73" s="24" t="n">
        <f aca="false">COUNTIF(H11:H68,"OD")</f>
        <v>0</v>
      </c>
      <c r="I73" s="24" t="n">
        <f aca="false">COUNTIF(I11:I68,"OD")</f>
        <v>0</v>
      </c>
      <c r="J73" s="13" t="s">
        <v>84</v>
      </c>
      <c r="K73" s="46" t="n">
        <f aca="false">COUNTIF(K14:K68,"4")</f>
        <v>0</v>
      </c>
      <c r="L73" s="47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24.75" hidden="false" customHeight="true" outlineLevel="0" collapsed="false">
      <c r="A74" s="48" t="s">
        <v>85</v>
      </c>
      <c r="B74" s="48"/>
      <c r="C74" s="48"/>
      <c r="D74" s="24" t="n">
        <f aca="false">COUNTIF(D11:D68,"&gt;=50")</f>
        <v>24</v>
      </c>
      <c r="E74" s="24" t="n">
        <f aca="false">COUNTIF(E11:E68,"&gt;=50")</f>
        <v>18</v>
      </c>
      <c r="F74" s="24" t="n">
        <f aca="false">COUNTIF(F11:F68,"&gt;=50")</f>
        <v>17</v>
      </c>
      <c r="G74" s="24" t="n">
        <f aca="false">COUNTIF(G11:G68,"&gt;=50")</f>
        <v>29</v>
      </c>
      <c r="H74" s="24" t="n">
        <f aca="false">COUNTIF(H11:H68,"&gt;=50")</f>
        <v>23</v>
      </c>
      <c r="I74" s="24" t="n">
        <f aca="false">COUNTIF(I11:I68,"&gt;=50")</f>
        <v>27</v>
      </c>
      <c r="J74" s="46" t="s">
        <v>86</v>
      </c>
      <c r="K74" s="46" t="n">
        <f aca="false">COUNTIF(K15:K68,"5")</f>
        <v>8</v>
      </c>
      <c r="L74" s="47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24.75" hidden="false" customHeight="true" outlineLevel="0" collapsed="false">
      <c r="A75" s="48" t="s">
        <v>87</v>
      </c>
      <c r="B75" s="48"/>
      <c r="C75" s="48"/>
      <c r="D75" s="24" t="n">
        <f aca="false">COUNTIF(D11:D68,"&lt;=49")</f>
        <v>20</v>
      </c>
      <c r="E75" s="24" t="n">
        <f aca="false">COUNTIF(E11:E68,"&lt;=49")</f>
        <v>36</v>
      </c>
      <c r="F75" s="24" t="n">
        <f aca="false">COUNTIF(F11:F68,"&lt;=49")</f>
        <v>31</v>
      </c>
      <c r="G75" s="24" t="n">
        <f aca="false">COUNTIF(G11:G68,"&lt;=49")</f>
        <v>26</v>
      </c>
      <c r="H75" s="24" t="n">
        <f aca="false">COUNTIF(H11:H68,"&lt;=49")</f>
        <v>31</v>
      </c>
      <c r="I75" s="24" t="n">
        <f aca="false">COUNTIF(I11:I68,"&lt;=49")</f>
        <v>23</v>
      </c>
      <c r="J75" s="49" t="s">
        <v>88</v>
      </c>
      <c r="K75" s="46" t="n">
        <f aca="false">COUNTIF(K16:K68,"6")</f>
        <v>24</v>
      </c>
      <c r="L75" s="47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24.75" hidden="false" customHeight="true" outlineLevel="0" collapsed="false">
      <c r="A76" s="50" t="s">
        <v>89</v>
      </c>
      <c r="B76" s="50"/>
      <c r="C76" s="50"/>
      <c r="D76" s="51" t="n">
        <f aca="false">D74/D71</f>
        <v>0.545454545454545</v>
      </c>
      <c r="E76" s="51" t="n">
        <f aca="false">E74/E71</f>
        <v>0.333333333333333</v>
      </c>
      <c r="F76" s="51" t="n">
        <f aca="false">F74/F71</f>
        <v>0.354166666666667</v>
      </c>
      <c r="G76" s="51" t="n">
        <f aca="false">G74/G71</f>
        <v>0.527272727272727</v>
      </c>
      <c r="H76" s="51" t="n">
        <f aca="false">H74/H71</f>
        <v>0.425925925925926</v>
      </c>
      <c r="I76" s="51" t="n">
        <f aca="false">I74/I71</f>
        <v>0.54</v>
      </c>
      <c r="J76" s="46" t="s">
        <v>90</v>
      </c>
      <c r="K76" s="52" t="n">
        <f aca="false">L70/58*100</f>
        <v>22.4137931</v>
      </c>
      <c r="L76" s="47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56.25" hidden="false" customHeight="true" outlineLevel="0" collapsed="false">
      <c r="A77" s="53" t="s">
        <v>91</v>
      </c>
      <c r="B77" s="54" t="s">
        <v>92</v>
      </c>
      <c r="C77" s="55" t="s">
        <v>93</v>
      </c>
      <c r="D77" s="56" t="s">
        <v>94</v>
      </c>
      <c r="E77" s="57"/>
      <c r="F77" s="58" t="s">
        <v>95</v>
      </c>
      <c r="G77" s="57"/>
      <c r="H77" s="59"/>
      <c r="I77" s="60" t="s">
        <v>96</v>
      </c>
      <c r="J77" s="61"/>
      <c r="K77" s="62" t="s">
        <v>97</v>
      </c>
      <c r="L77" s="63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56.25" hidden="false" customHeight="true" outlineLevel="0" collapsed="false">
      <c r="A78" s="64" t="n">
        <v>1</v>
      </c>
      <c r="B78" s="65" t="s">
        <v>98</v>
      </c>
      <c r="C78" s="66" t="s">
        <v>99</v>
      </c>
      <c r="D78" s="67" t="n">
        <f aca="false">D71</f>
        <v>44</v>
      </c>
      <c r="E78" s="68"/>
      <c r="F78" s="69" t="n">
        <f aca="false">D72</f>
        <v>14</v>
      </c>
      <c r="G78" s="68"/>
      <c r="H78" s="70"/>
      <c r="I78" s="69" t="n">
        <f aca="false">D74</f>
        <v>24</v>
      </c>
      <c r="J78" s="71"/>
      <c r="K78" s="72" t="n">
        <f aca="false">I78/D78*100</f>
        <v>54.5454545454545</v>
      </c>
      <c r="L78" s="63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39.75" hidden="false" customHeight="true" outlineLevel="0" collapsed="false">
      <c r="A79" s="64" t="n">
        <v>2</v>
      </c>
      <c r="B79" s="65" t="s">
        <v>100</v>
      </c>
      <c r="C79" s="66" t="s">
        <v>101</v>
      </c>
      <c r="D79" s="73" t="n">
        <f aca="false">E71</f>
        <v>54</v>
      </c>
      <c r="E79" s="68"/>
      <c r="F79" s="69" t="n">
        <f aca="false">E72</f>
        <v>4</v>
      </c>
      <c r="G79" s="68"/>
      <c r="H79" s="70"/>
      <c r="I79" s="69" t="n">
        <f aca="false">E74</f>
        <v>18</v>
      </c>
      <c r="J79" s="71"/>
      <c r="K79" s="72" t="n">
        <f aca="false">I79/D79*100</f>
        <v>33.3333333333333</v>
      </c>
      <c r="L79" s="63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45" hidden="false" customHeight="true" outlineLevel="0" collapsed="false">
      <c r="A80" s="64" t="n">
        <v>3</v>
      </c>
      <c r="B80" s="65" t="s">
        <v>102</v>
      </c>
      <c r="C80" s="66" t="s">
        <v>103</v>
      </c>
      <c r="D80" s="67" t="n">
        <f aca="false">F71</f>
        <v>48</v>
      </c>
      <c r="E80" s="68"/>
      <c r="F80" s="69" t="n">
        <f aca="false">F72</f>
        <v>10</v>
      </c>
      <c r="G80" s="68"/>
      <c r="H80" s="70"/>
      <c r="I80" s="69" t="n">
        <f aca="false">F74</f>
        <v>17</v>
      </c>
      <c r="J80" s="71"/>
      <c r="K80" s="74" t="n">
        <f aca="false">I80/D80*100</f>
        <v>35.4166666666667</v>
      </c>
      <c r="L80" s="63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60.75" hidden="false" customHeight="true" outlineLevel="0" collapsed="false">
      <c r="A81" s="64" t="n">
        <v>4</v>
      </c>
      <c r="B81" s="75" t="s">
        <v>104</v>
      </c>
      <c r="C81" s="66" t="s">
        <v>105</v>
      </c>
      <c r="D81" s="67" t="n">
        <f aca="false">G71</f>
        <v>55</v>
      </c>
      <c r="E81" s="68"/>
      <c r="F81" s="69" t="n">
        <f aca="false">G72</f>
        <v>3</v>
      </c>
      <c r="G81" s="68"/>
      <c r="H81" s="70"/>
      <c r="I81" s="69" t="n">
        <f aca="false">G74</f>
        <v>29</v>
      </c>
      <c r="J81" s="71"/>
      <c r="K81" s="74" t="n">
        <f aca="false">I81/D81*100</f>
        <v>52.7272727272727</v>
      </c>
      <c r="L81" s="63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45" hidden="false" customHeight="true" outlineLevel="0" collapsed="false">
      <c r="A82" s="64" t="n">
        <v>5</v>
      </c>
      <c r="B82" s="65" t="s">
        <v>106</v>
      </c>
      <c r="C82" s="66" t="s">
        <v>107</v>
      </c>
      <c r="D82" s="67" t="n">
        <f aca="false">H71</f>
        <v>54</v>
      </c>
      <c r="E82" s="68"/>
      <c r="F82" s="69" t="n">
        <f aca="false">H72</f>
        <v>4</v>
      </c>
      <c r="G82" s="68"/>
      <c r="H82" s="70"/>
      <c r="I82" s="69" t="n">
        <f aca="false">H74</f>
        <v>23</v>
      </c>
      <c r="J82" s="71"/>
      <c r="K82" s="74" t="n">
        <f aca="false">I82/D82*100</f>
        <v>42.5925925925926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57.75" hidden="false" customHeight="true" outlineLevel="0" collapsed="false">
      <c r="A83" s="76" t="n">
        <v>6</v>
      </c>
      <c r="B83" s="65" t="s">
        <v>108</v>
      </c>
      <c r="C83" s="66" t="s">
        <v>109</v>
      </c>
      <c r="D83" s="69" t="n">
        <f aca="false">I71</f>
        <v>50</v>
      </c>
      <c r="E83" s="68"/>
      <c r="F83" s="69" t="n">
        <f aca="false">I72</f>
        <v>8</v>
      </c>
      <c r="G83" s="68"/>
      <c r="H83" s="77"/>
      <c r="I83" s="69" t="n">
        <f aca="false">I74</f>
        <v>27</v>
      </c>
      <c r="J83" s="71"/>
      <c r="K83" s="74" t="n">
        <f aca="false">I83/D83*100</f>
        <v>54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78"/>
      <c r="C84" s="79"/>
      <c r="D84" s="78"/>
      <c r="E84" s="78"/>
      <c r="F84" s="78"/>
      <c r="G84" s="78"/>
      <c r="H84" s="78"/>
      <c r="I84" s="78"/>
      <c r="J84" s="78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80" t="s">
        <v>110</v>
      </c>
      <c r="C118" s="80"/>
      <c r="D118" s="2"/>
      <c r="F118" s="81" t="s">
        <v>111</v>
      </c>
      <c r="G118" s="81"/>
      <c r="H118" s="81"/>
      <c r="I118" s="82" t="s">
        <v>112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" hidden="false" customHeight="true" outlineLevel="0" collapsed="false">
      <c r="B988" s="2"/>
      <c r="C988" s="3"/>
      <c r="D988" s="2"/>
      <c r="E988" s="2"/>
      <c r="F988" s="2"/>
      <c r="G988" s="2"/>
      <c r="H988" s="2"/>
      <c r="I988" s="2"/>
      <c r="J988" s="2"/>
      <c r="K988" s="2"/>
    </row>
  </sheetData>
  <mergeCells count="16">
    <mergeCell ref="A7:J7"/>
    <mergeCell ref="A9:A10"/>
    <mergeCell ref="B9:B10"/>
    <mergeCell ref="C9:C10"/>
    <mergeCell ref="J9:J10"/>
    <mergeCell ref="K9:K10"/>
    <mergeCell ref="L9:L10"/>
    <mergeCell ref="A70:C70"/>
    <mergeCell ref="L70:L76"/>
    <mergeCell ref="A71:C71"/>
    <mergeCell ref="A72:C72"/>
    <mergeCell ref="A73:C73"/>
    <mergeCell ref="A74:C74"/>
    <mergeCell ref="A75:C75"/>
    <mergeCell ref="A76:C76"/>
    <mergeCell ref="B118:C118"/>
  </mergeCells>
  <conditionalFormatting sqref="J11:J68 J70:J72 J74:J76">
    <cfRule type="cellIs" priority="2" operator="lessThan" aboveAverage="0" equalAverage="0" bottom="0" percent="0" rank="0" text="" dxfId="2">
      <formula>50</formula>
    </cfRule>
  </conditionalFormatting>
  <conditionalFormatting sqref="J11:J68 J70:J72 J74:J76">
    <cfRule type="cellIs" priority="3" operator="equal" aboveAverage="0" equalAverage="0" bottom="0" percent="0" rank="0" text="" dxfId="2">
      <formula>"AB"</formula>
    </cfRule>
  </conditionalFormatting>
  <printOptions headings="false" gridLines="true" gridLinesSet="true" horizontalCentered="true" verticalCentered="false"/>
  <pageMargins left="0.7" right="0.7" top="0.75" bottom="0.75" header="0.511811023622047" footer="0.511811023622047"/>
  <pageSetup paperSize="1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76" man="true" max="16383" min="0"/>
    <brk id="84" man="true" max="16383" min="0"/>
  </rowBreaks>
  <colBreaks count="1" manualBreakCount="1">
    <brk id="12" man="true" max="65535" min="0"/>
  </colBreaks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Y1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6.51"/>
    <col collapsed="false" customWidth="true" hidden="false" outlineLevel="0" max="2" min="2" style="0" width="13.25"/>
    <col collapsed="false" customWidth="true" hidden="false" outlineLevel="0" max="3" min="3" style="0" width="17.63"/>
    <col collapsed="false" customWidth="true" hidden="false" outlineLevel="0" max="4" min="4" style="0" width="18.88"/>
    <col collapsed="false" customWidth="true" hidden="false" outlineLevel="0" max="5" min="5" style="0" width="13.13"/>
    <col collapsed="false" customWidth="true" hidden="false" outlineLevel="0" max="6" min="6" style="0" width="10.75"/>
    <col collapsed="false" customWidth="true" hidden="false" outlineLevel="0" max="8" min="7" style="0" width="12"/>
    <col collapsed="false" customWidth="true" hidden="false" outlineLevel="0" max="9" min="9" style="0" width="10.51"/>
    <col collapsed="false" customWidth="true" hidden="false" outlineLevel="0" max="10" min="10" style="0" width="11.12"/>
    <col collapsed="false" customWidth="true" hidden="false" outlineLevel="0" max="11" min="11" style="0" width="7.5"/>
    <col collapsed="false" customWidth="true" hidden="false" outlineLevel="0" max="12" min="12" style="0" width="8.88"/>
  </cols>
  <sheetData>
    <row r="1" customFormat="false" ht="15.75" hidden="false" customHeight="true" outlineLevel="0" collapsed="false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5.75" hidden="false" customHeight="true" outlineLevel="0" collapsed="false">
      <c r="A2" s="2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5.75" hidden="false" customHeight="true" outlineLevel="0" collapsed="false">
      <c r="A3" s="2"/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15.75" hidden="false" customHeight="true" outlineLevel="0" collapsed="false">
      <c r="A4" s="2"/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customFormat="false" ht="15.75" hidden="false" customHeight="true" outlineLevel="0" collapsed="false">
      <c r="A5" s="2"/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customFormat="false" ht="15.75" hidden="false" customHeight="true" outlineLevel="0" collapsed="false">
      <c r="A6" s="2"/>
      <c r="B6" s="2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customFormat="false" ht="15.75" hidden="false" customHeight="true" outlineLevel="0" collapsed="false">
      <c r="A7" s="4" t="s">
        <v>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customFormat="false" ht="27" hidden="false" customHeight="true" outlineLevel="0" collapsed="false">
      <c r="A8" s="6" t="s">
        <v>1</v>
      </c>
      <c r="B8" s="6"/>
      <c r="C8" s="7"/>
      <c r="D8" s="8"/>
      <c r="E8" s="9" t="s">
        <v>2</v>
      </c>
      <c r="F8" s="9"/>
      <c r="G8" s="9"/>
      <c r="H8" s="9"/>
      <c r="I8" s="83" t="s">
        <v>113</v>
      </c>
      <c r="J8" s="9" t="s">
        <v>114</v>
      </c>
      <c r="K8" s="84"/>
      <c r="L8" s="85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customFormat="false" ht="81.75" hidden="false" customHeight="true" outlineLevel="0" collapsed="false">
      <c r="A9" s="86" t="s">
        <v>5</v>
      </c>
      <c r="B9" s="86" t="s">
        <v>6</v>
      </c>
      <c r="C9" s="87" t="s">
        <v>7</v>
      </c>
      <c r="D9" s="17" t="s">
        <v>115</v>
      </c>
      <c r="E9" s="88" t="s">
        <v>116</v>
      </c>
      <c r="F9" s="17" t="s">
        <v>117</v>
      </c>
      <c r="G9" s="17" t="s">
        <v>118</v>
      </c>
      <c r="H9" s="17" t="s">
        <v>119</v>
      </c>
      <c r="I9" s="17" t="s">
        <v>120</v>
      </c>
      <c r="J9" s="88" t="s">
        <v>8</v>
      </c>
      <c r="K9" s="89" t="s">
        <v>9</v>
      </c>
      <c r="L9" s="16" t="s">
        <v>10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customFormat="false" ht="24.75" hidden="false" customHeight="true" outlineLevel="0" collapsed="false">
      <c r="A10" s="19" t="n">
        <v>1</v>
      </c>
      <c r="B10" s="20" t="n">
        <v>511522104001</v>
      </c>
      <c r="C10" s="90" t="s">
        <v>121</v>
      </c>
      <c r="D10" s="24" t="s">
        <v>24</v>
      </c>
      <c r="E10" s="24"/>
      <c r="F10" s="91"/>
      <c r="G10" s="24"/>
      <c r="H10" s="24" t="n">
        <v>5</v>
      </c>
      <c r="I10" s="15" t="s">
        <v>24</v>
      </c>
      <c r="J10" s="19" t="n">
        <f aca="false">SUM(D10:I10)</f>
        <v>5</v>
      </c>
      <c r="K10" s="19" t="n">
        <f aca="false">COUNTIF(D10:I10,"&lt;=49")+COUNTIF(D11:I11,"AB")</f>
        <v>1</v>
      </c>
      <c r="L10" s="19" t="n">
        <f aca="false">COUNTIF(D10:I10,"AB")</f>
        <v>2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customFormat="false" ht="24.75" hidden="false" customHeight="true" outlineLevel="0" collapsed="false">
      <c r="A11" s="19" t="n">
        <v>2</v>
      </c>
      <c r="B11" s="20" t="n">
        <v>511522104002</v>
      </c>
      <c r="C11" s="90" t="s">
        <v>122</v>
      </c>
      <c r="D11" s="27" t="n">
        <v>63</v>
      </c>
      <c r="E11" s="24"/>
      <c r="F11" s="91"/>
      <c r="G11" s="27"/>
      <c r="H11" s="15" t="n">
        <v>29</v>
      </c>
      <c r="I11" s="15" t="n">
        <v>46</v>
      </c>
      <c r="J11" s="19" t="n">
        <f aca="false">SUM(D11:I11)</f>
        <v>138</v>
      </c>
      <c r="K11" s="19" t="n">
        <f aca="false">COUNTIF(D11:I11,"&lt;=49")+COUNTIF(D12:I12,"AB")</f>
        <v>2</v>
      </c>
      <c r="L11" s="19" t="n">
        <f aca="false">COUNTIF(E11:J11,"AB")</f>
        <v>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customFormat="false" ht="24.75" hidden="false" customHeight="true" outlineLevel="0" collapsed="false">
      <c r="A12" s="19" t="n">
        <v>3</v>
      </c>
      <c r="B12" s="20" t="n">
        <v>511522104003</v>
      </c>
      <c r="C12" s="90" t="s">
        <v>123</v>
      </c>
      <c r="D12" s="27" t="n">
        <v>74</v>
      </c>
      <c r="E12" s="24"/>
      <c r="F12" s="92"/>
      <c r="G12" s="27"/>
      <c r="H12" s="24" t="n">
        <v>37</v>
      </c>
      <c r="I12" s="15" t="n">
        <v>51</v>
      </c>
      <c r="J12" s="19" t="n">
        <f aca="false">SUM(D12:I12)</f>
        <v>162</v>
      </c>
      <c r="K12" s="19" t="n">
        <f aca="false">COUNTIF(D12:I12,"&lt;=49")+COUNTIF(D13:I13,"AB")</f>
        <v>4</v>
      </c>
      <c r="L12" s="19" t="n">
        <f aca="false">COUNTIF(E12:J12,"AB")</f>
        <v>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customFormat="false" ht="24.75" hidden="false" customHeight="true" outlineLevel="0" collapsed="false">
      <c r="A13" s="19" t="n">
        <v>4</v>
      </c>
      <c r="B13" s="20" t="n">
        <v>511522104004</v>
      </c>
      <c r="C13" s="90" t="s">
        <v>124</v>
      </c>
      <c r="D13" s="27" t="s">
        <v>24</v>
      </c>
      <c r="E13" s="24"/>
      <c r="F13" s="91"/>
      <c r="G13" s="27"/>
      <c r="H13" s="24" t="s">
        <v>24</v>
      </c>
      <c r="I13" s="15" t="s">
        <v>24</v>
      </c>
      <c r="J13" s="19" t="n">
        <f aca="false">SUM(D13:I13)</f>
        <v>0</v>
      </c>
      <c r="K13" s="19" t="n">
        <f aca="false">COUNTIF(D13:I13,"&lt;=49")+COUNTIF(D14:I14,"AB")</f>
        <v>0</v>
      </c>
      <c r="L13" s="19" t="n">
        <f aca="false">COUNTIF(E13:J13,"AB")</f>
        <v>2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customFormat="false" ht="24.75" hidden="false" customHeight="true" outlineLevel="0" collapsed="false">
      <c r="A14" s="19" t="n">
        <v>5</v>
      </c>
      <c r="B14" s="20" t="n">
        <v>511522101006</v>
      </c>
      <c r="C14" s="90" t="s">
        <v>125</v>
      </c>
      <c r="D14" s="24" t="n">
        <v>79</v>
      </c>
      <c r="E14" s="24"/>
      <c r="F14" s="91"/>
      <c r="G14" s="27"/>
      <c r="H14" s="36" t="n">
        <v>31</v>
      </c>
      <c r="I14" s="15" t="n">
        <v>35</v>
      </c>
      <c r="J14" s="19" t="n">
        <f aca="false">SUM(D14:I14)</f>
        <v>145</v>
      </c>
      <c r="K14" s="19" t="n">
        <f aca="false">COUNTIF(D14:I14,"&lt;=49")+COUNTIF(D15:I15,"AB")</f>
        <v>2</v>
      </c>
      <c r="L14" s="19" t="n">
        <f aca="false">COUNTIF(E14:J14,"AB")</f>
        <v>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customFormat="false" ht="23.25" hidden="false" customHeight="true" outlineLevel="0" collapsed="false">
      <c r="A15" s="19" t="n">
        <v>6</v>
      </c>
      <c r="B15" s="20" t="n">
        <v>511522104007</v>
      </c>
      <c r="C15" s="90" t="s">
        <v>126</v>
      </c>
      <c r="D15" s="27" t="n">
        <v>27</v>
      </c>
      <c r="E15" s="24"/>
      <c r="F15" s="91"/>
      <c r="G15" s="27"/>
      <c r="H15" s="24" t="n">
        <v>21</v>
      </c>
      <c r="I15" s="15" t="n">
        <v>41</v>
      </c>
      <c r="J15" s="19" t="n">
        <f aca="false">SUM(D15:I15)</f>
        <v>89</v>
      </c>
      <c r="K15" s="19" t="n">
        <f aca="false">COUNTIF(D15:I15,"&lt;=49")+COUNTIF(D16:I16,"AB")</f>
        <v>3</v>
      </c>
      <c r="L15" s="19" t="n">
        <f aca="false">COUNTIF(E15:J15,"AB")</f>
        <v>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customFormat="false" ht="24.75" hidden="false" customHeight="true" outlineLevel="0" collapsed="false">
      <c r="A16" s="19" t="n">
        <v>7</v>
      </c>
      <c r="B16" s="20" t="n">
        <v>511522104008</v>
      </c>
      <c r="C16" s="90" t="s">
        <v>127</v>
      </c>
      <c r="D16" s="27" t="n">
        <v>82</v>
      </c>
      <c r="E16" s="24"/>
      <c r="F16" s="92"/>
      <c r="G16" s="27"/>
      <c r="H16" s="15" t="n">
        <v>55</v>
      </c>
      <c r="I16" s="15" t="n">
        <v>64</v>
      </c>
      <c r="J16" s="19" t="n">
        <f aca="false">SUM(D16:I16)</f>
        <v>201</v>
      </c>
      <c r="K16" s="19" t="n">
        <f aca="false">COUNTIF(D16:I16,"&lt;=49")+COUNTIF(D17:I17,"AB")</f>
        <v>0</v>
      </c>
      <c r="L16" s="19" t="n">
        <f aca="false">COUNTIF(E16:J16,"AB")</f>
        <v>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customFormat="false" ht="24.75" hidden="false" customHeight="true" outlineLevel="0" collapsed="false">
      <c r="A17" s="19" t="n">
        <v>8</v>
      </c>
      <c r="B17" s="20" t="n">
        <v>511522104009</v>
      </c>
      <c r="C17" s="90" t="s">
        <v>128</v>
      </c>
      <c r="D17" s="24" t="n">
        <v>18</v>
      </c>
      <c r="E17" s="24"/>
      <c r="F17" s="91"/>
      <c r="G17" s="27"/>
      <c r="H17" s="24" t="n">
        <v>6</v>
      </c>
      <c r="I17" s="24" t="n">
        <v>7</v>
      </c>
      <c r="J17" s="19" t="n">
        <f aca="false">SUM(D17:I17)</f>
        <v>31</v>
      </c>
      <c r="K17" s="19" t="n">
        <f aca="false">COUNTIF(D17:I17,"&lt;=49")+COUNTIF(D18:I18,"AB")</f>
        <v>3</v>
      </c>
      <c r="L17" s="19" t="n">
        <f aca="false">COUNTIF(E17:J17,"AB")</f>
        <v>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customFormat="false" ht="24.75" hidden="false" customHeight="true" outlineLevel="0" collapsed="false">
      <c r="A18" s="19" t="n">
        <v>9</v>
      </c>
      <c r="B18" s="20" t="n">
        <v>511522104010</v>
      </c>
      <c r="C18" s="90" t="s">
        <v>129</v>
      </c>
      <c r="D18" s="27" t="n">
        <v>50</v>
      </c>
      <c r="E18" s="24"/>
      <c r="F18" s="91"/>
      <c r="G18" s="27"/>
      <c r="H18" s="24" t="n">
        <v>18</v>
      </c>
      <c r="I18" s="15" t="n">
        <v>38</v>
      </c>
      <c r="J18" s="19" t="n">
        <f aca="false">SUM(D18:I18)</f>
        <v>106</v>
      </c>
      <c r="K18" s="19" t="n">
        <f aca="false">COUNTIF(D18:I18,"&lt;=49")+COUNTIF(D19:I19,"AB")</f>
        <v>2</v>
      </c>
      <c r="L18" s="19" t="n">
        <f aca="false">COUNTIF(E18:J18,"AB")</f>
        <v>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customFormat="false" ht="24.75" hidden="false" customHeight="true" outlineLevel="0" collapsed="false">
      <c r="A19" s="19" t="n">
        <v>10</v>
      </c>
      <c r="B19" s="20" t="n">
        <v>511522104011</v>
      </c>
      <c r="C19" s="90" t="s">
        <v>130</v>
      </c>
      <c r="D19" s="27" t="n">
        <v>24</v>
      </c>
      <c r="E19" s="24"/>
      <c r="F19" s="91"/>
      <c r="G19" s="27"/>
      <c r="H19" s="24" t="n">
        <v>15</v>
      </c>
      <c r="I19" s="15" t="n">
        <v>30</v>
      </c>
      <c r="J19" s="19" t="n">
        <f aca="false">SUM(D19:I19)</f>
        <v>69</v>
      </c>
      <c r="K19" s="19" t="n">
        <f aca="false">COUNTIF(D19:I19,"&lt;=49")+COUNTIF(D20:I20,"AB")</f>
        <v>3</v>
      </c>
      <c r="L19" s="19" t="n">
        <f aca="false">COUNTIF(E19:J19,"AB")</f>
        <v>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customFormat="false" ht="24.75" hidden="false" customHeight="true" outlineLevel="0" collapsed="false">
      <c r="A20" s="19" t="n">
        <v>11</v>
      </c>
      <c r="B20" s="20" t="n">
        <v>511522104012</v>
      </c>
      <c r="C20" s="90" t="s">
        <v>131</v>
      </c>
      <c r="D20" s="27" t="n">
        <v>55</v>
      </c>
      <c r="E20" s="24"/>
      <c r="F20" s="91"/>
      <c r="G20" s="27"/>
      <c r="H20" s="36" t="n">
        <v>26</v>
      </c>
      <c r="I20" s="15" t="n">
        <v>35</v>
      </c>
      <c r="J20" s="19" t="n">
        <f aca="false">SUM(D20:I20)</f>
        <v>116</v>
      </c>
      <c r="K20" s="19" t="n">
        <f aca="false">COUNTIF(D20:I20,"&lt;=49")+COUNTIF(D21:I21,"AB")</f>
        <v>2</v>
      </c>
      <c r="L20" s="19" t="n">
        <f aca="false">COUNTIF(E20:J20,"AB")</f>
        <v>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customFormat="false" ht="24.75" hidden="false" customHeight="true" outlineLevel="0" collapsed="false">
      <c r="A21" s="19" t="n">
        <v>12</v>
      </c>
      <c r="B21" s="20" t="n">
        <v>511522104013</v>
      </c>
      <c r="C21" s="90" t="s">
        <v>132</v>
      </c>
      <c r="D21" s="27" t="n">
        <v>81</v>
      </c>
      <c r="E21" s="24"/>
      <c r="F21" s="92"/>
      <c r="G21" s="27"/>
      <c r="H21" s="24" t="n">
        <v>50</v>
      </c>
      <c r="I21" s="24" t="n">
        <v>53</v>
      </c>
      <c r="J21" s="19" t="n">
        <f aca="false">SUM(D21:I21)</f>
        <v>184</v>
      </c>
      <c r="K21" s="19" t="n">
        <f aca="false">COUNTIF(D21:I21,"&lt;=49")+COUNTIF(D22:I22,"AB")</f>
        <v>0</v>
      </c>
      <c r="L21" s="19" t="n">
        <f aca="false">COUNTIF(E21:J21,"AB")</f>
        <v>0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customFormat="false" ht="24.75" hidden="false" customHeight="true" outlineLevel="0" collapsed="false">
      <c r="A22" s="19" t="n">
        <v>13</v>
      </c>
      <c r="B22" s="20" t="n">
        <v>511522104014</v>
      </c>
      <c r="C22" s="90" t="s">
        <v>133</v>
      </c>
      <c r="D22" s="27" t="n">
        <v>32</v>
      </c>
      <c r="E22" s="24"/>
      <c r="F22" s="91"/>
      <c r="G22" s="27"/>
      <c r="H22" s="24" t="n">
        <v>9</v>
      </c>
      <c r="I22" s="24" t="n">
        <v>20</v>
      </c>
      <c r="J22" s="19" t="n">
        <f aca="false">SUM(D22:I22)</f>
        <v>61</v>
      </c>
      <c r="K22" s="19" t="n">
        <f aca="false">COUNTIF(D22:I22,"&lt;=49")+COUNTIF(D23:I23,"AB")</f>
        <v>3</v>
      </c>
      <c r="L22" s="19" t="n">
        <f aca="false">COUNTIF(E22:J22,"AB")</f>
        <v>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customFormat="false" ht="24.75" hidden="false" customHeight="true" outlineLevel="0" collapsed="false">
      <c r="A23" s="19" t="n">
        <v>14</v>
      </c>
      <c r="B23" s="20" t="n">
        <v>511522104015</v>
      </c>
      <c r="C23" s="90" t="s">
        <v>134</v>
      </c>
      <c r="D23" s="27" t="n">
        <v>36</v>
      </c>
      <c r="E23" s="24"/>
      <c r="F23" s="91"/>
      <c r="G23" s="27"/>
      <c r="H23" s="93" t="n">
        <v>23</v>
      </c>
      <c r="I23" s="24" t="n">
        <v>27</v>
      </c>
      <c r="J23" s="19" t="n">
        <f aca="false">SUM(D23:I23)</f>
        <v>86</v>
      </c>
      <c r="K23" s="19" t="n">
        <f aca="false">COUNTIF(D23:I23,"&lt;=49")+COUNTIF(D24:I24,"AB")</f>
        <v>6</v>
      </c>
      <c r="L23" s="19" t="n">
        <f aca="false">COUNTIF(E23:J23,"AB")</f>
        <v>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customFormat="false" ht="24.75" hidden="false" customHeight="true" outlineLevel="0" collapsed="false">
      <c r="A24" s="19" t="n">
        <v>15</v>
      </c>
      <c r="B24" s="20" t="n">
        <v>511522104016</v>
      </c>
      <c r="C24" s="90" t="s">
        <v>135</v>
      </c>
      <c r="D24" s="27" t="s">
        <v>24</v>
      </c>
      <c r="E24" s="24"/>
      <c r="F24" s="91"/>
      <c r="G24" s="27"/>
      <c r="H24" s="24" t="s">
        <v>24</v>
      </c>
      <c r="I24" s="24" t="s">
        <v>24</v>
      </c>
      <c r="J24" s="19" t="n">
        <f aca="false">SUM(D24:I24)</f>
        <v>0</v>
      </c>
      <c r="K24" s="19" t="n">
        <f aca="false">COUNTIF(D24:I24,"&lt;=49")+COUNTIF(D25:I25,"AB")</f>
        <v>0</v>
      </c>
      <c r="L24" s="19" t="n">
        <f aca="false">COUNTIF(E24:J24,"AB")</f>
        <v>2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customFormat="false" ht="24.75" hidden="false" customHeight="true" outlineLevel="0" collapsed="false">
      <c r="A25" s="19" t="n">
        <v>16</v>
      </c>
      <c r="B25" s="20" t="n">
        <v>511522104017</v>
      </c>
      <c r="C25" s="90" t="s">
        <v>136</v>
      </c>
      <c r="D25" s="27" t="n">
        <v>77</v>
      </c>
      <c r="E25" s="24"/>
      <c r="F25" s="92"/>
      <c r="G25" s="27"/>
      <c r="H25" s="24" t="n">
        <v>36</v>
      </c>
      <c r="I25" s="24" t="n">
        <v>43</v>
      </c>
      <c r="J25" s="19" t="n">
        <f aca="false">SUM(D25:I25)</f>
        <v>156</v>
      </c>
      <c r="K25" s="19" t="n">
        <f aca="false">COUNTIF(D25:I25,"&lt;=49")+COUNTIF(D26:I26,"AB")</f>
        <v>3</v>
      </c>
      <c r="L25" s="19" t="n">
        <f aca="false">COUNTIF(E25:J25,"AB")</f>
        <v>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customFormat="false" ht="24.75" hidden="false" customHeight="true" outlineLevel="0" collapsed="false">
      <c r="A26" s="19" t="n">
        <v>17</v>
      </c>
      <c r="B26" s="20" t="n">
        <v>511522104018</v>
      </c>
      <c r="C26" s="90" t="s">
        <v>137</v>
      </c>
      <c r="D26" s="27" t="n">
        <v>39</v>
      </c>
      <c r="E26" s="24"/>
      <c r="F26" s="91"/>
      <c r="G26" s="27"/>
      <c r="H26" s="24" t="s">
        <v>24</v>
      </c>
      <c r="I26" s="24" t="n">
        <v>33</v>
      </c>
      <c r="J26" s="19" t="n">
        <f aca="false">SUM(D26:I26)</f>
        <v>72</v>
      </c>
      <c r="K26" s="19" t="n">
        <f aca="false">COUNTIF(D26:I26,"&lt;=49")+COUNTIF(D27:I27,"AB")</f>
        <v>2</v>
      </c>
      <c r="L26" s="19" t="n">
        <f aca="false">COUNTIF(E26:J26,"AB")</f>
        <v>1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customFormat="false" ht="24.75" hidden="false" customHeight="true" outlineLevel="0" collapsed="false">
      <c r="A27" s="19" t="n">
        <v>18</v>
      </c>
      <c r="B27" s="20" t="n">
        <v>511522104020</v>
      </c>
      <c r="C27" s="90" t="s">
        <v>138</v>
      </c>
      <c r="D27" s="24" t="n">
        <v>22</v>
      </c>
      <c r="E27" s="24"/>
      <c r="F27" s="91"/>
      <c r="G27" s="27"/>
      <c r="H27" s="24" t="n">
        <v>14</v>
      </c>
      <c r="I27" s="15" t="n">
        <v>25</v>
      </c>
      <c r="J27" s="19" t="n">
        <f aca="false">SUM(D27:I27)</f>
        <v>61</v>
      </c>
      <c r="K27" s="19" t="n">
        <f aca="false">COUNTIF(D27:I27,"&lt;=49")+COUNTIF(D28:I28,"AB")</f>
        <v>3</v>
      </c>
      <c r="L27" s="19" t="n">
        <f aca="false">COUNTIF(E27:J27,"AB")</f>
        <v>0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customFormat="false" ht="24.75" hidden="false" customHeight="true" outlineLevel="0" collapsed="false">
      <c r="A28" s="19" t="n">
        <v>19</v>
      </c>
      <c r="B28" s="20" t="n">
        <v>511522104021</v>
      </c>
      <c r="C28" s="90" t="s">
        <v>139</v>
      </c>
      <c r="D28" s="27" t="n">
        <v>56</v>
      </c>
      <c r="E28" s="24"/>
      <c r="F28" s="91"/>
      <c r="G28" s="27"/>
      <c r="H28" s="24" t="n">
        <v>20</v>
      </c>
      <c r="I28" s="24" t="n">
        <v>44</v>
      </c>
      <c r="J28" s="19" t="n">
        <f aca="false">SUM(D28:I28)</f>
        <v>120</v>
      </c>
      <c r="K28" s="19" t="n">
        <f aca="false">COUNTIF(D28:I28,"&lt;=49")+COUNTIF(D29:I29,"AB")</f>
        <v>2</v>
      </c>
      <c r="L28" s="19" t="n">
        <f aca="false">COUNTIF(E28:J28,"AB")</f>
        <v>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customFormat="false" ht="24.75" hidden="false" customHeight="true" outlineLevel="0" collapsed="false">
      <c r="A29" s="19" t="n">
        <v>20</v>
      </c>
      <c r="B29" s="20" t="n">
        <v>511522104022</v>
      </c>
      <c r="C29" s="90" t="s">
        <v>140</v>
      </c>
      <c r="D29" s="27" t="n">
        <v>74</v>
      </c>
      <c r="E29" s="24"/>
      <c r="F29" s="92"/>
      <c r="G29" s="27"/>
      <c r="H29" s="27" t="n">
        <v>54</v>
      </c>
      <c r="I29" s="24" t="n">
        <v>53</v>
      </c>
      <c r="J29" s="19" t="n">
        <f aca="false">SUM(D29:I29)</f>
        <v>181</v>
      </c>
      <c r="K29" s="19" t="n">
        <f aca="false">COUNTIF(D29:I29,"&lt;=49")+COUNTIF(D30:I30,"AB")</f>
        <v>0</v>
      </c>
      <c r="L29" s="19" t="n">
        <f aca="false">COUNTIF(E29:J29,"AB")</f>
        <v>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customFormat="false" ht="24.75" hidden="false" customHeight="true" outlineLevel="0" collapsed="false">
      <c r="A30" s="19" t="n">
        <v>21</v>
      </c>
      <c r="B30" s="20" t="n">
        <v>511522104023</v>
      </c>
      <c r="C30" s="90" t="s">
        <v>141</v>
      </c>
      <c r="D30" s="27" t="n">
        <v>80</v>
      </c>
      <c r="E30" s="24"/>
      <c r="F30" s="92"/>
      <c r="G30" s="27"/>
      <c r="H30" s="36" t="n">
        <v>53</v>
      </c>
      <c r="I30" s="15" t="n">
        <v>59</v>
      </c>
      <c r="J30" s="19" t="n">
        <f aca="false">SUM(D30:I30)</f>
        <v>192</v>
      </c>
      <c r="K30" s="19" t="n">
        <f aca="false">COUNTIF(D30:I30,"&lt;=49")+COUNTIF(D31:I31,"AB")</f>
        <v>0</v>
      </c>
      <c r="L30" s="19" t="n">
        <f aca="false">COUNTIF(E30:J30,"AB")</f>
        <v>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customFormat="false" ht="24.75" hidden="false" customHeight="true" outlineLevel="0" collapsed="false">
      <c r="A31" s="19" t="n">
        <v>22</v>
      </c>
      <c r="B31" s="20" t="n">
        <v>511522104025</v>
      </c>
      <c r="C31" s="90" t="s">
        <v>142</v>
      </c>
      <c r="D31" s="27" t="n">
        <v>37</v>
      </c>
      <c r="E31" s="24"/>
      <c r="F31" s="92"/>
      <c r="G31" s="27"/>
      <c r="H31" s="24" t="n">
        <v>27</v>
      </c>
      <c r="I31" s="15" t="n">
        <v>11</v>
      </c>
      <c r="J31" s="19" t="n">
        <f aca="false">SUM(D31:I31)</f>
        <v>75</v>
      </c>
      <c r="K31" s="19" t="n">
        <f aca="false">COUNTIF(D31:I31,"&lt;=49")+COUNTIF(D32:I32,"AB")</f>
        <v>3</v>
      </c>
      <c r="L31" s="19" t="n">
        <f aca="false">COUNTIF(E31:J31,"AB")</f>
        <v>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customFormat="false" ht="24.75" hidden="false" customHeight="true" outlineLevel="0" collapsed="false">
      <c r="A32" s="19" t="n">
        <v>23</v>
      </c>
      <c r="B32" s="20" t="n">
        <v>511522104026</v>
      </c>
      <c r="C32" s="90" t="s">
        <v>143</v>
      </c>
      <c r="D32" s="27" t="n">
        <v>75</v>
      </c>
      <c r="E32" s="24"/>
      <c r="F32" s="92"/>
      <c r="G32" s="27"/>
      <c r="H32" s="24" t="n">
        <v>50</v>
      </c>
      <c r="I32" s="24" t="n">
        <v>50</v>
      </c>
      <c r="J32" s="19" t="n">
        <f aca="false">SUM(D32:I32)</f>
        <v>175</v>
      </c>
      <c r="K32" s="19" t="n">
        <f aca="false">COUNTIF(D32:I32,"&lt;=49")+COUNTIF(D33:I33,"AB")</f>
        <v>0</v>
      </c>
      <c r="L32" s="19" t="n">
        <f aca="false">COUNTIF(E32:J32,"AB")</f>
        <v>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customFormat="false" ht="24.75" hidden="false" customHeight="true" outlineLevel="0" collapsed="false">
      <c r="A33" s="19" t="n">
        <v>24</v>
      </c>
      <c r="B33" s="20" t="n">
        <v>511522104027</v>
      </c>
      <c r="C33" s="90" t="s">
        <v>144</v>
      </c>
      <c r="D33" s="27" t="n">
        <v>60</v>
      </c>
      <c r="E33" s="24"/>
      <c r="F33" s="91"/>
      <c r="G33" s="27"/>
      <c r="H33" s="24" t="n">
        <v>31</v>
      </c>
      <c r="I33" s="15" t="n">
        <v>33</v>
      </c>
      <c r="J33" s="19" t="n">
        <f aca="false">SUM(D33:I33)</f>
        <v>124</v>
      </c>
      <c r="K33" s="19" t="n">
        <f aca="false">COUNTIF(D33:I33,"&lt;=49")+COUNTIF(D34:I34,"AB")</f>
        <v>3</v>
      </c>
      <c r="L33" s="19" t="n">
        <f aca="false">COUNTIF(E33:J33,"AB")</f>
        <v>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customFormat="false" ht="24.75" hidden="false" customHeight="true" outlineLevel="0" collapsed="false">
      <c r="A34" s="19" t="n">
        <v>25</v>
      </c>
      <c r="B34" s="20" t="n">
        <v>511522104028</v>
      </c>
      <c r="C34" s="90" t="s">
        <v>145</v>
      </c>
      <c r="D34" s="27" t="n">
        <v>34</v>
      </c>
      <c r="E34" s="24"/>
      <c r="F34" s="91"/>
      <c r="G34" s="27"/>
      <c r="H34" s="24" t="n">
        <v>18</v>
      </c>
      <c r="I34" s="24" t="s">
        <v>24</v>
      </c>
      <c r="J34" s="19" t="n">
        <f aca="false">SUM(D34:I34)</f>
        <v>52</v>
      </c>
      <c r="K34" s="19" t="n">
        <f aca="false">COUNTIF(D34:I34,"&lt;=49")+COUNTIF(D35:I35,"AB")</f>
        <v>3</v>
      </c>
      <c r="L34" s="19" t="n">
        <f aca="false">COUNTIF(E34:J34,"AB")</f>
        <v>1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customFormat="false" ht="24.75" hidden="false" customHeight="true" outlineLevel="0" collapsed="false">
      <c r="A35" s="19" t="n">
        <v>26</v>
      </c>
      <c r="B35" s="20" t="n">
        <v>511522104029</v>
      </c>
      <c r="C35" s="90" t="s">
        <v>146</v>
      </c>
      <c r="D35" s="27" t="n">
        <v>22</v>
      </c>
      <c r="E35" s="24"/>
      <c r="F35" s="91"/>
      <c r="G35" s="27"/>
      <c r="H35" s="24" t="n">
        <v>13</v>
      </c>
      <c r="I35" s="24" t="s">
        <v>24</v>
      </c>
      <c r="J35" s="19" t="n">
        <f aca="false">SUM(D35:I35)</f>
        <v>35</v>
      </c>
      <c r="K35" s="19" t="n">
        <f aca="false">COUNTIF(D35:I35,"&lt;=49")+COUNTIF(D36:I36,"AB")</f>
        <v>3</v>
      </c>
      <c r="L35" s="19" t="n">
        <f aca="false">COUNTIF(E35:J35,"AB")</f>
        <v>1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customFormat="false" ht="24.75" hidden="false" customHeight="true" outlineLevel="0" collapsed="false">
      <c r="A36" s="19" t="n">
        <v>27</v>
      </c>
      <c r="B36" s="20" t="n">
        <v>511522104030</v>
      </c>
      <c r="C36" s="90" t="s">
        <v>147</v>
      </c>
      <c r="D36" s="27" t="n">
        <v>22</v>
      </c>
      <c r="E36" s="24"/>
      <c r="F36" s="91"/>
      <c r="G36" s="27"/>
      <c r="H36" s="24" t="n">
        <v>22</v>
      </c>
      <c r="I36" s="15" t="s">
        <v>24</v>
      </c>
      <c r="J36" s="19" t="n">
        <f aca="false">SUM(D36:I36)</f>
        <v>44</v>
      </c>
      <c r="K36" s="19" t="n">
        <f aca="false">COUNTIF(D36:I36,"&lt;=49")+COUNTIF(D37:I37,"AB")</f>
        <v>3</v>
      </c>
      <c r="L36" s="19" t="n">
        <f aca="false">COUNTIF(E36:J36,"AB")</f>
        <v>1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customFormat="false" ht="24.75" hidden="false" customHeight="true" outlineLevel="0" collapsed="false">
      <c r="A37" s="19" t="n">
        <v>28</v>
      </c>
      <c r="B37" s="20" t="n">
        <v>511522104031</v>
      </c>
      <c r="C37" s="90" t="s">
        <v>148</v>
      </c>
      <c r="D37" s="27" t="n">
        <v>16</v>
      </c>
      <c r="E37" s="24"/>
      <c r="F37" s="91"/>
      <c r="G37" s="27"/>
      <c r="H37" s="24" t="n">
        <v>5</v>
      </c>
      <c r="I37" s="24" t="s">
        <v>24</v>
      </c>
      <c r="J37" s="19" t="n">
        <f aca="false">SUM(D37:I37)</f>
        <v>21</v>
      </c>
      <c r="K37" s="19" t="n">
        <f aca="false">COUNTIF(D37:I37,"&lt;=49")+COUNTIF(D38:I38,"AB")</f>
        <v>2</v>
      </c>
      <c r="L37" s="19" t="n">
        <f aca="false">COUNTIF(E37:J37,"AB")</f>
        <v>1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customFormat="false" ht="24.75" hidden="false" customHeight="true" outlineLevel="0" collapsed="false">
      <c r="A38" s="19" t="n">
        <v>29</v>
      </c>
      <c r="B38" s="20" t="n">
        <v>511522104032</v>
      </c>
      <c r="C38" s="90" t="s">
        <v>149</v>
      </c>
      <c r="D38" s="27" t="n">
        <v>30</v>
      </c>
      <c r="E38" s="24"/>
      <c r="F38" s="91"/>
      <c r="G38" s="27"/>
      <c r="H38" s="24" t="n">
        <v>13</v>
      </c>
      <c r="I38" s="15" t="n">
        <v>9</v>
      </c>
      <c r="J38" s="19" t="n">
        <f aca="false">SUM(D38:I38)</f>
        <v>52</v>
      </c>
      <c r="K38" s="19" t="n">
        <f aca="false">COUNTIF(D38:I38,"&lt;=49")+COUNTIF(D39:I39,"AB")</f>
        <v>3</v>
      </c>
      <c r="L38" s="19" t="n">
        <f aca="false">COUNTIF(E38:J38,"AB")</f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customFormat="false" ht="24.75" hidden="false" customHeight="true" outlineLevel="0" collapsed="false">
      <c r="A39" s="19" t="n">
        <v>30</v>
      </c>
      <c r="B39" s="20" t="n">
        <v>511522104033</v>
      </c>
      <c r="C39" s="90" t="s">
        <v>150</v>
      </c>
      <c r="D39" s="27" t="n">
        <v>73</v>
      </c>
      <c r="E39" s="24"/>
      <c r="F39" s="92"/>
      <c r="G39" s="27"/>
      <c r="H39" s="24" t="n">
        <v>52</v>
      </c>
      <c r="I39" s="24" t="n">
        <v>43</v>
      </c>
      <c r="J39" s="19" t="n">
        <f aca="false">SUM(D39:I39)</f>
        <v>168</v>
      </c>
      <c r="K39" s="19" t="n">
        <f aca="false">COUNTIF(D39:I39,"&lt;=49")+COUNTIF(D40:I40,"AB")</f>
        <v>1</v>
      </c>
      <c r="L39" s="19" t="n">
        <f aca="false">COUNTIF(E39:J39,"AB")</f>
        <v>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customFormat="false" ht="24.75" hidden="false" customHeight="true" outlineLevel="0" collapsed="false">
      <c r="A40" s="19" t="n">
        <v>31</v>
      </c>
      <c r="B40" s="20" t="n">
        <v>511522104034</v>
      </c>
      <c r="C40" s="90" t="s">
        <v>151</v>
      </c>
      <c r="D40" s="24" t="n">
        <v>61</v>
      </c>
      <c r="E40" s="24"/>
      <c r="F40" s="92"/>
      <c r="G40" s="27"/>
      <c r="H40" s="27" t="n">
        <v>41</v>
      </c>
      <c r="I40" s="24" t="n">
        <v>50</v>
      </c>
      <c r="J40" s="19" t="n">
        <f aca="false">SUM(D40:I40)</f>
        <v>152</v>
      </c>
      <c r="K40" s="19" t="n">
        <f aca="false">COUNTIF(D40:I40,"&lt;=49")+COUNTIF(D41:I41,"AB")</f>
        <v>1</v>
      </c>
      <c r="L40" s="19" t="n">
        <f aca="false">COUNTIF(E40:J40,"AB")</f>
        <v>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customFormat="false" ht="24.75" hidden="false" customHeight="true" outlineLevel="0" collapsed="false">
      <c r="A41" s="19" t="n">
        <v>32</v>
      </c>
      <c r="B41" s="20" t="n">
        <v>511522104035</v>
      </c>
      <c r="C41" s="90" t="s">
        <v>152</v>
      </c>
      <c r="D41" s="27" t="n">
        <v>44</v>
      </c>
      <c r="E41" s="24"/>
      <c r="F41" s="92"/>
      <c r="G41" s="27"/>
      <c r="H41" s="24" t="n">
        <v>37</v>
      </c>
      <c r="I41" s="24" t="n">
        <v>29</v>
      </c>
      <c r="J41" s="19" t="n">
        <f aca="false">SUM(D41:I41)</f>
        <v>110</v>
      </c>
      <c r="K41" s="19" t="n">
        <f aca="false">COUNTIF(D41:I41,"&lt;=49")+COUNTIF(D42:I42,"AB")</f>
        <v>3</v>
      </c>
      <c r="L41" s="19" t="n">
        <f aca="false">COUNTIF(E41:J41,"AB")</f>
        <v>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customFormat="false" ht="24.75" hidden="false" customHeight="true" outlineLevel="0" collapsed="false">
      <c r="A42" s="19" t="n">
        <v>33</v>
      </c>
      <c r="B42" s="20" t="n">
        <v>511522104036</v>
      </c>
      <c r="C42" s="90" t="s">
        <v>153</v>
      </c>
      <c r="D42" s="27" t="n">
        <v>62</v>
      </c>
      <c r="E42" s="24"/>
      <c r="F42" s="92"/>
      <c r="G42" s="27"/>
      <c r="H42" s="24" t="n">
        <v>23</v>
      </c>
      <c r="I42" s="15" t="n">
        <v>44</v>
      </c>
      <c r="J42" s="19" t="n">
        <f aca="false">SUM(D42:I42)</f>
        <v>129</v>
      </c>
      <c r="K42" s="19" t="n">
        <f aca="false">COUNTIF(D42:I42,"&lt;=49")+COUNTIF(D43:I43,"AB")</f>
        <v>2</v>
      </c>
      <c r="L42" s="19" t="n">
        <f aca="false">COUNTIF(E42:J42,"AB")</f>
        <v>0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customFormat="false" ht="24.75" hidden="false" customHeight="true" outlineLevel="0" collapsed="false">
      <c r="A43" s="19" t="n">
        <v>34</v>
      </c>
      <c r="B43" s="20" t="n">
        <v>511522104037</v>
      </c>
      <c r="C43" s="90" t="s">
        <v>154</v>
      </c>
      <c r="D43" s="27" t="n">
        <v>61</v>
      </c>
      <c r="E43" s="24"/>
      <c r="F43" s="92"/>
      <c r="G43" s="27"/>
      <c r="H43" s="27" t="n">
        <v>26</v>
      </c>
      <c r="I43" s="15" t="n">
        <v>40</v>
      </c>
      <c r="J43" s="19" t="n">
        <f aca="false">SUM(D43:I43)</f>
        <v>127</v>
      </c>
      <c r="K43" s="19" t="n">
        <f aca="false">COUNTIF(D43:I43,"&lt;=49")+COUNTIF(D44:I44,"AB")</f>
        <v>2</v>
      </c>
      <c r="L43" s="19" t="n">
        <f aca="false">COUNTIF(E43:J43,"AB")</f>
        <v>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customFormat="false" ht="24.75" hidden="false" customHeight="true" outlineLevel="0" collapsed="false">
      <c r="A44" s="19" t="n">
        <v>35</v>
      </c>
      <c r="B44" s="20" t="n">
        <v>511522104038</v>
      </c>
      <c r="C44" s="90" t="s">
        <v>155</v>
      </c>
      <c r="D44" s="27" t="n">
        <v>74</v>
      </c>
      <c r="E44" s="24"/>
      <c r="F44" s="92"/>
      <c r="G44" s="27"/>
      <c r="H44" s="24" t="n">
        <v>32</v>
      </c>
      <c r="I44" s="24" t="n">
        <v>51</v>
      </c>
      <c r="J44" s="19" t="n">
        <f aca="false">SUM(D44:I44)</f>
        <v>157</v>
      </c>
      <c r="K44" s="19" t="n">
        <f aca="false">COUNTIF(D44:I44,"&lt;=49")+COUNTIF(D45:I45,"AB")</f>
        <v>1</v>
      </c>
      <c r="L44" s="19" t="n">
        <f aca="false">COUNTIF(E44:J44,"AB")</f>
        <v>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customFormat="false" ht="24.75" hidden="false" customHeight="true" outlineLevel="0" collapsed="false">
      <c r="A45" s="19" t="n">
        <v>36</v>
      </c>
      <c r="B45" s="20" t="n">
        <v>511522104039</v>
      </c>
      <c r="C45" s="90" t="s">
        <v>156</v>
      </c>
      <c r="D45" s="27" t="n">
        <v>25</v>
      </c>
      <c r="E45" s="24"/>
      <c r="F45" s="91"/>
      <c r="G45" s="27"/>
      <c r="H45" s="24" t="n">
        <v>5</v>
      </c>
      <c r="I45" s="24" t="n">
        <v>6</v>
      </c>
      <c r="J45" s="19" t="n">
        <f aca="false">SUM(D45:I45)</f>
        <v>36</v>
      </c>
      <c r="K45" s="19" t="n">
        <f aca="false">COUNTIF(D45:I45,"&lt;=49")+COUNTIF(D46:I46,"AB")</f>
        <v>3</v>
      </c>
      <c r="L45" s="19" t="n">
        <f aca="false">COUNTIF(E45:J45,"AB")</f>
        <v>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customFormat="false" ht="24.75" hidden="false" customHeight="true" outlineLevel="0" collapsed="false">
      <c r="A46" s="19" t="n">
        <v>37</v>
      </c>
      <c r="B46" s="20" t="n">
        <v>511522104040</v>
      </c>
      <c r="C46" s="90" t="s">
        <v>157</v>
      </c>
      <c r="D46" s="27" t="n">
        <v>59</v>
      </c>
      <c r="E46" s="24"/>
      <c r="F46" s="92"/>
      <c r="G46" s="27"/>
      <c r="H46" s="24" t="n">
        <v>25</v>
      </c>
      <c r="I46" s="15" t="n">
        <v>62</v>
      </c>
      <c r="J46" s="19" t="n">
        <f aca="false">SUM(D46:I46)</f>
        <v>146</v>
      </c>
      <c r="K46" s="19" t="n">
        <f aca="false">COUNTIF(D46:I46,"&lt;=49")+COUNTIF(D47:I47,"AB")</f>
        <v>1</v>
      </c>
      <c r="L46" s="19" t="n">
        <f aca="false">COUNTIF(E46:J46,"AB")</f>
        <v>0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customFormat="false" ht="24.75" hidden="false" customHeight="true" outlineLevel="0" collapsed="false">
      <c r="A47" s="19" t="n">
        <v>38</v>
      </c>
      <c r="B47" s="20" t="n">
        <v>511522104041</v>
      </c>
      <c r="C47" s="90" t="s">
        <v>158</v>
      </c>
      <c r="D47" s="27" t="n">
        <v>80</v>
      </c>
      <c r="E47" s="24"/>
      <c r="F47" s="92"/>
      <c r="G47" s="27"/>
      <c r="H47" s="24" t="n">
        <v>50</v>
      </c>
      <c r="I47" s="24" t="n">
        <v>52</v>
      </c>
      <c r="J47" s="19" t="n">
        <f aca="false">SUM(D47:I47)</f>
        <v>182</v>
      </c>
      <c r="K47" s="19" t="n">
        <f aca="false">COUNTIF(D47:I47,"&lt;=49")+COUNTIF(D48:I48,"AB")</f>
        <v>0</v>
      </c>
      <c r="L47" s="19" t="n">
        <f aca="false">COUNTIF(E47:J47,"AB")</f>
        <v>0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customFormat="false" ht="24.75" hidden="false" customHeight="true" outlineLevel="0" collapsed="false">
      <c r="A48" s="19" t="n">
        <v>39</v>
      </c>
      <c r="B48" s="20" t="n">
        <v>511522104042</v>
      </c>
      <c r="C48" s="90" t="s">
        <v>159</v>
      </c>
      <c r="D48" s="27" t="n">
        <v>69</v>
      </c>
      <c r="E48" s="24"/>
      <c r="F48" s="92"/>
      <c r="G48" s="27"/>
      <c r="H48" s="24" t="n">
        <v>50</v>
      </c>
      <c r="I48" s="24" t="n">
        <v>56</v>
      </c>
      <c r="J48" s="19" t="n">
        <f aca="false">SUM(D48:I48)</f>
        <v>175</v>
      </c>
      <c r="K48" s="19" t="n">
        <f aca="false">COUNTIF(D48:I48,"&lt;=49")+COUNTIF(D49:I49,"AB")</f>
        <v>1</v>
      </c>
      <c r="L48" s="19" t="n">
        <f aca="false">COUNTIF(E48:J48,"AB")</f>
        <v>0</v>
      </c>
      <c r="M48" s="37"/>
      <c r="N48" s="37"/>
      <c r="O48" s="37"/>
      <c r="P48" s="37"/>
      <c r="Q48" s="37"/>
      <c r="R48" s="37"/>
      <c r="S48" s="2"/>
      <c r="T48" s="2"/>
      <c r="U48" s="2"/>
      <c r="V48" s="2"/>
      <c r="W48" s="2"/>
      <c r="X48" s="2"/>
      <c r="Y48" s="2"/>
    </row>
    <row r="49" customFormat="false" ht="24.75" hidden="false" customHeight="true" outlineLevel="0" collapsed="false">
      <c r="A49" s="19" t="n">
        <v>40</v>
      </c>
      <c r="B49" s="20" t="n">
        <v>511522104043</v>
      </c>
      <c r="C49" s="90" t="s">
        <v>160</v>
      </c>
      <c r="D49" s="27" t="s">
        <v>24</v>
      </c>
      <c r="E49" s="24"/>
      <c r="F49" s="91"/>
      <c r="G49" s="27"/>
      <c r="H49" s="24" t="n">
        <v>17</v>
      </c>
      <c r="I49" s="24" t="n">
        <v>14</v>
      </c>
      <c r="J49" s="19" t="n">
        <f aca="false">SUM(D49:I49)</f>
        <v>31</v>
      </c>
      <c r="K49" s="19" t="n">
        <f aca="false">COUNTIF(D49:I49,"&lt;=49")+COUNTIF(D50:I50,"AB")</f>
        <v>3</v>
      </c>
      <c r="L49" s="19" t="n">
        <f aca="false">COUNTIF(E49:J49,"AB")</f>
        <v>0</v>
      </c>
      <c r="M49" s="38"/>
      <c r="N49" s="38"/>
      <c r="O49" s="38"/>
      <c r="P49" s="38"/>
      <c r="Q49" s="38"/>
      <c r="R49" s="38"/>
      <c r="S49" s="2"/>
      <c r="T49" s="2"/>
      <c r="U49" s="2"/>
      <c r="V49" s="2"/>
      <c r="W49" s="2"/>
      <c r="X49" s="2"/>
      <c r="Y49" s="2"/>
    </row>
    <row r="50" customFormat="false" ht="24.75" hidden="false" customHeight="true" outlineLevel="0" collapsed="false">
      <c r="A50" s="19" t="n">
        <v>41</v>
      </c>
      <c r="B50" s="20" t="n">
        <v>511522104044</v>
      </c>
      <c r="C50" s="90" t="s">
        <v>161</v>
      </c>
      <c r="D50" s="27" t="n">
        <v>65</v>
      </c>
      <c r="E50" s="24"/>
      <c r="F50" s="92"/>
      <c r="G50" s="27"/>
      <c r="H50" s="24" t="n">
        <v>50</v>
      </c>
      <c r="I50" s="24" t="s">
        <v>24</v>
      </c>
      <c r="J50" s="19" t="n">
        <f aca="false">SUM(D50:I50)</f>
        <v>115</v>
      </c>
      <c r="K50" s="19" t="n">
        <f aca="false">COUNTIF(D50:I50,"&lt;=49")+COUNTIF(D51:I51,"AB")</f>
        <v>0</v>
      </c>
      <c r="L50" s="19" t="n">
        <f aca="false">COUNTIF(E50:J50,"AB")</f>
        <v>1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customFormat="false" ht="24.75" hidden="false" customHeight="true" outlineLevel="0" collapsed="false">
      <c r="A51" s="19" t="n">
        <v>42</v>
      </c>
      <c r="B51" s="20" t="n">
        <v>511522104045</v>
      </c>
      <c r="C51" s="90" t="s">
        <v>162</v>
      </c>
      <c r="D51" s="27" t="n">
        <v>43</v>
      </c>
      <c r="E51" s="24"/>
      <c r="F51" s="91"/>
      <c r="G51" s="27"/>
      <c r="H51" s="24" t="n">
        <v>18</v>
      </c>
      <c r="I51" s="24" t="n">
        <v>20</v>
      </c>
      <c r="J51" s="19" t="n">
        <f aca="false">SUM(D51:I51)</f>
        <v>81</v>
      </c>
      <c r="K51" s="19" t="n">
        <f aca="false">COUNTIF(D51:I51,"&lt;=49")+COUNTIF(D52:I52,"AB")</f>
        <v>3</v>
      </c>
      <c r="L51" s="19" t="n">
        <f aca="false">COUNTIF(E51:J51,"AB")</f>
        <v>0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customFormat="false" ht="24.75" hidden="false" customHeight="true" outlineLevel="0" collapsed="false">
      <c r="A52" s="19" t="n">
        <v>43</v>
      </c>
      <c r="B52" s="20" t="n">
        <v>511522104046</v>
      </c>
      <c r="C52" s="90" t="s">
        <v>163</v>
      </c>
      <c r="D52" s="27" t="n">
        <v>58</v>
      </c>
      <c r="E52" s="24"/>
      <c r="F52" s="91"/>
      <c r="G52" s="27"/>
      <c r="H52" s="24" t="n">
        <v>39</v>
      </c>
      <c r="I52" s="24" t="n">
        <v>9</v>
      </c>
      <c r="J52" s="19" t="n">
        <f aca="false">SUM(D52:I52)</f>
        <v>106</v>
      </c>
      <c r="K52" s="19" t="n">
        <f aca="false">COUNTIF(D52:I52,"&lt;=49")+COUNTIF(D53:I53,"AB")</f>
        <v>2</v>
      </c>
      <c r="L52" s="19" t="n">
        <f aca="false">COUNTIF(E52:J52,"AB")</f>
        <v>0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customFormat="false" ht="24.75" hidden="false" customHeight="true" outlineLevel="0" collapsed="false">
      <c r="A53" s="19" t="n">
        <v>44</v>
      </c>
      <c r="B53" s="20" t="n">
        <v>511522104047</v>
      </c>
      <c r="C53" s="90" t="s">
        <v>164</v>
      </c>
      <c r="D53" s="27" t="n">
        <v>61</v>
      </c>
      <c r="E53" s="24"/>
      <c r="F53" s="92"/>
      <c r="G53" s="27"/>
      <c r="H53" s="27" t="n">
        <v>50</v>
      </c>
      <c r="I53" s="24" t="n">
        <v>44</v>
      </c>
      <c r="J53" s="19" t="n">
        <f aca="false">SUM(D53:I53)</f>
        <v>155</v>
      </c>
      <c r="K53" s="19" t="n">
        <f aca="false">COUNTIF(D53:I53,"&lt;=49")+COUNTIF(D54:I54,"AB")</f>
        <v>1</v>
      </c>
      <c r="L53" s="19" t="n">
        <f aca="false">COUNTIF(E53:J53,"AB")</f>
        <v>0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customFormat="false" ht="24.75" hidden="false" customHeight="true" outlineLevel="0" collapsed="false">
      <c r="A54" s="19" t="n">
        <v>45</v>
      </c>
      <c r="B54" s="20" t="n">
        <v>511522104048</v>
      </c>
      <c r="C54" s="90" t="s">
        <v>165</v>
      </c>
      <c r="D54" s="27" t="n">
        <v>61</v>
      </c>
      <c r="E54" s="24"/>
      <c r="F54" s="91"/>
      <c r="G54" s="27"/>
      <c r="H54" s="27" t="n">
        <v>17</v>
      </c>
      <c r="I54" s="24" t="n">
        <v>58</v>
      </c>
      <c r="J54" s="19" t="n">
        <f aca="false">SUM(D54:I54)</f>
        <v>136</v>
      </c>
      <c r="K54" s="19" t="n">
        <f aca="false">COUNTIF(D54:I54,"&lt;=49")+COUNTIF(D55:I55,"AB")</f>
        <v>1</v>
      </c>
      <c r="L54" s="19" t="n">
        <f aca="false">COUNTIF(E54:J54,"AB")</f>
        <v>0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customFormat="false" ht="24.75" hidden="false" customHeight="true" outlineLevel="0" collapsed="false">
      <c r="A55" s="19" t="n">
        <v>46</v>
      </c>
      <c r="B55" s="20" t="n">
        <v>511522104049</v>
      </c>
      <c r="C55" s="90" t="s">
        <v>166</v>
      </c>
      <c r="D55" s="27" t="n">
        <v>31</v>
      </c>
      <c r="E55" s="24"/>
      <c r="F55" s="91"/>
      <c r="G55" s="27"/>
      <c r="H55" s="24" t="n">
        <v>14</v>
      </c>
      <c r="I55" s="24" t="n">
        <v>9</v>
      </c>
      <c r="J55" s="19" t="n">
        <f aca="false">SUM(D55:I55)</f>
        <v>54</v>
      </c>
      <c r="K55" s="19" t="n">
        <f aca="false">COUNTIF(D55:I55,"&lt;=49")+COUNTIF(D56:I56,"AB")</f>
        <v>3</v>
      </c>
      <c r="L55" s="19" t="n">
        <f aca="false">COUNTIF(E55:J55,"AB")</f>
        <v>0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customFormat="false" ht="24.75" hidden="false" customHeight="true" outlineLevel="0" collapsed="false">
      <c r="A56" s="19" t="n">
        <v>47</v>
      </c>
      <c r="B56" s="20" t="n">
        <v>511522104050</v>
      </c>
      <c r="C56" s="90" t="s">
        <v>167</v>
      </c>
      <c r="D56" s="27" t="n">
        <v>75</v>
      </c>
      <c r="E56" s="24"/>
      <c r="F56" s="91"/>
      <c r="G56" s="27"/>
      <c r="H56" s="24" t="n">
        <v>36</v>
      </c>
      <c r="I56" s="15" t="n">
        <v>64</v>
      </c>
      <c r="J56" s="19" t="n">
        <f aca="false">SUM(D56:I56)</f>
        <v>175</v>
      </c>
      <c r="K56" s="19" t="n">
        <f aca="false">COUNTIF(D56:I56,"&lt;=49")+COUNTIF(D57:I57,"AB")</f>
        <v>2</v>
      </c>
      <c r="L56" s="19" t="n">
        <f aca="false">COUNTIF(E56:J56,"AB")</f>
        <v>0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customFormat="false" ht="24.75" hidden="false" customHeight="true" outlineLevel="0" collapsed="false">
      <c r="A57" s="19" t="n">
        <v>48</v>
      </c>
      <c r="B57" s="20" t="n">
        <v>511522104051</v>
      </c>
      <c r="C57" s="90" t="s">
        <v>168</v>
      </c>
      <c r="D57" s="27" t="s">
        <v>24</v>
      </c>
      <c r="E57" s="24"/>
      <c r="F57" s="91"/>
      <c r="G57" s="27"/>
      <c r="H57" s="24" t="n">
        <v>6</v>
      </c>
      <c r="I57" s="24" t="n">
        <v>15</v>
      </c>
      <c r="J57" s="19" t="n">
        <f aca="false">SUM(D57:I57)</f>
        <v>21</v>
      </c>
      <c r="K57" s="19" t="n">
        <f aca="false">COUNTIF(D57:I57,"&lt;=49")+COUNTIF(D58:I58,"AB")</f>
        <v>2</v>
      </c>
      <c r="L57" s="19" t="n">
        <f aca="false">COUNTIF(E57:J57,"AB")</f>
        <v>0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customFormat="false" ht="24.75" hidden="false" customHeight="true" outlineLevel="0" collapsed="false">
      <c r="A58" s="19" t="n">
        <v>49</v>
      </c>
      <c r="B58" s="20" t="n">
        <v>511522104052</v>
      </c>
      <c r="C58" s="90" t="s">
        <v>169</v>
      </c>
      <c r="D58" s="27" t="n">
        <v>36</v>
      </c>
      <c r="E58" s="24"/>
      <c r="F58" s="91"/>
      <c r="G58" s="27"/>
      <c r="H58" s="24" t="n">
        <v>18</v>
      </c>
      <c r="I58" s="24" t="n">
        <v>10</v>
      </c>
      <c r="J58" s="19" t="n">
        <f aca="false">SUM(D58:I58)</f>
        <v>64</v>
      </c>
      <c r="K58" s="19" t="n">
        <f aca="false">COUNTIF(D58:I58,"&lt;=49")+COUNTIF(D59:I59,"AB")</f>
        <v>3</v>
      </c>
      <c r="L58" s="19" t="n">
        <f aca="false">COUNTIF(E58:J58,"AB")</f>
        <v>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customFormat="false" ht="24.75" hidden="false" customHeight="true" outlineLevel="0" collapsed="false">
      <c r="A59" s="19" t="n">
        <v>50</v>
      </c>
      <c r="B59" s="20" t="n">
        <v>511522104053</v>
      </c>
      <c r="C59" s="90" t="s">
        <v>170</v>
      </c>
      <c r="D59" s="27" t="n">
        <v>64</v>
      </c>
      <c r="E59" s="24"/>
      <c r="F59" s="92"/>
      <c r="G59" s="27"/>
      <c r="H59" s="24" t="n">
        <v>51</v>
      </c>
      <c r="I59" s="24" t="n">
        <v>58</v>
      </c>
      <c r="J59" s="19" t="n">
        <f aca="false">SUM(D59:I59)</f>
        <v>173</v>
      </c>
      <c r="K59" s="19" t="n">
        <f aca="false">COUNTIF(D59:I59,"&lt;=49")+COUNTIF(D60:I60,"AB")</f>
        <v>0</v>
      </c>
      <c r="L59" s="19" t="n">
        <f aca="false">COUNTIF(E59:J59,"AB")</f>
        <v>0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customFormat="false" ht="24.75" hidden="false" customHeight="true" outlineLevel="0" collapsed="false">
      <c r="A60" s="19" t="n">
        <v>51</v>
      </c>
      <c r="B60" s="20" t="n">
        <v>511522104054</v>
      </c>
      <c r="C60" s="90" t="s">
        <v>171</v>
      </c>
      <c r="D60" s="27" t="n">
        <v>71</v>
      </c>
      <c r="E60" s="24"/>
      <c r="F60" s="92"/>
      <c r="G60" s="27"/>
      <c r="H60" s="24" t="n">
        <v>41</v>
      </c>
      <c r="I60" s="24" t="n">
        <v>56</v>
      </c>
      <c r="J60" s="19" t="n">
        <f aca="false">SUM(D60:I60)</f>
        <v>168</v>
      </c>
      <c r="K60" s="19" t="n">
        <f aca="false">COUNTIF(D60:I60,"&lt;=49")+COUNTIF(D61:I61,"AB")</f>
        <v>2</v>
      </c>
      <c r="L60" s="19" t="n">
        <f aca="false">COUNTIF(E60:J60,"AB")</f>
        <v>0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customFormat="false" ht="24.75" hidden="false" customHeight="true" outlineLevel="0" collapsed="false">
      <c r="A61" s="19" t="n">
        <v>52</v>
      </c>
      <c r="B61" s="20" t="n">
        <v>511522104055</v>
      </c>
      <c r="C61" s="90" t="s">
        <v>172</v>
      </c>
      <c r="D61" s="27" t="n">
        <v>14</v>
      </c>
      <c r="E61" s="24"/>
      <c r="F61" s="91"/>
      <c r="G61" s="27"/>
      <c r="H61" s="24" t="n">
        <v>18</v>
      </c>
      <c r="I61" s="24" t="s">
        <v>24</v>
      </c>
      <c r="J61" s="19" t="n">
        <f aca="false">SUM(D61:I61)</f>
        <v>32</v>
      </c>
      <c r="K61" s="19" t="n">
        <f aca="false">COUNTIF(D61:I61,"&lt;=49")+COUNTIF(D62:I62,"AB")</f>
        <v>2</v>
      </c>
      <c r="L61" s="19" t="n">
        <f aca="false">COUNTIF(E61:J61,"AB")</f>
        <v>1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customFormat="false" ht="24.75" hidden="false" customHeight="true" outlineLevel="0" collapsed="false">
      <c r="A62" s="19" t="n">
        <v>53</v>
      </c>
      <c r="B62" s="20" t="n">
        <v>511522104056</v>
      </c>
      <c r="C62" s="90" t="s">
        <v>173</v>
      </c>
      <c r="D62" s="27" t="n">
        <v>52</v>
      </c>
      <c r="E62" s="24"/>
      <c r="F62" s="92"/>
      <c r="G62" s="27"/>
      <c r="H62" s="24" t="n">
        <v>26</v>
      </c>
      <c r="I62" s="24" t="n">
        <v>52</v>
      </c>
      <c r="J62" s="19" t="n">
        <f aca="false">SUM(D62:I62)</f>
        <v>130</v>
      </c>
      <c r="K62" s="19" t="n">
        <f aca="false">COUNTIF(D62:I62,"&lt;=49")+COUNTIF(D63:I63,"AB")</f>
        <v>1</v>
      </c>
      <c r="L62" s="19" t="n">
        <f aca="false">COUNTIF(E62:J62,"AB")</f>
        <v>0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customFormat="false" ht="24.75" hidden="false" customHeight="true" outlineLevel="0" collapsed="false">
      <c r="A63" s="19" t="n">
        <v>54</v>
      </c>
      <c r="B63" s="20" t="n">
        <v>511522104057</v>
      </c>
      <c r="C63" s="90" t="s">
        <v>174</v>
      </c>
      <c r="D63" s="27" t="n">
        <v>6</v>
      </c>
      <c r="E63" s="24"/>
      <c r="F63" s="91"/>
      <c r="G63" s="27"/>
      <c r="H63" s="24" t="n">
        <v>10</v>
      </c>
      <c r="I63" s="24" t="n">
        <v>18</v>
      </c>
      <c r="J63" s="19" t="n">
        <f aca="false">SUM(D63:I63)</f>
        <v>34</v>
      </c>
      <c r="K63" s="19" t="n">
        <f aca="false">COUNTIF(D63:I63,"&lt;=49")+COUNTIF(D64:I64,"AB")</f>
        <v>3</v>
      </c>
      <c r="L63" s="19" t="n">
        <f aca="false">COUNTIF(E63:J63,"AB")</f>
        <v>0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customFormat="false" ht="24.75" hidden="false" customHeight="true" outlineLevel="0" collapsed="false">
      <c r="A64" s="19" t="n">
        <v>55</v>
      </c>
      <c r="B64" s="20" t="n">
        <v>511522104058</v>
      </c>
      <c r="C64" s="90" t="s">
        <v>175</v>
      </c>
      <c r="D64" s="27" t="n">
        <v>31</v>
      </c>
      <c r="E64" s="24"/>
      <c r="F64" s="91"/>
      <c r="G64" s="27"/>
      <c r="H64" s="24" t="n">
        <v>6</v>
      </c>
      <c r="I64" s="24" t="n">
        <v>25</v>
      </c>
      <c r="J64" s="19" t="n">
        <f aca="false">SUM(D64:I64)</f>
        <v>62</v>
      </c>
      <c r="K64" s="19" t="n">
        <f aca="false">COUNTIF(D64:I64,"&lt;=49")+COUNTIF(D65:I65,"AB")</f>
        <v>3</v>
      </c>
      <c r="L64" s="19" t="n">
        <f aca="false">COUNTIF(E64:J64,"AB")</f>
        <v>0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customFormat="false" ht="24.75" hidden="false" customHeight="true" outlineLevel="0" collapsed="false">
      <c r="A65" s="19" t="n">
        <v>56</v>
      </c>
      <c r="B65" s="20" t="n">
        <v>511522104059</v>
      </c>
      <c r="C65" s="90" t="s">
        <v>176</v>
      </c>
      <c r="D65" s="27" t="n">
        <v>61</v>
      </c>
      <c r="E65" s="24"/>
      <c r="F65" s="92"/>
      <c r="G65" s="27"/>
      <c r="H65" s="27" t="n">
        <v>40</v>
      </c>
      <c r="I65" s="24" t="n">
        <v>38</v>
      </c>
      <c r="J65" s="19" t="n">
        <f aca="false">SUM(D65:I65)</f>
        <v>139</v>
      </c>
      <c r="K65" s="19" t="n">
        <f aca="false">COUNTIF(D65:I65,"&lt;=49")+COUNTIF(D66:I66,"AB")</f>
        <v>2</v>
      </c>
      <c r="L65" s="19" t="n">
        <f aca="false">COUNTIF(E65:J65,"AB")</f>
        <v>0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customFormat="false" ht="24.75" hidden="false" customHeight="true" outlineLevel="0" collapsed="false">
      <c r="A66" s="19" t="n">
        <v>57</v>
      </c>
      <c r="B66" s="20" t="n">
        <v>511522104060</v>
      </c>
      <c r="C66" s="90" t="s">
        <v>177</v>
      </c>
      <c r="D66" s="27" t="n">
        <v>65</v>
      </c>
      <c r="E66" s="24"/>
      <c r="F66" s="92"/>
      <c r="G66" s="27"/>
      <c r="H66" s="24" t="n">
        <v>41</v>
      </c>
      <c r="I66" s="24" t="n">
        <v>50</v>
      </c>
      <c r="J66" s="19" t="n">
        <f aca="false">SUM(D66:I66)</f>
        <v>156</v>
      </c>
      <c r="K66" s="19" t="n">
        <f aca="false">COUNTIF(D66:I66,"&lt;=49")+COUNTIF(D67:I67,"AB")</f>
        <v>1</v>
      </c>
      <c r="L66" s="19" t="n">
        <f aca="false">COUNTIF(E66:J66,"AB")</f>
        <v>0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customFormat="false" ht="24.75" hidden="false" customHeight="true" outlineLevel="0" collapsed="false">
      <c r="A67" s="19" t="n">
        <v>58</v>
      </c>
      <c r="B67" s="20" t="n">
        <v>511522104061</v>
      </c>
      <c r="C67" s="90" t="s">
        <v>178</v>
      </c>
      <c r="D67" s="27" t="n">
        <v>60</v>
      </c>
      <c r="E67" s="24"/>
      <c r="F67" s="91"/>
      <c r="G67" s="27"/>
      <c r="H67" s="24" t="n">
        <v>39</v>
      </c>
      <c r="I67" s="24" t="n">
        <v>35</v>
      </c>
      <c r="J67" s="19" t="n">
        <f aca="false">SUM(D67:I67)</f>
        <v>134</v>
      </c>
      <c r="K67" s="19" t="n">
        <f aca="false">COUNTIF(D67:I67,"&lt;=49")+COUNTIF(D68:I68,"AB")</f>
        <v>2</v>
      </c>
      <c r="L67" s="19" t="n">
        <f aca="false">COUNTIF(E67:J67,"AB")</f>
        <v>0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customFormat="false" ht="24.75" hidden="false" customHeight="true" outlineLevel="0" collapsed="false">
      <c r="A68" s="19" t="n">
        <v>59</v>
      </c>
      <c r="B68" s="20" t="n">
        <v>511522104062</v>
      </c>
      <c r="C68" s="90" t="s">
        <v>179</v>
      </c>
      <c r="D68" s="27" t="n">
        <v>30</v>
      </c>
      <c r="E68" s="24"/>
      <c r="F68" s="92"/>
      <c r="G68" s="27"/>
      <c r="H68" s="27" t="n">
        <v>19</v>
      </c>
      <c r="I68" s="24" t="n">
        <v>14</v>
      </c>
      <c r="J68" s="19" t="n">
        <f aca="false">SUM(D68:I68)</f>
        <v>63</v>
      </c>
      <c r="K68" s="19" t="n">
        <f aca="false">COUNTIF(D68:I68,"&lt;=49")+COUNTIF(D69:I69,"AB")</f>
        <v>3</v>
      </c>
      <c r="L68" s="19" t="n">
        <f aca="false">COUNTIF(E68:J68,"AB")</f>
        <v>0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customFormat="false" ht="24.75" hidden="false" customHeight="true" outlineLevel="0" collapsed="false">
      <c r="A69" s="19" t="n">
        <v>60</v>
      </c>
      <c r="B69" s="94" t="n">
        <v>511522104301</v>
      </c>
      <c r="C69" s="95" t="s">
        <v>180</v>
      </c>
      <c r="D69" s="96" t="n">
        <v>42</v>
      </c>
      <c r="E69" s="97"/>
      <c r="F69" s="98"/>
      <c r="G69" s="27"/>
      <c r="H69" s="97" t="n">
        <v>44</v>
      </c>
      <c r="I69" s="15" t="n">
        <v>42</v>
      </c>
      <c r="J69" s="19" t="n">
        <f aca="false">SUM(D69:I69)</f>
        <v>128</v>
      </c>
      <c r="K69" s="19" t="n">
        <f aca="false">COUNTIF(D69:I69,"&lt;=49")+COUNTIF(D70:I70,"AB")</f>
        <v>3</v>
      </c>
      <c r="L69" s="19" t="n">
        <f aca="false">COUNTIF(E69:J69,"AB")</f>
        <v>0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customFormat="false" ht="24.75" hidden="false" customHeight="true" outlineLevel="0" collapsed="false">
      <c r="A70" s="19" t="n">
        <v>61</v>
      </c>
      <c r="B70" s="94" t="n">
        <v>511522104302</v>
      </c>
      <c r="C70" s="95" t="s">
        <v>181</v>
      </c>
      <c r="D70" s="96" t="n">
        <v>40</v>
      </c>
      <c r="E70" s="97"/>
      <c r="F70" s="24"/>
      <c r="G70" s="27"/>
      <c r="H70" s="97" t="n">
        <v>24</v>
      </c>
      <c r="I70" s="97" t="n">
        <v>13</v>
      </c>
      <c r="J70" s="19" t="n">
        <f aca="false">SUM(D70:I70)</f>
        <v>77</v>
      </c>
      <c r="K70" s="19" t="n">
        <f aca="false">COUNTIF(D70:I70,"&lt;=49")+COUNTIF(D71:I71,"AB")</f>
        <v>3</v>
      </c>
      <c r="L70" s="19" t="n">
        <f aca="false">COUNTIF(E70:J70,"AB")</f>
        <v>0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customFormat="false" ht="24.75" hidden="false" customHeight="true" outlineLevel="0" collapsed="false">
      <c r="A71" s="19" t="n">
        <v>62</v>
      </c>
      <c r="B71" s="94" t="n">
        <v>511522104701</v>
      </c>
      <c r="C71" s="95" t="s">
        <v>182</v>
      </c>
      <c r="D71" s="96" t="n">
        <v>27</v>
      </c>
      <c r="E71" s="97"/>
      <c r="F71" s="24"/>
      <c r="G71" s="27"/>
      <c r="H71" s="97" t="n">
        <v>18</v>
      </c>
      <c r="I71" s="97" t="n">
        <v>24</v>
      </c>
      <c r="J71" s="19" t="n">
        <f aca="false">SUM(D71:I71)</f>
        <v>69</v>
      </c>
      <c r="K71" s="19" t="n">
        <f aca="false">COUNTIF(D71:I71,"&lt;=49")+COUNTIF(D72:I72,"AB")</f>
        <v>3</v>
      </c>
      <c r="L71" s="19" t="n">
        <f aca="false">COUNTIF(E71:J71,"AB")</f>
        <v>0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customFormat="false" ht="82.5" hidden="false" customHeight="true" outlineLevel="0" collapsed="false">
      <c r="A72" s="99"/>
      <c r="B72" s="99"/>
      <c r="C72" s="99"/>
      <c r="D72" s="99"/>
      <c r="E72" s="99"/>
      <c r="F72" s="99"/>
      <c r="G72" s="99"/>
      <c r="H72" s="99"/>
      <c r="I72" s="99"/>
      <c r="J72" s="99"/>
      <c r="K72" s="99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customFormat="false" ht="24.75" hidden="false" customHeight="true" outlineLevel="0" collapsed="false">
      <c r="A73" s="45" t="s">
        <v>77</v>
      </c>
      <c r="B73" s="45"/>
      <c r="C73" s="45"/>
      <c r="D73" s="24" t="n">
        <v>62</v>
      </c>
      <c r="E73" s="24" t="n">
        <v>62</v>
      </c>
      <c r="F73" s="24" t="n">
        <v>62</v>
      </c>
      <c r="G73" s="24" t="n">
        <v>62</v>
      </c>
      <c r="H73" s="24" t="n">
        <v>62</v>
      </c>
      <c r="I73" s="24" t="n">
        <v>62</v>
      </c>
      <c r="J73" s="46" t="s">
        <v>78</v>
      </c>
      <c r="K73" s="46" t="n">
        <f aca="false">COUNTIF(K10:K68,"1")</f>
        <v>10</v>
      </c>
      <c r="L73" s="44" t="s">
        <v>76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customFormat="false" ht="24.75" hidden="false" customHeight="true" outlineLevel="0" collapsed="false">
      <c r="A74" s="48" t="s">
        <v>79</v>
      </c>
      <c r="B74" s="48"/>
      <c r="C74" s="48"/>
      <c r="D74" s="24" t="n">
        <f aca="false">COUNT(D10:D71,"!AB")</f>
        <v>57</v>
      </c>
      <c r="E74" s="24" t="n">
        <f aca="false">COUNT(E10:E71,"!AB")</f>
        <v>0</v>
      </c>
      <c r="F74" s="24" t="n">
        <f aca="false">COUNT(F10:F71,"!AB")</f>
        <v>0</v>
      </c>
      <c r="G74" s="24" t="n">
        <f aca="false">COUNT(G10:G71,"!AB")</f>
        <v>0</v>
      </c>
      <c r="H74" s="24" t="n">
        <f aca="false">COUNT(H10:H71,"!AB")</f>
        <v>59</v>
      </c>
      <c r="I74" s="24" t="n">
        <f aca="false">COUNT(I10:I71,"!AB")</f>
        <v>53</v>
      </c>
      <c r="J74" s="46" t="s">
        <v>80</v>
      </c>
      <c r="K74" s="46" t="n">
        <f aca="false">COUNTIF(K11:K68,"2")</f>
        <v>16</v>
      </c>
      <c r="L74" s="100" t="n">
        <f aca="false">COUNTIF(K11:K71,"0")</f>
        <v>10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customFormat="false" ht="24.75" hidden="false" customHeight="true" outlineLevel="0" collapsed="false">
      <c r="A75" s="48" t="s">
        <v>81</v>
      </c>
      <c r="B75" s="48"/>
      <c r="C75" s="48"/>
      <c r="D75" s="24" t="n">
        <f aca="false">COUNTIF(D10:D71,"AB")</f>
        <v>5</v>
      </c>
      <c r="E75" s="24" t="n">
        <f aca="false">COUNTIF(E10:E71,"AB")</f>
        <v>0</v>
      </c>
      <c r="F75" s="24" t="n">
        <f aca="false">COUNTIF(F10:F71,"AB")</f>
        <v>0</v>
      </c>
      <c r="G75" s="24" t="n">
        <f aca="false">COUNTIF(G10:G71,"AB")</f>
        <v>0</v>
      </c>
      <c r="H75" s="24" t="n">
        <f aca="false">COUNTIF(H10:H71,"AB")</f>
        <v>3</v>
      </c>
      <c r="I75" s="24" t="n">
        <f aca="false">COUNTIF(I10:I71,"AB")</f>
        <v>9</v>
      </c>
      <c r="J75" s="46" t="s">
        <v>82</v>
      </c>
      <c r="K75" s="46" t="n">
        <f aca="false">COUNTIF(K12:K68,"3")</f>
        <v>21</v>
      </c>
      <c r="L75" s="100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customFormat="false" ht="24.75" hidden="false" customHeight="true" outlineLevel="0" collapsed="false">
      <c r="A76" s="48" t="s">
        <v>83</v>
      </c>
      <c r="B76" s="48"/>
      <c r="C76" s="48"/>
      <c r="D76" s="24" t="n">
        <f aca="false">COUNTIF(D10:D68,"OD")</f>
        <v>0</v>
      </c>
      <c r="E76" s="24" t="n">
        <f aca="false">COUNTIF(E10:E68,"OD")</f>
        <v>0</v>
      </c>
      <c r="F76" s="24" t="n">
        <f aca="false">COUNTIF(F10:F68,"OD")</f>
        <v>0</v>
      </c>
      <c r="G76" s="24" t="n">
        <f aca="false">COUNTIF(G10:G68,"OD")</f>
        <v>0</v>
      </c>
      <c r="H76" s="24" t="n">
        <f aca="false">COUNTIF(H10:H68,"OD")</f>
        <v>0</v>
      </c>
      <c r="I76" s="24" t="n">
        <f aca="false">COUNTIF(I10:I68,"OD")</f>
        <v>0</v>
      </c>
      <c r="J76" s="13" t="s">
        <v>84</v>
      </c>
      <c r="K76" s="46" t="n">
        <f aca="false">COUNTIF(K13:K68,"4")</f>
        <v>0</v>
      </c>
      <c r="L76" s="100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customFormat="false" ht="24.75" hidden="false" customHeight="true" outlineLevel="0" collapsed="false">
      <c r="A77" s="48" t="s">
        <v>85</v>
      </c>
      <c r="B77" s="48"/>
      <c r="C77" s="48"/>
      <c r="D77" s="24" t="n">
        <f aca="false">COUNTIF(D10:D71,"&gt;=50")</f>
        <v>32</v>
      </c>
      <c r="E77" s="24" t="n">
        <f aca="false">COUNTIF(E10:E71,"&gt;=50")</f>
        <v>0</v>
      </c>
      <c r="F77" s="24" t="n">
        <f aca="false">COUNTIF(F10:F71,"&gt;=50")</f>
        <v>0</v>
      </c>
      <c r="G77" s="24" t="n">
        <f aca="false">COUNTIF(G10:G71,"&gt;=50")</f>
        <v>0</v>
      </c>
      <c r="H77" s="24" t="n">
        <f aca="false">COUNTIF(H10:H71,"&gt;=50")</f>
        <v>11</v>
      </c>
      <c r="I77" s="24" t="n">
        <f aca="false">COUNTIF(I10:I71,"&gt;=50")</f>
        <v>17</v>
      </c>
      <c r="J77" s="46" t="s">
        <v>86</v>
      </c>
      <c r="K77" s="46" t="n">
        <f aca="false">COUNTIF(K14:K68,"5")</f>
        <v>0</v>
      </c>
      <c r="L77" s="100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customFormat="false" ht="24.75" hidden="false" customHeight="true" outlineLevel="0" collapsed="false">
      <c r="A78" s="48" t="s">
        <v>87</v>
      </c>
      <c r="B78" s="48"/>
      <c r="C78" s="48"/>
      <c r="D78" s="24" t="n">
        <f aca="false">COUNTIF(D10:D71,"&lt;=49")</f>
        <v>25</v>
      </c>
      <c r="E78" s="24" t="n">
        <f aca="false">COUNTIF(E10:E71,"&lt;=49")</f>
        <v>0</v>
      </c>
      <c r="F78" s="24" t="n">
        <f aca="false">COUNTIF(F10:F71,"&lt;=49")</f>
        <v>0</v>
      </c>
      <c r="G78" s="24" t="n">
        <f aca="false">COUNTIF(G10:G71,"&lt;=49")</f>
        <v>0</v>
      </c>
      <c r="H78" s="24" t="n">
        <f aca="false">COUNTIF(H10:H71,"&lt;=49")</f>
        <v>48</v>
      </c>
      <c r="I78" s="24" t="n">
        <f aca="false">COUNTIF(I10:I71,"&lt;=49")</f>
        <v>36</v>
      </c>
      <c r="J78" s="46" t="s">
        <v>88</v>
      </c>
      <c r="K78" s="46" t="n">
        <f aca="false">COUNTIF(K15:K68,"6")</f>
        <v>1</v>
      </c>
      <c r="L78" s="100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customFormat="false" ht="24.75" hidden="false" customHeight="true" outlineLevel="0" collapsed="false">
      <c r="A79" s="48" t="s">
        <v>89</v>
      </c>
      <c r="B79" s="48"/>
      <c r="C79" s="48"/>
      <c r="D79" s="51" t="n">
        <f aca="false">D77/D74</f>
        <v>0.56140350877193</v>
      </c>
      <c r="E79" s="51" t="e">
        <f aca="false">E77/E74</f>
        <v>#DIV/0!</v>
      </c>
      <c r="F79" s="51" t="e">
        <f aca="false">F77/F74</f>
        <v>#DIV/0!</v>
      </c>
      <c r="G79" s="51" t="e">
        <f aca="false">G77/G74</f>
        <v>#DIV/0!</v>
      </c>
      <c r="H79" s="51" t="n">
        <f aca="false">H77/H74</f>
        <v>0.186440677966102</v>
      </c>
      <c r="I79" s="51" t="n">
        <f aca="false">I77/I74</f>
        <v>0.320754716981132</v>
      </c>
      <c r="J79" s="101"/>
      <c r="K79" s="19"/>
      <c r="L79" s="100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customFormat="false" ht="56.25" hidden="false" customHeight="true" outlineLevel="0" collapsed="false">
      <c r="A80" s="102"/>
      <c r="B80" s="103"/>
      <c r="C80" s="104"/>
      <c r="D80" s="103"/>
      <c r="E80" s="103"/>
      <c r="F80" s="103"/>
      <c r="G80" s="105"/>
      <c r="H80" s="105"/>
      <c r="I80" s="63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customFormat="false" ht="56.25" hidden="false" customHeight="true" outlineLevel="0" collapsed="false">
      <c r="B81" s="106" t="s">
        <v>91</v>
      </c>
      <c r="C81" s="107" t="s">
        <v>92</v>
      </c>
      <c r="D81" s="108" t="s">
        <v>93</v>
      </c>
      <c r="E81" s="107" t="s">
        <v>94</v>
      </c>
      <c r="F81" s="107" t="s">
        <v>95</v>
      </c>
      <c r="G81" s="107" t="s">
        <v>96</v>
      </c>
      <c r="H81" s="107"/>
      <c r="I81" s="62" t="s">
        <v>97</v>
      </c>
      <c r="J81" s="109"/>
      <c r="K81" s="109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customFormat="false" ht="56.25" hidden="false" customHeight="true" outlineLevel="0" collapsed="false">
      <c r="B82" s="106" t="n">
        <v>1</v>
      </c>
      <c r="C82" s="65" t="s">
        <v>183</v>
      </c>
      <c r="D82" s="66" t="s">
        <v>184</v>
      </c>
      <c r="E82" s="31" t="n">
        <f aca="false">D74</f>
        <v>57</v>
      </c>
      <c r="F82" s="31" t="n">
        <f aca="false">D75</f>
        <v>5</v>
      </c>
      <c r="G82" s="31" t="n">
        <f aca="false">D77</f>
        <v>32</v>
      </c>
      <c r="H82" s="31"/>
      <c r="I82" s="74" t="n">
        <f aca="false">G82/E82*100</f>
        <v>56.140350877193</v>
      </c>
      <c r="J82" s="110"/>
      <c r="K82" s="110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customFormat="false" ht="39.75" hidden="false" customHeight="true" outlineLevel="0" collapsed="false">
      <c r="B83" s="106" t="n">
        <v>2</v>
      </c>
      <c r="C83" s="65" t="s">
        <v>185</v>
      </c>
      <c r="D83" s="111" t="s">
        <v>186</v>
      </c>
      <c r="E83" s="31" t="n">
        <f aca="false">E74</f>
        <v>0</v>
      </c>
      <c r="F83" s="31" t="n">
        <f aca="false">E75</f>
        <v>0</v>
      </c>
      <c r="G83" s="31" t="n">
        <f aca="false">E77</f>
        <v>0</v>
      </c>
      <c r="H83" s="31"/>
      <c r="I83" s="74" t="e">
        <f aca="false">G83/E83*100</f>
        <v>#DIV/0!</v>
      </c>
      <c r="J83" s="112"/>
      <c r="K83" s="11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customFormat="false" ht="45" hidden="false" customHeight="true" outlineLevel="0" collapsed="false">
      <c r="B84" s="106" t="n">
        <v>3</v>
      </c>
      <c r="C84" s="65" t="s">
        <v>187</v>
      </c>
      <c r="D84" s="111" t="s">
        <v>188</v>
      </c>
      <c r="E84" s="31" t="n">
        <f aca="false">F74</f>
        <v>0</v>
      </c>
      <c r="F84" s="31" t="n">
        <v>7</v>
      </c>
      <c r="G84" s="31" t="n">
        <v>39</v>
      </c>
      <c r="H84" s="31"/>
      <c r="I84" s="74" t="e">
        <f aca="false">G84/E84*100</f>
        <v>#DIV/0!</v>
      </c>
      <c r="J84" s="110"/>
      <c r="K84" s="110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customFormat="false" ht="60.75" hidden="false" customHeight="true" outlineLevel="0" collapsed="false">
      <c r="B85" s="106" t="n">
        <v>4</v>
      </c>
      <c r="C85" s="65" t="s">
        <v>189</v>
      </c>
      <c r="D85" s="66" t="s">
        <v>190</v>
      </c>
      <c r="E85" s="31" t="n">
        <f aca="false">G74</f>
        <v>0</v>
      </c>
      <c r="F85" s="31" t="n">
        <f aca="false">G75</f>
        <v>0</v>
      </c>
      <c r="G85" s="31" t="n">
        <f aca="false">G77</f>
        <v>0</v>
      </c>
      <c r="H85" s="31"/>
      <c r="I85" s="74" t="e">
        <f aca="false">G85/E85*100</f>
        <v>#DIV/0!</v>
      </c>
      <c r="J85" s="110"/>
      <c r="K85" s="110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customFormat="false" ht="45" hidden="false" customHeight="true" outlineLevel="0" collapsed="false">
      <c r="B86" s="106" t="n">
        <v>5</v>
      </c>
      <c r="C86" s="65" t="s">
        <v>191</v>
      </c>
      <c r="D86" s="111" t="s">
        <v>192</v>
      </c>
      <c r="E86" s="31" t="n">
        <v>56</v>
      </c>
      <c r="F86" s="31" t="n">
        <v>3</v>
      </c>
      <c r="G86" s="31" t="n">
        <v>11</v>
      </c>
      <c r="H86" s="31"/>
      <c r="I86" s="74" t="n">
        <v>18</v>
      </c>
      <c r="J86" s="110"/>
      <c r="K86" s="110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customFormat="false" ht="60.75" hidden="false" customHeight="true" outlineLevel="0" collapsed="false">
      <c r="B87" s="106" t="n">
        <v>6</v>
      </c>
      <c r="C87" s="65" t="s">
        <v>193</v>
      </c>
      <c r="D87" s="66" t="s">
        <v>194</v>
      </c>
      <c r="E87" s="31" t="n">
        <v>56</v>
      </c>
      <c r="F87" s="31" t="n">
        <v>6</v>
      </c>
      <c r="G87" s="31" t="n">
        <v>21</v>
      </c>
      <c r="H87" s="31"/>
      <c r="I87" s="74" t="n">
        <f aca="false">G87/E87*100</f>
        <v>37.5</v>
      </c>
      <c r="J87" s="110"/>
      <c r="K87" s="110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customFormat="false" ht="24.75" hidden="false" customHeight="true" outlineLevel="0" collapsed="false">
      <c r="B88" s="8"/>
      <c r="C88" s="113" t="s">
        <v>195</v>
      </c>
      <c r="D88" s="113"/>
      <c r="E88" s="113"/>
      <c r="F88" s="113"/>
      <c r="G88" s="113"/>
      <c r="H88" s="113"/>
      <c r="I88" s="113"/>
      <c r="J88" s="11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customFormat="false" ht="24.75" hidden="false" customHeight="true" outlineLevel="0" collapsed="false">
      <c r="B89" s="8"/>
      <c r="C89" s="114" t="s">
        <v>196</v>
      </c>
      <c r="D89" s="115" t="s">
        <v>197</v>
      </c>
      <c r="E89" s="114" t="s">
        <v>198</v>
      </c>
      <c r="F89" s="114"/>
      <c r="G89" s="114"/>
      <c r="H89" s="114"/>
      <c r="I89" s="114"/>
      <c r="J89" s="114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customFormat="false" ht="24.75" hidden="false" customHeight="true" outlineLevel="0" collapsed="false">
      <c r="B90" s="8"/>
      <c r="C90" s="114"/>
      <c r="D90" s="116"/>
      <c r="E90" s="116" t="s">
        <v>199</v>
      </c>
      <c r="F90" s="116" t="s">
        <v>200</v>
      </c>
      <c r="G90" s="116" t="s">
        <v>201</v>
      </c>
      <c r="H90" s="116" t="s">
        <v>202</v>
      </c>
      <c r="I90" s="116" t="s">
        <v>203</v>
      </c>
      <c r="J90" s="116" t="s">
        <v>204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customFormat="false" ht="24.75" hidden="false" customHeight="true" outlineLevel="0" collapsed="false">
      <c r="B91" s="8"/>
      <c r="C91" s="117" t="s">
        <v>205</v>
      </c>
      <c r="D91" s="118"/>
      <c r="E91" s="116" t="n">
        <f aca="false">K73</f>
        <v>10</v>
      </c>
      <c r="F91" s="116" t="n">
        <f aca="false">K74</f>
        <v>16</v>
      </c>
      <c r="G91" s="116" t="n">
        <f aca="false">K75</f>
        <v>21</v>
      </c>
      <c r="H91" s="116" t="n">
        <f aca="false">K76</f>
        <v>0</v>
      </c>
      <c r="I91" s="116" t="n">
        <f aca="false">K77</f>
        <v>0</v>
      </c>
      <c r="J91" s="116" t="n">
        <f aca="false">K78</f>
        <v>1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customFormat="false" ht="15.75" hidden="false" customHeight="true" outlineLevel="0" collapsed="false">
      <c r="B92" s="8"/>
      <c r="C92" s="117" t="s">
        <v>206</v>
      </c>
      <c r="D92" s="118"/>
      <c r="E92" s="119"/>
      <c r="F92" s="120"/>
      <c r="G92" s="120"/>
      <c r="H92" s="120"/>
      <c r="I92" s="120"/>
      <c r="J92" s="120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customFormat="false" ht="15.75" hidden="false" customHeight="true" outlineLevel="0" collapsed="false">
      <c r="B93" s="2"/>
      <c r="C93" s="78"/>
      <c r="D93" s="79"/>
      <c r="F93" s="78"/>
      <c r="G93" s="78"/>
      <c r="H93" s="78"/>
      <c r="I93" s="78"/>
      <c r="J93" s="78"/>
      <c r="K93" s="8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customFormat="false" ht="15.75" hidden="false" customHeight="true" outlineLevel="0" collapsed="false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customFormat="false" ht="15.75" hidden="false" customHeight="true" outlineLevel="0" collapsed="false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customFormat="false" ht="15.75" hidden="false" customHeight="true" outlineLevel="0" collapsed="false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customFormat="false" ht="15.75" hidden="false" customHeight="true" outlineLevel="0" collapsed="false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customFormat="false" ht="15.75" hidden="false" customHeight="true" outlineLevel="0" collapsed="false">
      <c r="A98" s="2"/>
      <c r="B98" s="2"/>
      <c r="C98" s="3"/>
      <c r="D98" s="2"/>
      <c r="E98" s="2"/>
      <c r="F98" s="121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customFormat="false" ht="15.75" hidden="false" customHeight="true" outlineLevel="0" collapsed="false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customFormat="false" ht="15.75" hidden="false" customHeight="true" outlineLevel="0" collapsed="false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customFormat="false" ht="15.75" hidden="false" customHeight="true" outlineLevel="0" collapsed="false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customFormat="false" ht="15.75" hidden="false" customHeight="true" outlineLevel="0" collapsed="false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customFormat="false" ht="15.75" hidden="false" customHeight="true" outlineLevel="0" collapsed="false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customFormat="false" ht="15.75" hidden="false" customHeight="true" outlineLevel="0" collapsed="false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customFormat="false" ht="15.75" hidden="false" customHeight="true" outlineLevel="0" collapsed="false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customFormat="false" ht="15.75" hidden="false" customHeight="true" outlineLevel="0" collapsed="false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customFormat="false" ht="15.75" hidden="false" customHeight="true" outlineLevel="0" collapsed="false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customFormat="false" ht="15.75" hidden="false" customHeight="true" outlineLevel="0" collapsed="false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customFormat="false" ht="15.75" hidden="false" customHeight="true" outlineLevel="0" collapsed="false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customFormat="false" ht="15.75" hidden="false" customHeight="true" outlineLevel="0" collapsed="false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customFormat="false" ht="15.75" hidden="false" customHeight="true" outlineLevel="0" collapsed="false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customFormat="false" ht="15.75" hidden="false" customHeight="true" outlineLevel="0" collapsed="false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customFormat="false" ht="15.75" hidden="false" customHeight="true" outlineLevel="0" collapsed="false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customFormat="false" ht="15.75" hidden="false" customHeight="true" outlineLevel="0" collapsed="false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customFormat="false" ht="15.75" hidden="false" customHeight="true" outlineLevel="0" collapsed="false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customFormat="false" ht="15.75" hidden="false" customHeight="true" outlineLevel="0" collapsed="false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customFormat="false" ht="15.75" hidden="false" customHeight="true" outlineLevel="0" collapsed="false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customFormat="false" ht="15.75" hidden="false" customHeight="true" outlineLevel="0" collapsed="false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customFormat="false" ht="15.75" hidden="false" customHeight="true" outlineLevel="0" collapsed="false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customFormat="false" ht="15.75" hidden="false" customHeight="true" outlineLevel="0" collapsed="false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customFormat="false" ht="15.75" hidden="false" customHeight="true" outlineLevel="0" collapsed="false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customFormat="false" ht="15.75" hidden="false" customHeight="true" outlineLevel="0" collapsed="false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customFormat="false" ht="15.75" hidden="false" customHeight="true" outlineLevel="0" collapsed="false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customFormat="false" ht="15.75" hidden="false" customHeight="true" outlineLevel="0" collapsed="false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customFormat="false" ht="15.75" hidden="false" customHeight="true" outlineLevel="0" collapsed="false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customFormat="false" ht="15.75" hidden="false" customHeight="true" outlineLevel="0" collapsed="false">
      <c r="A126" s="2"/>
      <c r="B126" s="2"/>
      <c r="C126" s="80" t="s">
        <v>110</v>
      </c>
      <c r="D126" s="80"/>
      <c r="F126" s="81" t="s">
        <v>111</v>
      </c>
      <c r="G126" s="81"/>
      <c r="H126" s="81"/>
      <c r="I126" s="81" t="s">
        <v>112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customFormat="false" ht="15.75" hidden="false" customHeight="true" outlineLevel="0" collapsed="false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customFormat="false" ht="15.75" hidden="false" customHeight="true" outlineLevel="0" collapsed="false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customFormat="false" ht="15.75" hidden="false" customHeight="true" outlineLevel="0" collapsed="false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customFormat="false" ht="15.75" hidden="false" customHeight="true" outlineLevel="0" collapsed="false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customFormat="false" ht="15.75" hidden="false" customHeight="true" outlineLevel="0" collapsed="false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customFormat="false" ht="15.75" hidden="false" customHeight="true" outlineLevel="0" collapsed="false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customFormat="false" ht="15.75" hidden="false" customHeight="true" outlineLevel="0" collapsed="false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customFormat="false" ht="15.75" hidden="false" customHeight="true" outlineLevel="0" collapsed="false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customFormat="false" ht="15.75" hidden="false" customHeight="true" outlineLevel="0" collapsed="false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customFormat="false" ht="15.75" hidden="false" customHeight="true" outlineLevel="0" collapsed="false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customFormat="false" ht="15.75" hidden="false" customHeight="true" outlineLevel="0" collapsed="false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customFormat="false" ht="15.75" hidden="false" customHeight="true" outlineLevel="0" collapsed="false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customFormat="false" ht="15.75" hidden="false" customHeight="true" outlineLevel="0" collapsed="false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customFormat="false" ht="15.75" hidden="false" customHeight="true" outlineLevel="0" collapsed="false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customFormat="false" ht="15.75" hidden="false" customHeight="true" outlineLevel="0" collapsed="false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customFormat="false" ht="15.75" hidden="false" customHeight="true" outlineLevel="0" collapsed="false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customFormat="false" ht="15.75" hidden="false" customHeight="true" outlineLevel="0" collapsed="false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customFormat="false" ht="15.75" hidden="false" customHeight="true" outlineLevel="0" collapsed="false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customFormat="false" ht="15.75" hidden="false" customHeight="true" outlineLevel="0" collapsed="false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customFormat="false" ht="15.75" hidden="false" customHeight="true" outlineLevel="0" collapsed="false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customFormat="false" ht="15.75" hidden="false" customHeight="true" outlineLevel="0" collapsed="false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customFormat="false" ht="15.75" hidden="false" customHeight="true" outlineLevel="0" collapsed="false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customFormat="false" ht="15.75" hidden="false" customHeight="true" outlineLevel="0" collapsed="false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customFormat="false" ht="15.75" hidden="false" customHeight="true" outlineLevel="0" collapsed="false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customFormat="false" ht="15.75" hidden="false" customHeight="true" outlineLevel="0" collapsed="false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customFormat="false" ht="15.75" hidden="false" customHeight="true" outlineLevel="0" collapsed="false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customFormat="false" ht="15.75" hidden="false" customHeight="true" outlineLevel="0" collapsed="false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customFormat="false" ht="15.75" hidden="false" customHeight="true" outlineLevel="0" collapsed="false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customFormat="false" ht="15.75" hidden="false" customHeight="true" outlineLevel="0" collapsed="false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customFormat="false" ht="15.75" hidden="false" customHeight="true" outlineLevel="0" collapsed="false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customFormat="false" ht="15.75" hidden="false" customHeight="true" outlineLevel="0" collapsed="false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customFormat="false" ht="15.75" hidden="false" customHeight="true" outlineLevel="0" collapsed="false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customFormat="false" ht="15.75" hidden="false" customHeight="true" outlineLevel="0" collapsed="false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customFormat="false" ht="15.75" hidden="false" customHeight="true" outlineLevel="0" collapsed="false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customFormat="false" ht="15.75" hidden="false" customHeight="true" outlineLevel="0" collapsed="false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customFormat="false" ht="15.75" hidden="false" customHeight="true" outlineLevel="0" collapsed="false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customFormat="false" ht="15.75" hidden="false" customHeight="true" outlineLevel="0" collapsed="false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customFormat="false" ht="15.75" hidden="false" customHeight="true" outlineLevel="0" collapsed="false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customFormat="false" ht="15.75" hidden="false" customHeight="true" outlineLevel="0" collapsed="false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customFormat="false" ht="15.75" hidden="false" customHeight="true" outlineLevel="0" collapsed="false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customFormat="false" ht="15.75" hidden="false" customHeight="true" outlineLevel="0" collapsed="false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customFormat="false" ht="15.75" hidden="false" customHeight="true" outlineLevel="0" collapsed="false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customFormat="false" ht="15.75" hidden="false" customHeight="true" outlineLevel="0" collapsed="false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customFormat="false" ht="15.75" hidden="false" customHeight="true" outlineLevel="0" collapsed="false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customFormat="false" ht="15.75" hidden="false" customHeight="true" outlineLevel="0" collapsed="false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customFormat="false" ht="15.75" hidden="false" customHeight="true" outlineLevel="0" collapsed="false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customFormat="false" ht="15.75" hidden="false" customHeight="true" outlineLevel="0" collapsed="false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customFormat="false" ht="15.75" hidden="false" customHeight="true" outlineLevel="0" collapsed="false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customFormat="false" ht="15.75" hidden="false" customHeight="true" outlineLevel="0" collapsed="false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customFormat="false" ht="15.75" hidden="false" customHeight="true" outlineLevel="0" collapsed="false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customFormat="false" ht="15.75" hidden="false" customHeight="true" outlineLevel="0" collapsed="false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customFormat="false" ht="15.75" hidden="false" customHeight="true" outlineLevel="0" collapsed="false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customFormat="false" ht="15.75" hidden="false" customHeight="true" outlineLevel="0" collapsed="false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customFormat="false" ht="15.75" hidden="false" customHeight="true" outlineLevel="0" collapsed="false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customFormat="false" ht="15.75" hidden="false" customHeight="true" outlineLevel="0" collapsed="false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customFormat="false" ht="15.75" hidden="false" customHeight="true" outlineLevel="0" collapsed="false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customFormat="false" ht="15.75" hidden="false" customHeight="true" outlineLevel="0" collapsed="false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customFormat="false" ht="15.75" hidden="false" customHeight="true" outlineLevel="0" collapsed="false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customFormat="false" ht="15.75" hidden="false" customHeight="true" outlineLevel="0" collapsed="false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customFormat="false" ht="15.75" hidden="false" customHeight="true" outlineLevel="0" collapsed="false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customFormat="false" ht="15.75" hidden="false" customHeight="true" outlineLevel="0" collapsed="false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customFormat="false" ht="15.75" hidden="false" customHeight="true" outlineLevel="0" collapsed="false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customFormat="false" ht="15.75" hidden="false" customHeight="true" outlineLevel="0" collapsed="false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customFormat="false" ht="15.75" hidden="false" customHeight="true" outlineLevel="0" collapsed="false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customFormat="false" ht="15.75" hidden="false" customHeight="true" outlineLevel="0" collapsed="false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customFormat="false" ht="15.75" hidden="false" customHeight="true" outlineLevel="0" collapsed="false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customFormat="false" ht="15.75" hidden="false" customHeight="true" outlineLevel="0" collapsed="false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customFormat="false" ht="15.75" hidden="false" customHeight="true" outlineLevel="0" collapsed="false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customFormat="false" ht="15.75" hidden="false" customHeight="true" outlineLevel="0" collapsed="false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customFormat="false" ht="15.75" hidden="false" customHeight="true" outlineLevel="0" collapsed="false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customFormat="false" ht="15.75" hidden="false" customHeight="true" outlineLevel="0" collapsed="false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customFormat="false" ht="15.75" hidden="false" customHeight="true" outlineLevel="0" collapsed="false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customFormat="false" ht="15.75" hidden="false" customHeight="true" outlineLevel="0" collapsed="false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customFormat="false" ht="15.75" hidden="false" customHeight="true" outlineLevel="0" collapsed="false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customFormat="false" ht="15.75" hidden="false" customHeight="true" outlineLevel="0" collapsed="false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customFormat="false" ht="15.75" hidden="false" customHeight="true" outlineLevel="0" collapsed="false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customFormat="false" ht="15.75" hidden="false" customHeight="true" outlineLevel="0" collapsed="false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customFormat="false" ht="15.75" hidden="false" customHeight="true" outlineLevel="0" collapsed="false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customFormat="false" ht="15.75" hidden="false" customHeight="true" outlineLevel="0" collapsed="false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customFormat="false" ht="15.75" hidden="false" customHeight="true" outlineLevel="0" collapsed="false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customFormat="false" ht="15.75" hidden="false" customHeight="true" outlineLevel="0" collapsed="false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customFormat="false" ht="15.75" hidden="false" customHeight="true" outlineLevel="0" collapsed="false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customFormat="false" ht="15.75" hidden="false" customHeight="true" outlineLevel="0" collapsed="false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customFormat="false" ht="15.75" hidden="false" customHeight="true" outlineLevel="0" collapsed="false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customFormat="false" ht="15.75" hidden="false" customHeight="true" outlineLevel="0" collapsed="false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customFormat="false" ht="15.75" hidden="false" customHeight="true" outlineLevel="0" collapsed="false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customFormat="false" ht="15.75" hidden="false" customHeight="true" outlineLevel="0" collapsed="false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customFormat="false" ht="15.75" hidden="false" customHeight="true" outlineLevel="0" collapsed="false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customFormat="false" ht="15.75" hidden="false" customHeight="true" outlineLevel="0" collapsed="false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customFormat="false" ht="15.75" hidden="false" customHeight="true" outlineLevel="0" collapsed="false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customFormat="false" ht="15.75" hidden="false" customHeight="true" outlineLevel="0" collapsed="false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customFormat="false" ht="15.75" hidden="false" customHeight="true" outlineLevel="0" collapsed="false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customFormat="false" ht="15.75" hidden="false" customHeight="true" outlineLevel="0" collapsed="false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customFormat="false" ht="15.75" hidden="false" customHeight="true" outlineLevel="0" collapsed="false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customFormat="false" ht="15.75" hidden="false" customHeight="true" outlineLevel="0" collapsed="false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customFormat="false" ht="15.75" hidden="false" customHeight="true" outlineLevel="0" collapsed="false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customFormat="false" ht="15.75" hidden="false" customHeight="true" outlineLevel="0" collapsed="false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customFormat="false" ht="15.75" hidden="false" customHeight="true" outlineLevel="0" collapsed="false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customFormat="false" ht="15.75" hidden="false" customHeight="true" outlineLevel="0" collapsed="false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customFormat="false" ht="15.75" hidden="false" customHeight="true" outlineLevel="0" collapsed="false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customFormat="false" ht="15.75" hidden="false" customHeight="true" outlineLevel="0" collapsed="false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customFormat="false" ht="15.75" hidden="false" customHeight="true" outlineLevel="0" collapsed="false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customFormat="false" ht="15.75" hidden="false" customHeight="true" outlineLevel="0" collapsed="false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customFormat="false" ht="15.75" hidden="false" customHeight="true" outlineLevel="0" collapsed="false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customFormat="false" ht="15.75" hidden="false" customHeight="true" outlineLevel="0" collapsed="false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customFormat="false" ht="15.75" hidden="false" customHeight="true" outlineLevel="0" collapsed="false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customFormat="false" ht="15.75" hidden="false" customHeight="true" outlineLevel="0" collapsed="false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customFormat="false" ht="15.75" hidden="false" customHeight="true" outlineLevel="0" collapsed="false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customFormat="false" ht="15.75" hidden="false" customHeight="true" outlineLevel="0" collapsed="false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customFormat="false" ht="15.75" hidden="false" customHeight="true" outlineLevel="0" collapsed="false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customFormat="false" ht="15.75" hidden="false" customHeight="true" outlineLevel="0" collapsed="false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customFormat="false" ht="15.75" hidden="false" customHeight="true" outlineLevel="0" collapsed="false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customFormat="false" ht="15.75" hidden="false" customHeight="true" outlineLevel="0" collapsed="false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customFormat="false" ht="15.75" hidden="false" customHeight="true" outlineLevel="0" collapsed="false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customFormat="false" ht="15.75" hidden="false" customHeight="true" outlineLevel="0" collapsed="false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customFormat="false" ht="15.75" hidden="false" customHeight="true" outlineLevel="0" collapsed="false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customFormat="false" ht="15.75" hidden="false" customHeight="true" outlineLevel="0" collapsed="false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customFormat="false" ht="15.75" hidden="false" customHeight="true" outlineLevel="0" collapsed="false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customFormat="false" ht="15.75" hidden="false" customHeight="true" outlineLevel="0" collapsed="false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customFormat="false" ht="15.75" hidden="false" customHeight="true" outlineLevel="0" collapsed="false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customFormat="false" ht="15.75" hidden="false" customHeight="true" outlineLevel="0" collapsed="false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customFormat="false" ht="15.75" hidden="false" customHeight="true" outlineLevel="0" collapsed="false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customFormat="false" ht="15.75" hidden="false" customHeight="true" outlineLevel="0" collapsed="false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customFormat="false" ht="15.75" hidden="false" customHeight="true" outlineLevel="0" collapsed="false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customFormat="false" ht="15.75" hidden="false" customHeight="true" outlineLevel="0" collapsed="false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customFormat="false" ht="15.75" hidden="false" customHeight="true" outlineLevel="0" collapsed="false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customFormat="false" ht="15.75" hidden="false" customHeight="true" outlineLevel="0" collapsed="false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customFormat="false" ht="15.75" hidden="false" customHeight="true" outlineLevel="0" collapsed="false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customFormat="false" ht="15.75" hidden="false" customHeight="true" outlineLevel="0" collapsed="false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customFormat="false" ht="15.75" hidden="false" customHeight="true" outlineLevel="0" collapsed="false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customFormat="false" ht="15.75" hidden="false" customHeight="true" outlineLevel="0" collapsed="false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customFormat="false" ht="15.75" hidden="false" customHeight="true" outlineLevel="0" collapsed="false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customFormat="false" ht="15.75" hidden="false" customHeight="true" outlineLevel="0" collapsed="false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customFormat="false" ht="15.75" hidden="false" customHeight="true" outlineLevel="0" collapsed="false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customFormat="false" ht="15.75" hidden="false" customHeight="true" outlineLevel="0" collapsed="false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customFormat="false" ht="15.75" hidden="false" customHeight="true" outlineLevel="0" collapsed="false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customFormat="false" ht="15.75" hidden="false" customHeight="true" outlineLevel="0" collapsed="false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customFormat="false" ht="15.75" hidden="false" customHeight="true" outlineLevel="0" collapsed="false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customFormat="false" ht="15.75" hidden="false" customHeight="true" outlineLevel="0" collapsed="false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customFormat="false" ht="15.75" hidden="false" customHeight="true" outlineLevel="0" collapsed="false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customFormat="false" ht="15.75" hidden="false" customHeight="true" outlineLevel="0" collapsed="false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customFormat="false" ht="15.75" hidden="false" customHeight="true" outlineLevel="0" collapsed="false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customFormat="false" ht="15.75" hidden="false" customHeight="true" outlineLevel="0" collapsed="false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customFormat="false" ht="15.75" hidden="false" customHeight="true" outlineLevel="0" collapsed="false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customFormat="false" ht="15.75" hidden="false" customHeight="true" outlineLevel="0" collapsed="false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customFormat="false" ht="15.75" hidden="false" customHeight="true" outlineLevel="0" collapsed="false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customFormat="false" ht="15.75" hidden="false" customHeight="true" outlineLevel="0" collapsed="false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customFormat="false" ht="15.75" hidden="false" customHeight="true" outlineLevel="0" collapsed="false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customFormat="false" ht="15.75" hidden="false" customHeight="true" outlineLevel="0" collapsed="false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customFormat="false" ht="15.75" hidden="false" customHeight="true" outlineLevel="0" collapsed="false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customFormat="false" ht="15.75" hidden="false" customHeight="true" outlineLevel="0" collapsed="false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customFormat="false" ht="15.75" hidden="false" customHeight="true" outlineLevel="0" collapsed="false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customFormat="false" ht="15.75" hidden="false" customHeight="true" outlineLevel="0" collapsed="false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customFormat="false" ht="15.75" hidden="false" customHeight="true" outlineLevel="0" collapsed="false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customFormat="false" ht="15.75" hidden="false" customHeight="true" outlineLevel="0" collapsed="false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customFormat="false" ht="15.75" hidden="false" customHeight="true" outlineLevel="0" collapsed="false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customFormat="false" ht="15.75" hidden="false" customHeight="true" outlineLevel="0" collapsed="false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customFormat="false" ht="15.75" hidden="false" customHeight="true" outlineLevel="0" collapsed="false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customFormat="false" ht="15.75" hidden="false" customHeight="true" outlineLevel="0" collapsed="false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customFormat="false" ht="15.75" hidden="false" customHeight="true" outlineLevel="0" collapsed="false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customFormat="false" ht="15.75" hidden="false" customHeight="true" outlineLevel="0" collapsed="false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customFormat="false" ht="15.75" hidden="false" customHeight="true" outlineLevel="0" collapsed="false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customFormat="false" ht="15.75" hidden="false" customHeight="true" outlineLevel="0" collapsed="false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customFormat="false" ht="15.75" hidden="false" customHeight="true" outlineLevel="0" collapsed="false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customFormat="false" ht="15.75" hidden="false" customHeight="true" outlineLevel="0" collapsed="false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customFormat="false" ht="15.75" hidden="false" customHeight="true" outlineLevel="0" collapsed="false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customFormat="false" ht="15.75" hidden="false" customHeight="true" outlineLevel="0" collapsed="false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customFormat="false" ht="15.75" hidden="false" customHeight="true" outlineLevel="0" collapsed="false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customFormat="false" ht="15.75" hidden="false" customHeight="true" outlineLevel="0" collapsed="false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customFormat="false" ht="15.75" hidden="false" customHeight="true" outlineLevel="0" collapsed="false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customFormat="false" ht="15.75" hidden="false" customHeight="true" outlineLevel="0" collapsed="false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customFormat="false" ht="15.75" hidden="false" customHeight="true" outlineLevel="0" collapsed="false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customFormat="false" ht="15.75" hidden="false" customHeight="true" outlineLevel="0" collapsed="false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customFormat="false" ht="15.75" hidden="false" customHeight="true" outlineLevel="0" collapsed="false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customFormat="false" ht="15.75" hidden="false" customHeight="true" outlineLevel="0" collapsed="false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customFormat="false" ht="15.75" hidden="false" customHeight="true" outlineLevel="0" collapsed="false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customFormat="false" ht="15.75" hidden="false" customHeight="true" outlineLevel="0" collapsed="false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customFormat="false" ht="15.75" hidden="false" customHeight="true" outlineLevel="0" collapsed="false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customFormat="false" ht="15.75" hidden="false" customHeight="true" outlineLevel="0" collapsed="false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customFormat="false" ht="15.75" hidden="false" customHeight="true" outlineLevel="0" collapsed="false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customFormat="false" ht="15.75" hidden="false" customHeight="true" outlineLevel="0" collapsed="false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customFormat="false" ht="15.75" hidden="false" customHeight="true" outlineLevel="0" collapsed="false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customFormat="false" ht="15.75" hidden="false" customHeight="true" outlineLevel="0" collapsed="false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customFormat="false" ht="15.75" hidden="false" customHeight="true" outlineLevel="0" collapsed="false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customFormat="false" ht="15.75" hidden="false" customHeight="true" outlineLevel="0" collapsed="false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customFormat="false" ht="15.75" hidden="false" customHeight="true" outlineLevel="0" collapsed="false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customFormat="false" ht="15.75" hidden="false" customHeight="true" outlineLevel="0" collapsed="false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customFormat="false" ht="15.75" hidden="false" customHeight="true" outlineLevel="0" collapsed="false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customFormat="false" ht="15.75" hidden="false" customHeight="true" outlineLevel="0" collapsed="false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customFormat="false" ht="15.75" hidden="false" customHeight="true" outlineLevel="0" collapsed="false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customFormat="false" ht="15.75" hidden="false" customHeight="true" outlineLevel="0" collapsed="false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customFormat="false" ht="15.75" hidden="false" customHeight="true" outlineLevel="0" collapsed="false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customFormat="false" ht="15.75" hidden="false" customHeight="true" outlineLevel="0" collapsed="false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customFormat="false" ht="15.75" hidden="false" customHeight="true" outlineLevel="0" collapsed="false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customFormat="false" ht="15.75" hidden="false" customHeight="true" outlineLevel="0" collapsed="false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customFormat="false" ht="15.75" hidden="false" customHeight="true" outlineLevel="0" collapsed="false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customFormat="false" ht="15.75" hidden="false" customHeight="true" outlineLevel="0" collapsed="false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customFormat="false" ht="15.75" hidden="false" customHeight="true" outlineLevel="0" collapsed="false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customFormat="false" ht="15.75" hidden="false" customHeight="true" outlineLevel="0" collapsed="false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customFormat="false" ht="15.75" hidden="false" customHeight="true" outlineLevel="0" collapsed="false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customFormat="false" ht="15.75" hidden="false" customHeight="true" outlineLevel="0" collapsed="false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customFormat="false" ht="15.75" hidden="false" customHeight="true" outlineLevel="0" collapsed="false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customFormat="false" ht="15.75" hidden="false" customHeight="true" outlineLevel="0" collapsed="false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customFormat="false" ht="15.75" hidden="false" customHeight="true" outlineLevel="0" collapsed="false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customFormat="false" ht="15.75" hidden="false" customHeight="true" outlineLevel="0" collapsed="false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customFormat="false" ht="15.75" hidden="false" customHeight="true" outlineLevel="0" collapsed="false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customFormat="false" ht="15.75" hidden="false" customHeight="true" outlineLevel="0" collapsed="false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customFormat="false" ht="15.75" hidden="false" customHeight="true" outlineLevel="0" collapsed="false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customFormat="false" ht="15.75" hidden="false" customHeight="true" outlineLevel="0" collapsed="false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customFormat="false" ht="15.75" hidden="false" customHeight="true" outlineLevel="0" collapsed="false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customFormat="false" ht="15.75" hidden="false" customHeight="true" outlineLevel="0" collapsed="false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customFormat="false" ht="15.75" hidden="false" customHeight="true" outlineLevel="0" collapsed="false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customFormat="false" ht="15.75" hidden="false" customHeight="true" outlineLevel="0" collapsed="false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customFormat="false" ht="15.75" hidden="false" customHeight="true" outlineLevel="0" collapsed="false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customFormat="false" ht="15.75" hidden="false" customHeight="true" outlineLevel="0" collapsed="false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customFormat="false" ht="15.75" hidden="false" customHeight="true" outlineLevel="0" collapsed="false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customFormat="false" ht="15.75" hidden="false" customHeight="true" outlineLevel="0" collapsed="false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customFormat="false" ht="15.75" hidden="false" customHeight="true" outlineLevel="0" collapsed="false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customFormat="false" ht="15.75" hidden="false" customHeight="true" outlineLevel="0" collapsed="false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customFormat="false" ht="15.75" hidden="false" customHeight="true" outlineLevel="0" collapsed="false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customFormat="false" ht="15.75" hidden="false" customHeight="true" outlineLevel="0" collapsed="false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customFormat="false" ht="15.75" hidden="false" customHeight="true" outlineLevel="0" collapsed="false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customFormat="false" ht="15.75" hidden="false" customHeight="true" outlineLevel="0" collapsed="false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customFormat="false" ht="15.75" hidden="false" customHeight="true" outlineLevel="0" collapsed="false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customFormat="false" ht="15.75" hidden="false" customHeight="true" outlineLevel="0" collapsed="false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customFormat="false" ht="15.75" hidden="false" customHeight="true" outlineLevel="0" collapsed="false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customFormat="false" ht="15.75" hidden="false" customHeight="true" outlineLevel="0" collapsed="false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customFormat="false" ht="15.75" hidden="false" customHeight="true" outlineLevel="0" collapsed="false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customFormat="false" ht="15.75" hidden="false" customHeight="true" outlineLevel="0" collapsed="false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customFormat="false" ht="15.75" hidden="false" customHeight="true" outlineLevel="0" collapsed="false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customFormat="false" ht="15.75" hidden="false" customHeight="true" outlineLevel="0" collapsed="false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customFormat="false" ht="15.75" hidden="false" customHeight="true" outlineLevel="0" collapsed="false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customFormat="false" ht="15.75" hidden="false" customHeight="true" outlineLevel="0" collapsed="false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customFormat="false" ht="15.75" hidden="false" customHeight="true" outlineLevel="0" collapsed="false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customFormat="false" ht="15.75" hidden="false" customHeight="true" outlineLevel="0" collapsed="false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customFormat="false" ht="15.75" hidden="false" customHeight="true" outlineLevel="0" collapsed="false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customFormat="false" ht="15.75" hidden="false" customHeight="true" outlineLevel="0" collapsed="false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customFormat="false" ht="15.75" hidden="false" customHeight="true" outlineLevel="0" collapsed="false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customFormat="false" ht="15.75" hidden="false" customHeight="true" outlineLevel="0" collapsed="false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customFormat="false" ht="15.75" hidden="false" customHeight="true" outlineLevel="0" collapsed="false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customFormat="false" ht="15.75" hidden="false" customHeight="true" outlineLevel="0" collapsed="false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customFormat="false" ht="15.75" hidden="false" customHeight="true" outlineLevel="0" collapsed="false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customFormat="false" ht="15.75" hidden="false" customHeight="true" outlineLevel="0" collapsed="false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customFormat="false" ht="15.75" hidden="false" customHeight="true" outlineLevel="0" collapsed="false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customFormat="false" ht="15.75" hidden="false" customHeight="true" outlineLevel="0" collapsed="false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customFormat="false" ht="15.75" hidden="false" customHeight="true" outlineLevel="0" collapsed="false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customFormat="false" ht="15.75" hidden="false" customHeight="true" outlineLevel="0" collapsed="false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customFormat="false" ht="15.75" hidden="false" customHeight="true" outlineLevel="0" collapsed="false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customFormat="false" ht="15.75" hidden="false" customHeight="true" outlineLevel="0" collapsed="false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customFormat="false" ht="15.75" hidden="false" customHeight="true" outlineLevel="0" collapsed="false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customFormat="false" ht="15.75" hidden="false" customHeight="true" outlineLevel="0" collapsed="false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customFormat="false" ht="15.75" hidden="false" customHeight="true" outlineLevel="0" collapsed="false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customFormat="false" ht="15.75" hidden="false" customHeight="true" outlineLevel="0" collapsed="false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customFormat="false" ht="15.75" hidden="false" customHeight="true" outlineLevel="0" collapsed="false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customFormat="false" ht="15.75" hidden="false" customHeight="true" outlineLevel="0" collapsed="false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customFormat="false" ht="15.75" hidden="false" customHeight="true" outlineLevel="0" collapsed="false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customFormat="false" ht="15.75" hidden="false" customHeight="true" outlineLevel="0" collapsed="false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customFormat="false" ht="15.75" hidden="false" customHeight="true" outlineLevel="0" collapsed="false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customFormat="false" ht="15.75" hidden="false" customHeight="true" outlineLevel="0" collapsed="false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customFormat="false" ht="15.75" hidden="false" customHeight="true" outlineLevel="0" collapsed="false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customFormat="false" ht="15.75" hidden="false" customHeight="true" outlineLevel="0" collapsed="false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customFormat="false" ht="15.75" hidden="false" customHeight="true" outlineLevel="0" collapsed="false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customFormat="false" ht="15.75" hidden="false" customHeight="true" outlineLevel="0" collapsed="false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customFormat="false" ht="15.75" hidden="false" customHeight="true" outlineLevel="0" collapsed="false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customFormat="false" ht="15.75" hidden="false" customHeight="true" outlineLevel="0" collapsed="false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customFormat="false" ht="15.75" hidden="false" customHeight="true" outlineLevel="0" collapsed="false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customFormat="false" ht="15.75" hidden="false" customHeight="true" outlineLevel="0" collapsed="false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customFormat="false" ht="15.75" hidden="false" customHeight="true" outlineLevel="0" collapsed="false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customFormat="false" ht="15.75" hidden="false" customHeight="true" outlineLevel="0" collapsed="false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customFormat="false" ht="15.75" hidden="false" customHeight="true" outlineLevel="0" collapsed="false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customFormat="false" ht="15.75" hidden="false" customHeight="true" outlineLevel="0" collapsed="false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customFormat="false" ht="15.75" hidden="false" customHeight="true" outlineLevel="0" collapsed="false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customFormat="false" ht="15.75" hidden="false" customHeight="true" outlineLevel="0" collapsed="false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customFormat="false" ht="15.75" hidden="false" customHeight="true" outlineLevel="0" collapsed="false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customFormat="false" ht="15.75" hidden="false" customHeight="true" outlineLevel="0" collapsed="false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customFormat="false" ht="15.75" hidden="false" customHeight="true" outlineLevel="0" collapsed="false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customFormat="false" ht="15.75" hidden="false" customHeight="true" outlineLevel="0" collapsed="false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customFormat="false" ht="15.75" hidden="false" customHeight="true" outlineLevel="0" collapsed="false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customFormat="false" ht="15.75" hidden="false" customHeight="true" outlineLevel="0" collapsed="false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customFormat="false" ht="15.75" hidden="false" customHeight="true" outlineLevel="0" collapsed="false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customFormat="false" ht="15.75" hidden="false" customHeight="true" outlineLevel="0" collapsed="false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customFormat="false" ht="15.75" hidden="false" customHeight="true" outlineLevel="0" collapsed="false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customFormat="false" ht="15.75" hidden="false" customHeight="true" outlineLevel="0" collapsed="false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customFormat="false" ht="15.75" hidden="false" customHeight="true" outlineLevel="0" collapsed="false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customFormat="false" ht="15.75" hidden="false" customHeight="true" outlineLevel="0" collapsed="false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customFormat="false" ht="15.75" hidden="false" customHeight="true" outlineLevel="0" collapsed="false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customFormat="false" ht="15.75" hidden="false" customHeight="true" outlineLevel="0" collapsed="false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customFormat="false" ht="15.75" hidden="false" customHeight="true" outlineLevel="0" collapsed="false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customFormat="false" ht="15.75" hidden="false" customHeight="true" outlineLevel="0" collapsed="false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customFormat="false" ht="15.75" hidden="false" customHeight="true" outlineLevel="0" collapsed="false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customFormat="false" ht="15.75" hidden="false" customHeight="true" outlineLevel="0" collapsed="false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customFormat="false" ht="15.75" hidden="false" customHeight="true" outlineLevel="0" collapsed="false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customFormat="false" ht="15.75" hidden="false" customHeight="true" outlineLevel="0" collapsed="false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customFormat="false" ht="15.75" hidden="false" customHeight="true" outlineLevel="0" collapsed="false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customFormat="false" ht="15.75" hidden="false" customHeight="true" outlineLevel="0" collapsed="false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customFormat="false" ht="15.75" hidden="false" customHeight="true" outlineLevel="0" collapsed="false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customFormat="false" ht="15.75" hidden="false" customHeight="true" outlineLevel="0" collapsed="false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customFormat="false" ht="15.75" hidden="false" customHeight="true" outlineLevel="0" collapsed="false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customFormat="false" ht="15.75" hidden="false" customHeight="true" outlineLevel="0" collapsed="false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customFormat="false" ht="15.75" hidden="false" customHeight="true" outlineLevel="0" collapsed="false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customFormat="false" ht="15.75" hidden="false" customHeight="true" outlineLevel="0" collapsed="false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customFormat="false" ht="15.75" hidden="false" customHeight="true" outlineLevel="0" collapsed="false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customFormat="false" ht="15.75" hidden="false" customHeight="true" outlineLevel="0" collapsed="false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customFormat="false" ht="15.75" hidden="false" customHeight="true" outlineLevel="0" collapsed="false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customFormat="false" ht="15.75" hidden="false" customHeight="true" outlineLevel="0" collapsed="false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customFormat="false" ht="15.75" hidden="false" customHeight="true" outlineLevel="0" collapsed="false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customFormat="false" ht="15.75" hidden="false" customHeight="true" outlineLevel="0" collapsed="false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customFormat="false" ht="15.75" hidden="false" customHeight="true" outlineLevel="0" collapsed="false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customFormat="false" ht="15.75" hidden="false" customHeight="true" outlineLevel="0" collapsed="false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customFormat="false" ht="15.75" hidden="false" customHeight="true" outlineLevel="0" collapsed="false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customFormat="false" ht="15.75" hidden="false" customHeight="true" outlineLevel="0" collapsed="false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customFormat="false" ht="15.75" hidden="false" customHeight="true" outlineLevel="0" collapsed="false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customFormat="false" ht="15.75" hidden="false" customHeight="true" outlineLevel="0" collapsed="false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customFormat="false" ht="15.75" hidden="false" customHeight="true" outlineLevel="0" collapsed="false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customFormat="false" ht="15.75" hidden="false" customHeight="true" outlineLevel="0" collapsed="false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customFormat="false" ht="15.75" hidden="false" customHeight="true" outlineLevel="0" collapsed="false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customFormat="false" ht="15.75" hidden="false" customHeight="true" outlineLevel="0" collapsed="false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customFormat="false" ht="15.75" hidden="false" customHeight="true" outlineLevel="0" collapsed="false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customFormat="false" ht="15.75" hidden="false" customHeight="true" outlineLevel="0" collapsed="false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customFormat="false" ht="15.75" hidden="false" customHeight="true" outlineLevel="0" collapsed="false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customFormat="false" ht="15.75" hidden="false" customHeight="true" outlineLevel="0" collapsed="false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customFormat="false" ht="15.75" hidden="false" customHeight="true" outlineLevel="0" collapsed="false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customFormat="false" ht="15.75" hidden="false" customHeight="true" outlineLevel="0" collapsed="false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customFormat="false" ht="15.75" hidden="false" customHeight="true" outlineLevel="0" collapsed="false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customFormat="false" ht="15.75" hidden="false" customHeight="true" outlineLevel="0" collapsed="false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customFormat="false" ht="15.75" hidden="false" customHeight="true" outlineLevel="0" collapsed="false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customFormat="false" ht="15.75" hidden="false" customHeight="true" outlineLevel="0" collapsed="false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customFormat="false" ht="15.75" hidden="false" customHeight="true" outlineLevel="0" collapsed="false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customFormat="false" ht="15.75" hidden="false" customHeight="true" outlineLevel="0" collapsed="false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customFormat="false" ht="15.75" hidden="false" customHeight="true" outlineLevel="0" collapsed="false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customFormat="false" ht="15.75" hidden="false" customHeight="true" outlineLevel="0" collapsed="false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customFormat="false" ht="15.75" hidden="false" customHeight="true" outlineLevel="0" collapsed="false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customFormat="false" ht="15.75" hidden="false" customHeight="true" outlineLevel="0" collapsed="false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customFormat="false" ht="15.75" hidden="false" customHeight="true" outlineLevel="0" collapsed="false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customFormat="false" ht="15.75" hidden="false" customHeight="true" outlineLevel="0" collapsed="false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customFormat="false" ht="15.75" hidden="false" customHeight="true" outlineLevel="0" collapsed="false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customFormat="false" ht="15.75" hidden="false" customHeight="true" outlineLevel="0" collapsed="false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customFormat="false" ht="15.75" hidden="false" customHeight="true" outlineLevel="0" collapsed="false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customFormat="false" ht="15.75" hidden="false" customHeight="true" outlineLevel="0" collapsed="false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customFormat="false" ht="15.75" hidden="false" customHeight="true" outlineLevel="0" collapsed="false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customFormat="false" ht="15.75" hidden="false" customHeight="true" outlineLevel="0" collapsed="false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customFormat="false" ht="15.75" hidden="false" customHeight="true" outlineLevel="0" collapsed="false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customFormat="false" ht="15.75" hidden="false" customHeight="true" outlineLevel="0" collapsed="false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customFormat="false" ht="15.75" hidden="false" customHeight="true" outlineLevel="0" collapsed="false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customFormat="false" ht="15.75" hidden="false" customHeight="true" outlineLevel="0" collapsed="false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customFormat="false" ht="15.75" hidden="false" customHeight="true" outlineLevel="0" collapsed="false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customFormat="false" ht="15.75" hidden="false" customHeight="true" outlineLevel="0" collapsed="false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customFormat="false" ht="15.75" hidden="false" customHeight="true" outlineLevel="0" collapsed="false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customFormat="false" ht="15.75" hidden="false" customHeight="true" outlineLevel="0" collapsed="false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customFormat="false" ht="15.75" hidden="false" customHeight="true" outlineLevel="0" collapsed="false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customFormat="false" ht="15.75" hidden="false" customHeight="true" outlineLevel="0" collapsed="false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customFormat="false" ht="15.75" hidden="false" customHeight="true" outlineLevel="0" collapsed="false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customFormat="false" ht="15.75" hidden="false" customHeight="true" outlineLevel="0" collapsed="false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customFormat="false" ht="15.75" hidden="false" customHeight="true" outlineLevel="0" collapsed="false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customFormat="false" ht="15.75" hidden="false" customHeight="true" outlineLevel="0" collapsed="false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customFormat="false" ht="15.75" hidden="false" customHeight="true" outlineLevel="0" collapsed="false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customFormat="false" ht="15.75" hidden="false" customHeight="true" outlineLevel="0" collapsed="false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customFormat="false" ht="15.75" hidden="false" customHeight="true" outlineLevel="0" collapsed="false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customFormat="false" ht="15.75" hidden="false" customHeight="true" outlineLevel="0" collapsed="false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customFormat="false" ht="15.75" hidden="false" customHeight="true" outlineLevel="0" collapsed="false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customFormat="false" ht="15.75" hidden="false" customHeight="true" outlineLevel="0" collapsed="false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customFormat="false" ht="15.75" hidden="false" customHeight="true" outlineLevel="0" collapsed="false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customFormat="false" ht="15.75" hidden="false" customHeight="true" outlineLevel="0" collapsed="false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customFormat="false" ht="15.75" hidden="false" customHeight="true" outlineLevel="0" collapsed="false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customFormat="false" ht="15.75" hidden="false" customHeight="true" outlineLevel="0" collapsed="false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customFormat="false" ht="15.75" hidden="false" customHeight="true" outlineLevel="0" collapsed="false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customFormat="false" ht="15.75" hidden="false" customHeight="true" outlineLevel="0" collapsed="false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customFormat="false" ht="15.75" hidden="false" customHeight="true" outlineLevel="0" collapsed="false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customFormat="false" ht="15.75" hidden="false" customHeight="true" outlineLevel="0" collapsed="false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customFormat="false" ht="15.75" hidden="false" customHeight="true" outlineLevel="0" collapsed="false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customFormat="false" ht="15.75" hidden="false" customHeight="true" outlineLevel="0" collapsed="false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customFormat="false" ht="15.75" hidden="false" customHeight="true" outlineLevel="0" collapsed="false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customFormat="false" ht="15.75" hidden="false" customHeight="true" outlineLevel="0" collapsed="false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customFormat="false" ht="15.75" hidden="false" customHeight="true" outlineLevel="0" collapsed="false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customFormat="false" ht="15.75" hidden="false" customHeight="true" outlineLevel="0" collapsed="false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customFormat="false" ht="15.75" hidden="false" customHeight="true" outlineLevel="0" collapsed="false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customFormat="false" ht="15.75" hidden="false" customHeight="true" outlineLevel="0" collapsed="false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customFormat="false" ht="15.75" hidden="false" customHeight="true" outlineLevel="0" collapsed="false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customFormat="false" ht="15.75" hidden="false" customHeight="true" outlineLevel="0" collapsed="false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customFormat="false" ht="15.75" hidden="false" customHeight="true" outlineLevel="0" collapsed="false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customFormat="false" ht="15.75" hidden="false" customHeight="true" outlineLevel="0" collapsed="false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customFormat="false" ht="15.75" hidden="false" customHeight="true" outlineLevel="0" collapsed="false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customFormat="false" ht="15.75" hidden="false" customHeight="true" outlineLevel="0" collapsed="false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customFormat="false" ht="15.75" hidden="false" customHeight="true" outlineLevel="0" collapsed="false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customFormat="false" ht="15.75" hidden="false" customHeight="true" outlineLevel="0" collapsed="false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customFormat="false" ht="15.75" hidden="false" customHeight="true" outlineLevel="0" collapsed="false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customFormat="false" ht="15.75" hidden="false" customHeight="true" outlineLevel="0" collapsed="false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customFormat="false" ht="15.75" hidden="false" customHeight="true" outlineLevel="0" collapsed="false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customFormat="false" ht="15.75" hidden="false" customHeight="true" outlineLevel="0" collapsed="false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customFormat="false" ht="15.75" hidden="false" customHeight="true" outlineLevel="0" collapsed="false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customFormat="false" ht="15.75" hidden="false" customHeight="true" outlineLevel="0" collapsed="false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customFormat="false" ht="15.75" hidden="false" customHeight="true" outlineLevel="0" collapsed="false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customFormat="false" ht="15.75" hidden="false" customHeight="true" outlineLevel="0" collapsed="false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customFormat="false" ht="15.75" hidden="false" customHeight="true" outlineLevel="0" collapsed="false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customFormat="false" ht="15.75" hidden="false" customHeight="true" outlineLevel="0" collapsed="false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customFormat="false" ht="15.75" hidden="false" customHeight="true" outlineLevel="0" collapsed="false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customFormat="false" ht="15.75" hidden="false" customHeight="true" outlineLevel="0" collapsed="false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customFormat="false" ht="15.75" hidden="false" customHeight="true" outlineLevel="0" collapsed="false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customFormat="false" ht="15.75" hidden="false" customHeight="true" outlineLevel="0" collapsed="false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customFormat="false" ht="15.75" hidden="false" customHeight="true" outlineLevel="0" collapsed="false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customFormat="false" ht="15.75" hidden="false" customHeight="true" outlineLevel="0" collapsed="false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customFormat="false" ht="15.75" hidden="false" customHeight="true" outlineLevel="0" collapsed="false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customFormat="false" ht="15.75" hidden="false" customHeight="true" outlineLevel="0" collapsed="false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customFormat="false" ht="15.75" hidden="false" customHeight="true" outlineLevel="0" collapsed="false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customFormat="false" ht="15.75" hidden="false" customHeight="true" outlineLevel="0" collapsed="false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customFormat="false" ht="15.75" hidden="false" customHeight="true" outlineLevel="0" collapsed="false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customFormat="false" ht="15.75" hidden="false" customHeight="true" outlineLevel="0" collapsed="false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customFormat="false" ht="15.75" hidden="false" customHeight="true" outlineLevel="0" collapsed="false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customFormat="false" ht="15.75" hidden="false" customHeight="true" outlineLevel="0" collapsed="false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customFormat="false" ht="15.75" hidden="false" customHeight="true" outlineLevel="0" collapsed="false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customFormat="false" ht="15.75" hidden="false" customHeight="true" outlineLevel="0" collapsed="false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customFormat="false" ht="15.75" hidden="false" customHeight="true" outlineLevel="0" collapsed="false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customFormat="false" ht="15.75" hidden="false" customHeight="true" outlineLevel="0" collapsed="false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customFormat="false" ht="15.75" hidden="false" customHeight="true" outlineLevel="0" collapsed="false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customFormat="false" ht="15.75" hidden="false" customHeight="true" outlineLevel="0" collapsed="false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customFormat="false" ht="15.75" hidden="false" customHeight="true" outlineLevel="0" collapsed="false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customFormat="false" ht="15.75" hidden="false" customHeight="true" outlineLevel="0" collapsed="false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customFormat="false" ht="15.75" hidden="false" customHeight="true" outlineLevel="0" collapsed="false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customFormat="false" ht="15.75" hidden="false" customHeight="true" outlineLevel="0" collapsed="false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customFormat="false" ht="15.75" hidden="false" customHeight="true" outlineLevel="0" collapsed="false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customFormat="false" ht="15.75" hidden="false" customHeight="true" outlineLevel="0" collapsed="false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customFormat="false" ht="15.75" hidden="false" customHeight="true" outlineLevel="0" collapsed="false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customFormat="false" ht="15.75" hidden="false" customHeight="true" outlineLevel="0" collapsed="false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customFormat="false" ht="15.75" hidden="false" customHeight="true" outlineLevel="0" collapsed="false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customFormat="false" ht="15.75" hidden="false" customHeight="true" outlineLevel="0" collapsed="false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customFormat="false" ht="15.75" hidden="false" customHeight="true" outlineLevel="0" collapsed="false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customFormat="false" ht="15.75" hidden="false" customHeight="true" outlineLevel="0" collapsed="false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customFormat="false" ht="15.75" hidden="false" customHeight="true" outlineLevel="0" collapsed="false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customFormat="false" ht="15.75" hidden="false" customHeight="true" outlineLevel="0" collapsed="false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customFormat="false" ht="15.75" hidden="false" customHeight="true" outlineLevel="0" collapsed="false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customFormat="false" ht="15.75" hidden="false" customHeight="true" outlineLevel="0" collapsed="false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customFormat="false" ht="15.75" hidden="false" customHeight="true" outlineLevel="0" collapsed="false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customFormat="false" ht="15.75" hidden="false" customHeight="true" outlineLevel="0" collapsed="false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customFormat="false" ht="15.75" hidden="false" customHeight="true" outlineLevel="0" collapsed="false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customFormat="false" ht="15.75" hidden="false" customHeight="true" outlineLevel="0" collapsed="false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customFormat="false" ht="15.75" hidden="false" customHeight="true" outlineLevel="0" collapsed="false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customFormat="false" ht="15.75" hidden="false" customHeight="true" outlineLevel="0" collapsed="false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customFormat="false" ht="15.75" hidden="false" customHeight="true" outlineLevel="0" collapsed="false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customFormat="false" ht="15.75" hidden="false" customHeight="true" outlineLevel="0" collapsed="false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customFormat="false" ht="15.75" hidden="false" customHeight="true" outlineLevel="0" collapsed="false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customFormat="false" ht="15.75" hidden="false" customHeight="true" outlineLevel="0" collapsed="false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customFormat="false" ht="15.75" hidden="false" customHeight="true" outlineLevel="0" collapsed="false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customFormat="false" ht="15.75" hidden="false" customHeight="true" outlineLevel="0" collapsed="false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customFormat="false" ht="15.75" hidden="false" customHeight="true" outlineLevel="0" collapsed="false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customFormat="false" ht="15.75" hidden="false" customHeight="true" outlineLevel="0" collapsed="false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customFormat="false" ht="15.75" hidden="false" customHeight="true" outlineLevel="0" collapsed="false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customFormat="false" ht="15.75" hidden="false" customHeight="true" outlineLevel="0" collapsed="false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customFormat="false" ht="15.75" hidden="false" customHeight="true" outlineLevel="0" collapsed="false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customFormat="false" ht="15.75" hidden="false" customHeight="true" outlineLevel="0" collapsed="false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customFormat="false" ht="15.75" hidden="false" customHeight="true" outlineLevel="0" collapsed="false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customFormat="false" ht="15.75" hidden="false" customHeight="true" outlineLevel="0" collapsed="false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customFormat="false" ht="15.75" hidden="false" customHeight="true" outlineLevel="0" collapsed="false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customFormat="false" ht="15.75" hidden="false" customHeight="true" outlineLevel="0" collapsed="false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customFormat="false" ht="15.75" hidden="false" customHeight="true" outlineLevel="0" collapsed="false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customFormat="false" ht="15.75" hidden="false" customHeight="true" outlineLevel="0" collapsed="false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customFormat="false" ht="15.75" hidden="false" customHeight="true" outlineLevel="0" collapsed="false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customFormat="false" ht="15.75" hidden="false" customHeight="true" outlineLevel="0" collapsed="false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customFormat="false" ht="15.75" hidden="false" customHeight="true" outlineLevel="0" collapsed="false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customFormat="false" ht="15.75" hidden="false" customHeight="true" outlineLevel="0" collapsed="false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customFormat="false" ht="15.75" hidden="false" customHeight="true" outlineLevel="0" collapsed="false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customFormat="false" ht="15.75" hidden="false" customHeight="true" outlineLevel="0" collapsed="false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customFormat="false" ht="15.75" hidden="false" customHeight="true" outlineLevel="0" collapsed="false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customFormat="false" ht="15.75" hidden="false" customHeight="true" outlineLevel="0" collapsed="false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customFormat="false" ht="15.75" hidden="false" customHeight="true" outlineLevel="0" collapsed="false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customFormat="false" ht="15.75" hidden="false" customHeight="true" outlineLevel="0" collapsed="false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customFormat="false" ht="15.75" hidden="false" customHeight="true" outlineLevel="0" collapsed="false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customFormat="false" ht="15.75" hidden="false" customHeight="true" outlineLevel="0" collapsed="false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customFormat="false" ht="15.75" hidden="false" customHeight="true" outlineLevel="0" collapsed="false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customFormat="false" ht="15.75" hidden="false" customHeight="true" outlineLevel="0" collapsed="false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customFormat="false" ht="15.75" hidden="false" customHeight="true" outlineLevel="0" collapsed="false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customFormat="false" ht="15.75" hidden="false" customHeight="true" outlineLevel="0" collapsed="false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customFormat="false" ht="15.75" hidden="false" customHeight="true" outlineLevel="0" collapsed="false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customFormat="false" ht="15.75" hidden="false" customHeight="true" outlineLevel="0" collapsed="false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customFormat="false" ht="15.75" hidden="false" customHeight="true" outlineLevel="0" collapsed="false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customFormat="false" ht="15.75" hidden="false" customHeight="true" outlineLevel="0" collapsed="false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customFormat="false" ht="15.75" hidden="false" customHeight="true" outlineLevel="0" collapsed="false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customFormat="false" ht="15.75" hidden="false" customHeight="true" outlineLevel="0" collapsed="false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customFormat="false" ht="15.75" hidden="false" customHeight="true" outlineLevel="0" collapsed="false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customFormat="false" ht="15.75" hidden="false" customHeight="true" outlineLevel="0" collapsed="false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customFormat="false" ht="15.75" hidden="false" customHeight="true" outlineLevel="0" collapsed="false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customFormat="false" ht="15.75" hidden="false" customHeight="true" outlineLevel="0" collapsed="false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customFormat="false" ht="15.75" hidden="false" customHeight="true" outlineLevel="0" collapsed="false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customFormat="false" ht="15.75" hidden="false" customHeight="true" outlineLevel="0" collapsed="false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customFormat="false" ht="15.75" hidden="false" customHeight="true" outlineLevel="0" collapsed="false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customFormat="false" ht="15.75" hidden="false" customHeight="true" outlineLevel="0" collapsed="false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customFormat="false" ht="15.75" hidden="false" customHeight="true" outlineLevel="0" collapsed="false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customFormat="false" ht="15.75" hidden="false" customHeight="true" outlineLevel="0" collapsed="false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customFormat="false" ht="15.75" hidden="false" customHeight="true" outlineLevel="0" collapsed="false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customFormat="false" ht="15.75" hidden="false" customHeight="true" outlineLevel="0" collapsed="false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customFormat="false" ht="15.75" hidden="false" customHeight="true" outlineLevel="0" collapsed="false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customFormat="false" ht="15.75" hidden="false" customHeight="true" outlineLevel="0" collapsed="false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customFormat="false" ht="15.75" hidden="false" customHeight="true" outlineLevel="0" collapsed="false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customFormat="false" ht="15.75" hidden="false" customHeight="true" outlineLevel="0" collapsed="false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customFormat="false" ht="15.75" hidden="false" customHeight="true" outlineLevel="0" collapsed="false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customFormat="false" ht="15.75" hidden="false" customHeight="true" outlineLevel="0" collapsed="false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customFormat="false" ht="15.75" hidden="false" customHeight="true" outlineLevel="0" collapsed="false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customFormat="false" ht="15.75" hidden="false" customHeight="true" outlineLevel="0" collapsed="false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customFormat="false" ht="15.75" hidden="false" customHeight="true" outlineLevel="0" collapsed="false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customFormat="false" ht="15.75" hidden="false" customHeight="true" outlineLevel="0" collapsed="false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customFormat="false" ht="15.75" hidden="false" customHeight="true" outlineLevel="0" collapsed="false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customFormat="false" ht="15.75" hidden="false" customHeight="true" outlineLevel="0" collapsed="false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customFormat="false" ht="15.75" hidden="false" customHeight="true" outlineLevel="0" collapsed="false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customFormat="false" ht="15.75" hidden="false" customHeight="true" outlineLevel="0" collapsed="false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customFormat="false" ht="15.75" hidden="false" customHeight="true" outlineLevel="0" collapsed="false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customFormat="false" ht="15.75" hidden="false" customHeight="true" outlineLevel="0" collapsed="false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customFormat="false" ht="15.75" hidden="false" customHeight="true" outlineLevel="0" collapsed="false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customFormat="false" ht="15.75" hidden="false" customHeight="true" outlineLevel="0" collapsed="false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customFormat="false" ht="15.75" hidden="false" customHeight="true" outlineLevel="0" collapsed="false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customFormat="false" ht="15.75" hidden="false" customHeight="true" outlineLevel="0" collapsed="false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customFormat="false" ht="15.75" hidden="false" customHeight="true" outlineLevel="0" collapsed="false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customFormat="false" ht="15.75" hidden="false" customHeight="true" outlineLevel="0" collapsed="false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customFormat="false" ht="15.75" hidden="false" customHeight="true" outlineLevel="0" collapsed="false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customFormat="false" ht="15.75" hidden="false" customHeight="true" outlineLevel="0" collapsed="false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customFormat="false" ht="15.75" hidden="false" customHeight="true" outlineLevel="0" collapsed="false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customFormat="false" ht="15.75" hidden="false" customHeight="true" outlineLevel="0" collapsed="false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customFormat="false" ht="15.75" hidden="false" customHeight="true" outlineLevel="0" collapsed="false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customFormat="false" ht="15.75" hidden="false" customHeight="true" outlineLevel="0" collapsed="false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customFormat="false" ht="15.75" hidden="false" customHeight="true" outlineLevel="0" collapsed="false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customFormat="false" ht="15.75" hidden="false" customHeight="true" outlineLevel="0" collapsed="false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customFormat="false" ht="15.75" hidden="false" customHeight="true" outlineLevel="0" collapsed="false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customFormat="false" ht="15.75" hidden="false" customHeight="true" outlineLevel="0" collapsed="false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customFormat="false" ht="15.75" hidden="false" customHeight="true" outlineLevel="0" collapsed="false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customFormat="false" ht="15.75" hidden="false" customHeight="true" outlineLevel="0" collapsed="false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customFormat="false" ht="15.75" hidden="false" customHeight="true" outlineLevel="0" collapsed="false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customFormat="false" ht="15.75" hidden="false" customHeight="true" outlineLevel="0" collapsed="false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customFormat="false" ht="15.75" hidden="false" customHeight="true" outlineLevel="0" collapsed="false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customFormat="false" ht="15.75" hidden="false" customHeight="true" outlineLevel="0" collapsed="false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customFormat="false" ht="15.75" hidden="false" customHeight="true" outlineLevel="0" collapsed="false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customFormat="false" ht="15.75" hidden="false" customHeight="true" outlineLevel="0" collapsed="false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customFormat="false" ht="15.75" hidden="false" customHeight="true" outlineLevel="0" collapsed="false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customFormat="false" ht="15.75" hidden="false" customHeight="true" outlineLevel="0" collapsed="false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customFormat="false" ht="15.75" hidden="false" customHeight="true" outlineLevel="0" collapsed="false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customFormat="false" ht="15.75" hidden="false" customHeight="true" outlineLevel="0" collapsed="false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customFormat="false" ht="15.75" hidden="false" customHeight="true" outlineLevel="0" collapsed="false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customFormat="false" ht="15.75" hidden="false" customHeight="true" outlineLevel="0" collapsed="false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customFormat="false" ht="15.75" hidden="false" customHeight="true" outlineLevel="0" collapsed="false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customFormat="false" ht="15.75" hidden="false" customHeight="true" outlineLevel="0" collapsed="false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customFormat="false" ht="15.75" hidden="false" customHeight="true" outlineLevel="0" collapsed="false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customFormat="false" ht="15.75" hidden="false" customHeight="true" outlineLevel="0" collapsed="false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customFormat="false" ht="15.75" hidden="false" customHeight="true" outlineLevel="0" collapsed="false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customFormat="false" ht="15.75" hidden="false" customHeight="true" outlineLevel="0" collapsed="false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customFormat="false" ht="15.75" hidden="false" customHeight="true" outlineLevel="0" collapsed="false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customFormat="false" ht="15.75" hidden="false" customHeight="true" outlineLevel="0" collapsed="false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customFormat="false" ht="15.75" hidden="false" customHeight="true" outlineLevel="0" collapsed="false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customFormat="false" ht="15.75" hidden="false" customHeight="true" outlineLevel="0" collapsed="false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customFormat="false" ht="15.75" hidden="false" customHeight="true" outlineLevel="0" collapsed="false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customFormat="false" ht="15.75" hidden="false" customHeight="true" outlineLevel="0" collapsed="false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customFormat="false" ht="15.75" hidden="false" customHeight="true" outlineLevel="0" collapsed="false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customFormat="false" ht="15.75" hidden="false" customHeight="true" outlineLevel="0" collapsed="false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customFormat="false" ht="15.75" hidden="false" customHeight="true" outlineLevel="0" collapsed="false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customFormat="false" ht="15.75" hidden="false" customHeight="true" outlineLevel="0" collapsed="false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customFormat="false" ht="15.75" hidden="false" customHeight="true" outlineLevel="0" collapsed="false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customFormat="false" ht="15.75" hidden="false" customHeight="true" outlineLevel="0" collapsed="false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customFormat="false" ht="15.75" hidden="false" customHeight="true" outlineLevel="0" collapsed="false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customFormat="false" ht="15.75" hidden="false" customHeight="true" outlineLevel="0" collapsed="false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customFormat="false" ht="15.75" hidden="false" customHeight="true" outlineLevel="0" collapsed="false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customFormat="false" ht="15.75" hidden="false" customHeight="true" outlineLevel="0" collapsed="false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customFormat="false" ht="15.75" hidden="false" customHeight="true" outlineLevel="0" collapsed="false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customFormat="false" ht="15.75" hidden="false" customHeight="true" outlineLevel="0" collapsed="false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customFormat="false" ht="15.75" hidden="false" customHeight="true" outlineLevel="0" collapsed="false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customFormat="false" ht="15.75" hidden="false" customHeight="true" outlineLevel="0" collapsed="false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customFormat="false" ht="15.75" hidden="false" customHeight="true" outlineLevel="0" collapsed="false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customFormat="false" ht="15.75" hidden="false" customHeight="true" outlineLevel="0" collapsed="false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customFormat="false" ht="15.75" hidden="false" customHeight="true" outlineLevel="0" collapsed="false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customFormat="false" ht="15.75" hidden="false" customHeight="true" outlineLevel="0" collapsed="false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customFormat="false" ht="15.75" hidden="false" customHeight="true" outlineLevel="0" collapsed="false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customFormat="false" ht="15.75" hidden="false" customHeight="true" outlineLevel="0" collapsed="false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customFormat="false" ht="15.75" hidden="false" customHeight="true" outlineLevel="0" collapsed="false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customFormat="false" ht="15.75" hidden="false" customHeight="true" outlineLevel="0" collapsed="false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customFormat="false" ht="15.75" hidden="false" customHeight="true" outlineLevel="0" collapsed="false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customFormat="false" ht="15.75" hidden="false" customHeight="true" outlineLevel="0" collapsed="false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customFormat="false" ht="15.75" hidden="false" customHeight="true" outlineLevel="0" collapsed="false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customFormat="false" ht="15.75" hidden="false" customHeight="true" outlineLevel="0" collapsed="false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customFormat="false" ht="15.75" hidden="false" customHeight="true" outlineLevel="0" collapsed="false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customFormat="false" ht="15.75" hidden="false" customHeight="true" outlineLevel="0" collapsed="false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customFormat="false" ht="15.75" hidden="false" customHeight="true" outlineLevel="0" collapsed="false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customFormat="false" ht="15.75" hidden="false" customHeight="true" outlineLevel="0" collapsed="false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customFormat="false" ht="15.75" hidden="false" customHeight="true" outlineLevel="0" collapsed="false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customFormat="false" ht="15.75" hidden="false" customHeight="true" outlineLevel="0" collapsed="false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customFormat="false" ht="15.75" hidden="false" customHeight="true" outlineLevel="0" collapsed="false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customFormat="false" ht="15.75" hidden="false" customHeight="true" outlineLevel="0" collapsed="false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customFormat="false" ht="15.75" hidden="false" customHeight="true" outlineLevel="0" collapsed="false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customFormat="false" ht="15.75" hidden="false" customHeight="true" outlineLevel="0" collapsed="false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customFormat="false" ht="15.75" hidden="false" customHeight="true" outlineLevel="0" collapsed="false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customFormat="false" ht="15.75" hidden="false" customHeight="true" outlineLevel="0" collapsed="false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customFormat="false" ht="15.75" hidden="false" customHeight="true" outlineLevel="0" collapsed="false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customFormat="false" ht="15.75" hidden="false" customHeight="true" outlineLevel="0" collapsed="false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customFormat="false" ht="15.75" hidden="false" customHeight="true" outlineLevel="0" collapsed="false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customFormat="false" ht="15.75" hidden="false" customHeight="true" outlineLevel="0" collapsed="false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customFormat="false" ht="15.75" hidden="false" customHeight="true" outlineLevel="0" collapsed="false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customFormat="false" ht="15.75" hidden="false" customHeight="true" outlineLevel="0" collapsed="false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customFormat="false" ht="15.75" hidden="false" customHeight="true" outlineLevel="0" collapsed="false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customFormat="false" ht="15.75" hidden="false" customHeight="true" outlineLevel="0" collapsed="false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customFormat="false" ht="15.75" hidden="false" customHeight="true" outlineLevel="0" collapsed="false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customFormat="false" ht="15.75" hidden="false" customHeight="true" outlineLevel="0" collapsed="false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customFormat="false" ht="15.75" hidden="false" customHeight="true" outlineLevel="0" collapsed="false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customFormat="false" ht="15.75" hidden="false" customHeight="true" outlineLevel="0" collapsed="false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customFormat="false" ht="15.75" hidden="false" customHeight="true" outlineLevel="0" collapsed="false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customFormat="false" ht="15.75" hidden="false" customHeight="true" outlineLevel="0" collapsed="false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customFormat="false" ht="15.75" hidden="false" customHeight="true" outlineLevel="0" collapsed="false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customFormat="false" ht="15.75" hidden="false" customHeight="true" outlineLevel="0" collapsed="false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customFormat="false" ht="15.75" hidden="false" customHeight="true" outlineLevel="0" collapsed="false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customFormat="false" ht="15.75" hidden="false" customHeight="true" outlineLevel="0" collapsed="false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customFormat="false" ht="15.75" hidden="false" customHeight="true" outlineLevel="0" collapsed="false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customFormat="false" ht="15.75" hidden="false" customHeight="true" outlineLevel="0" collapsed="false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customFormat="false" ht="15.75" hidden="false" customHeight="true" outlineLevel="0" collapsed="false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customFormat="false" ht="15.75" hidden="false" customHeight="true" outlineLevel="0" collapsed="false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customFormat="false" ht="15.75" hidden="false" customHeight="true" outlineLevel="0" collapsed="false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customFormat="false" ht="15.75" hidden="false" customHeight="true" outlineLevel="0" collapsed="false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customFormat="false" ht="15.75" hidden="false" customHeight="true" outlineLevel="0" collapsed="false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customFormat="false" ht="15.75" hidden="false" customHeight="true" outlineLevel="0" collapsed="false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customFormat="false" ht="15.75" hidden="false" customHeight="true" outlineLevel="0" collapsed="false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customFormat="false" ht="15.75" hidden="false" customHeight="true" outlineLevel="0" collapsed="false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customFormat="false" ht="15.75" hidden="false" customHeight="true" outlineLevel="0" collapsed="false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customFormat="false" ht="15.75" hidden="false" customHeight="true" outlineLevel="0" collapsed="false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customFormat="false" ht="15.75" hidden="false" customHeight="true" outlineLevel="0" collapsed="false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customFormat="false" ht="15.75" hidden="false" customHeight="true" outlineLevel="0" collapsed="false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customFormat="false" ht="15.75" hidden="false" customHeight="true" outlineLevel="0" collapsed="false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customFormat="false" ht="15.75" hidden="false" customHeight="true" outlineLevel="0" collapsed="false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customFormat="false" ht="15.75" hidden="false" customHeight="true" outlineLevel="0" collapsed="false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customFormat="false" ht="15.75" hidden="false" customHeight="true" outlineLevel="0" collapsed="false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customFormat="false" ht="15.75" hidden="false" customHeight="true" outlineLevel="0" collapsed="false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customFormat="false" ht="15.75" hidden="false" customHeight="true" outlineLevel="0" collapsed="false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customFormat="false" ht="15.75" hidden="false" customHeight="true" outlineLevel="0" collapsed="false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customFormat="false" ht="15.75" hidden="false" customHeight="true" outlineLevel="0" collapsed="false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customFormat="false" ht="15.75" hidden="false" customHeight="true" outlineLevel="0" collapsed="false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customFormat="false" ht="15.75" hidden="false" customHeight="true" outlineLevel="0" collapsed="false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customFormat="false" ht="15.75" hidden="false" customHeight="true" outlineLevel="0" collapsed="false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customFormat="false" ht="15.75" hidden="false" customHeight="true" outlineLevel="0" collapsed="false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customFormat="false" ht="15.75" hidden="false" customHeight="true" outlineLevel="0" collapsed="false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customFormat="false" ht="15.75" hidden="false" customHeight="true" outlineLevel="0" collapsed="false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customFormat="false" ht="15.75" hidden="false" customHeight="true" outlineLevel="0" collapsed="false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customFormat="false" ht="15.75" hidden="false" customHeight="true" outlineLevel="0" collapsed="false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customFormat="false" ht="15.75" hidden="false" customHeight="true" outlineLevel="0" collapsed="false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customFormat="false" ht="15.75" hidden="false" customHeight="true" outlineLevel="0" collapsed="false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customFormat="false" ht="15.75" hidden="false" customHeight="true" outlineLevel="0" collapsed="false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customFormat="false" ht="15.75" hidden="false" customHeight="true" outlineLevel="0" collapsed="false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customFormat="false" ht="15.75" hidden="false" customHeight="true" outlineLevel="0" collapsed="false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customFormat="false" ht="15.75" hidden="false" customHeight="true" outlineLevel="0" collapsed="false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customFormat="false" ht="15.75" hidden="false" customHeight="true" outlineLevel="0" collapsed="false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customFormat="false" ht="15.75" hidden="false" customHeight="true" outlineLevel="0" collapsed="false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customFormat="false" ht="15.75" hidden="false" customHeight="true" outlineLevel="0" collapsed="false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customFormat="false" ht="15.75" hidden="false" customHeight="true" outlineLevel="0" collapsed="false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customFormat="false" ht="15.75" hidden="false" customHeight="true" outlineLevel="0" collapsed="false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customFormat="false" ht="15.75" hidden="false" customHeight="true" outlineLevel="0" collapsed="false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customFormat="false" ht="15.75" hidden="false" customHeight="true" outlineLevel="0" collapsed="false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customFormat="false" ht="15.75" hidden="false" customHeight="true" outlineLevel="0" collapsed="false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customFormat="false" ht="15.75" hidden="false" customHeight="true" outlineLevel="0" collapsed="false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customFormat="false" ht="15.75" hidden="false" customHeight="true" outlineLevel="0" collapsed="false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customFormat="false" ht="15.75" hidden="false" customHeight="true" outlineLevel="0" collapsed="false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customFormat="false" ht="15.75" hidden="false" customHeight="true" outlineLevel="0" collapsed="false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customFormat="false" ht="15.75" hidden="false" customHeight="true" outlineLevel="0" collapsed="false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customFormat="false" ht="15.75" hidden="false" customHeight="true" outlineLevel="0" collapsed="false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customFormat="false" ht="15.75" hidden="false" customHeight="true" outlineLevel="0" collapsed="false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customFormat="false" ht="15.75" hidden="false" customHeight="true" outlineLevel="0" collapsed="false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customFormat="false" ht="15.75" hidden="false" customHeight="true" outlineLevel="0" collapsed="false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customFormat="false" ht="15.75" hidden="false" customHeight="true" outlineLevel="0" collapsed="false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customFormat="false" ht="15.75" hidden="false" customHeight="true" outlineLevel="0" collapsed="false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customFormat="false" ht="15.75" hidden="false" customHeight="true" outlineLevel="0" collapsed="false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customFormat="false" ht="15.75" hidden="false" customHeight="true" outlineLevel="0" collapsed="false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customFormat="false" ht="15.75" hidden="false" customHeight="true" outlineLevel="0" collapsed="false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customFormat="false" ht="15.75" hidden="false" customHeight="true" outlineLevel="0" collapsed="false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customFormat="false" ht="15.75" hidden="false" customHeight="true" outlineLevel="0" collapsed="false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customFormat="false" ht="15.75" hidden="false" customHeight="true" outlineLevel="0" collapsed="false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customFormat="false" ht="15.75" hidden="false" customHeight="true" outlineLevel="0" collapsed="false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customFormat="false" ht="15.75" hidden="false" customHeight="true" outlineLevel="0" collapsed="false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customFormat="false" ht="15.75" hidden="false" customHeight="true" outlineLevel="0" collapsed="false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customFormat="false" ht="15.75" hidden="false" customHeight="true" outlineLevel="0" collapsed="false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customFormat="false" ht="15.75" hidden="false" customHeight="true" outlineLevel="0" collapsed="false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customFormat="false" ht="15.75" hidden="false" customHeight="true" outlineLevel="0" collapsed="false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customFormat="false" ht="15.75" hidden="false" customHeight="true" outlineLevel="0" collapsed="false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customFormat="false" ht="15.75" hidden="false" customHeight="true" outlineLevel="0" collapsed="false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customFormat="false" ht="15.75" hidden="false" customHeight="true" outlineLevel="0" collapsed="false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customFormat="false" ht="15.75" hidden="false" customHeight="true" outlineLevel="0" collapsed="false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customFormat="false" ht="15.75" hidden="false" customHeight="true" outlineLevel="0" collapsed="false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customFormat="false" ht="15.75" hidden="false" customHeight="true" outlineLevel="0" collapsed="false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customFormat="false" ht="15.75" hidden="false" customHeight="true" outlineLevel="0" collapsed="false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customFormat="false" ht="15.75" hidden="false" customHeight="true" outlineLevel="0" collapsed="false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customFormat="false" ht="15.75" hidden="false" customHeight="true" outlineLevel="0" collapsed="false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customFormat="false" ht="15.75" hidden="false" customHeight="true" outlineLevel="0" collapsed="false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customFormat="false" ht="15.75" hidden="false" customHeight="true" outlineLevel="0" collapsed="false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customFormat="false" ht="15.75" hidden="false" customHeight="true" outlineLevel="0" collapsed="false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customFormat="false" ht="15.75" hidden="false" customHeight="true" outlineLevel="0" collapsed="false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customFormat="false" ht="15.75" hidden="false" customHeight="true" outlineLevel="0" collapsed="false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customFormat="false" ht="15.75" hidden="false" customHeight="true" outlineLevel="0" collapsed="false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customFormat="false" ht="15.75" hidden="false" customHeight="true" outlineLevel="0" collapsed="false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customFormat="false" ht="15.75" hidden="false" customHeight="true" outlineLevel="0" collapsed="false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customFormat="false" ht="15.75" hidden="false" customHeight="true" outlineLevel="0" collapsed="false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customFormat="false" ht="15.75" hidden="false" customHeight="true" outlineLevel="0" collapsed="false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customFormat="false" ht="15.75" hidden="false" customHeight="true" outlineLevel="0" collapsed="false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customFormat="false" ht="15.75" hidden="false" customHeight="true" outlineLevel="0" collapsed="false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customFormat="false" ht="15.75" hidden="false" customHeight="true" outlineLevel="0" collapsed="false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customFormat="false" ht="15.75" hidden="false" customHeight="true" outlineLevel="0" collapsed="false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customFormat="false" ht="15.75" hidden="false" customHeight="true" outlineLevel="0" collapsed="false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customFormat="false" ht="15.75" hidden="false" customHeight="true" outlineLevel="0" collapsed="false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customFormat="false" ht="15.75" hidden="false" customHeight="true" outlineLevel="0" collapsed="false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customFormat="false" ht="15.75" hidden="false" customHeight="true" outlineLevel="0" collapsed="false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customFormat="false" ht="15.75" hidden="false" customHeight="true" outlineLevel="0" collapsed="false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customFormat="false" ht="15.75" hidden="false" customHeight="true" outlineLevel="0" collapsed="false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customFormat="false" ht="15.75" hidden="false" customHeight="true" outlineLevel="0" collapsed="false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customFormat="false" ht="15.75" hidden="false" customHeight="true" outlineLevel="0" collapsed="false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customFormat="false" ht="15.75" hidden="false" customHeight="true" outlineLevel="0" collapsed="false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customFormat="false" ht="15.75" hidden="false" customHeight="true" outlineLevel="0" collapsed="false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customFormat="false" ht="15.75" hidden="false" customHeight="true" outlineLevel="0" collapsed="false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customFormat="false" ht="15.75" hidden="false" customHeight="true" outlineLevel="0" collapsed="false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customFormat="false" ht="15.75" hidden="false" customHeight="true" outlineLevel="0" collapsed="false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customFormat="false" ht="15.75" hidden="false" customHeight="true" outlineLevel="0" collapsed="false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customFormat="false" ht="15.75" hidden="false" customHeight="true" outlineLevel="0" collapsed="false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customFormat="false" ht="15.75" hidden="false" customHeight="true" outlineLevel="0" collapsed="false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customFormat="false" ht="15.75" hidden="false" customHeight="true" outlineLevel="0" collapsed="false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customFormat="false" ht="15.75" hidden="false" customHeight="true" outlineLevel="0" collapsed="false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customFormat="false" ht="15.75" hidden="false" customHeight="true" outlineLevel="0" collapsed="false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customFormat="false" ht="15.75" hidden="false" customHeight="true" outlineLevel="0" collapsed="false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customFormat="false" ht="15.75" hidden="false" customHeight="true" outlineLevel="0" collapsed="false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customFormat="false" ht="15.75" hidden="false" customHeight="true" outlineLevel="0" collapsed="false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customFormat="false" ht="15.75" hidden="false" customHeight="true" outlineLevel="0" collapsed="false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customFormat="false" ht="15.75" hidden="false" customHeight="true" outlineLevel="0" collapsed="false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customFormat="false" ht="15.75" hidden="false" customHeight="true" outlineLevel="0" collapsed="false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customFormat="false" ht="15.75" hidden="false" customHeight="true" outlineLevel="0" collapsed="false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customFormat="false" ht="15.75" hidden="false" customHeight="true" outlineLevel="0" collapsed="false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customFormat="false" ht="15.75" hidden="false" customHeight="true" outlineLevel="0" collapsed="false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customFormat="false" ht="15.75" hidden="false" customHeight="true" outlineLevel="0" collapsed="false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customFormat="false" ht="15.75" hidden="false" customHeight="true" outlineLevel="0" collapsed="false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customFormat="false" ht="15.75" hidden="false" customHeight="true" outlineLevel="0" collapsed="false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customFormat="false" ht="15.75" hidden="false" customHeight="true" outlineLevel="0" collapsed="false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customFormat="false" ht="15.75" hidden="false" customHeight="true" outlineLevel="0" collapsed="false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customFormat="false" ht="15.75" hidden="false" customHeight="true" outlineLevel="0" collapsed="false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customFormat="false" ht="15.75" hidden="false" customHeight="true" outlineLevel="0" collapsed="false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customFormat="false" ht="15.75" hidden="false" customHeight="true" outlineLevel="0" collapsed="false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customFormat="false" ht="15.75" hidden="false" customHeight="true" outlineLevel="0" collapsed="false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customFormat="false" ht="15.75" hidden="false" customHeight="true" outlineLevel="0" collapsed="false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customFormat="false" ht="15.75" hidden="false" customHeight="true" outlineLevel="0" collapsed="false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customFormat="false" ht="15.75" hidden="false" customHeight="true" outlineLevel="0" collapsed="false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customFormat="false" ht="15.75" hidden="false" customHeight="true" outlineLevel="0" collapsed="false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customFormat="false" ht="15.75" hidden="false" customHeight="true" outlineLevel="0" collapsed="false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customFormat="false" ht="15.75" hidden="false" customHeight="true" outlineLevel="0" collapsed="false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customFormat="false" ht="15.75" hidden="false" customHeight="true" outlineLevel="0" collapsed="false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customFormat="false" ht="15.75" hidden="false" customHeight="true" outlineLevel="0" collapsed="false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customFormat="false" ht="15.75" hidden="false" customHeight="true" outlineLevel="0" collapsed="false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customFormat="false" ht="15.75" hidden="false" customHeight="true" outlineLevel="0" collapsed="false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customFormat="false" ht="15.75" hidden="false" customHeight="true" outlineLevel="0" collapsed="false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customFormat="false" ht="15.75" hidden="false" customHeight="true" outlineLevel="0" collapsed="false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customFormat="false" ht="15.75" hidden="false" customHeight="true" outlineLevel="0" collapsed="false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customFormat="false" ht="15.75" hidden="false" customHeight="true" outlineLevel="0" collapsed="false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customFormat="false" ht="15.75" hidden="false" customHeight="true" outlineLevel="0" collapsed="false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customFormat="false" ht="15.75" hidden="false" customHeight="true" outlineLevel="0" collapsed="false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customFormat="false" ht="15.75" hidden="false" customHeight="true" outlineLevel="0" collapsed="false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customFormat="false" ht="15.75" hidden="false" customHeight="true" outlineLevel="0" collapsed="false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customFormat="false" ht="15.75" hidden="false" customHeight="true" outlineLevel="0" collapsed="false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customFormat="false" ht="15.75" hidden="false" customHeight="true" outlineLevel="0" collapsed="false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customFormat="false" ht="15.75" hidden="false" customHeight="true" outlineLevel="0" collapsed="false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customFormat="false" ht="15.75" hidden="false" customHeight="true" outlineLevel="0" collapsed="false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customFormat="false" ht="15.75" hidden="false" customHeight="true" outlineLevel="0" collapsed="false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customFormat="false" ht="15.75" hidden="false" customHeight="true" outlineLevel="0" collapsed="false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customFormat="false" ht="15.75" hidden="false" customHeight="true" outlineLevel="0" collapsed="false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customFormat="false" ht="15.75" hidden="false" customHeight="true" outlineLevel="0" collapsed="false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customFormat="false" ht="15.75" hidden="false" customHeight="true" outlineLevel="0" collapsed="false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customFormat="false" ht="15.75" hidden="false" customHeight="true" outlineLevel="0" collapsed="false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customFormat="false" ht="15.75" hidden="false" customHeight="true" outlineLevel="0" collapsed="false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customFormat="false" ht="15.75" hidden="false" customHeight="true" outlineLevel="0" collapsed="false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customFormat="false" ht="15.75" hidden="false" customHeight="true" outlineLevel="0" collapsed="false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customFormat="false" ht="15.75" hidden="false" customHeight="true" outlineLevel="0" collapsed="false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customFormat="false" ht="15.75" hidden="false" customHeight="true" outlineLevel="0" collapsed="false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customFormat="false" ht="15.75" hidden="false" customHeight="true" outlineLevel="0" collapsed="false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customFormat="false" ht="15.75" hidden="false" customHeight="true" outlineLevel="0" collapsed="false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customFormat="false" ht="15.75" hidden="false" customHeight="true" outlineLevel="0" collapsed="false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customFormat="false" ht="15.75" hidden="false" customHeight="true" outlineLevel="0" collapsed="false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customFormat="false" ht="15.75" hidden="false" customHeight="true" outlineLevel="0" collapsed="false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customFormat="false" ht="15.75" hidden="false" customHeight="true" outlineLevel="0" collapsed="false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customFormat="false" ht="15.75" hidden="false" customHeight="true" outlineLevel="0" collapsed="false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customFormat="false" ht="15.75" hidden="false" customHeight="true" outlineLevel="0" collapsed="false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customFormat="false" ht="15.75" hidden="false" customHeight="true" outlineLevel="0" collapsed="false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customFormat="false" ht="15.75" hidden="false" customHeight="true" outlineLevel="0" collapsed="false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customFormat="false" ht="15.75" hidden="false" customHeight="true" outlineLevel="0" collapsed="false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customFormat="false" ht="15.75" hidden="false" customHeight="true" outlineLevel="0" collapsed="false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customFormat="false" ht="15.75" hidden="false" customHeight="true" outlineLevel="0" collapsed="false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customFormat="false" ht="15.75" hidden="false" customHeight="true" outlineLevel="0" collapsed="false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customFormat="false" ht="15.75" hidden="false" customHeight="true" outlineLevel="0" collapsed="false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customFormat="false" ht="15.75" hidden="false" customHeight="true" outlineLevel="0" collapsed="false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customFormat="false" ht="15.75" hidden="false" customHeight="true" outlineLevel="0" collapsed="false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customFormat="false" ht="15.75" hidden="false" customHeight="true" outlineLevel="0" collapsed="false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customFormat="false" ht="15.75" hidden="false" customHeight="true" outlineLevel="0" collapsed="false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customFormat="false" ht="15.75" hidden="false" customHeight="true" outlineLevel="0" collapsed="false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customFormat="false" ht="15.75" hidden="false" customHeight="true" outlineLevel="0" collapsed="false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customFormat="false" ht="15.75" hidden="false" customHeight="true" outlineLevel="0" collapsed="false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customFormat="false" ht="15.75" hidden="false" customHeight="true" outlineLevel="0" collapsed="false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customFormat="false" ht="15.75" hidden="false" customHeight="true" outlineLevel="0" collapsed="false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customFormat="false" ht="15.75" hidden="false" customHeight="true" outlineLevel="0" collapsed="false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customFormat="false" ht="15.75" hidden="false" customHeight="true" outlineLevel="0" collapsed="false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customFormat="false" ht="15.75" hidden="false" customHeight="true" outlineLevel="0" collapsed="false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customFormat="false" ht="15.75" hidden="false" customHeight="true" outlineLevel="0" collapsed="false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customFormat="false" ht="15.75" hidden="false" customHeight="true" outlineLevel="0" collapsed="false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customFormat="false" ht="15.75" hidden="false" customHeight="true" outlineLevel="0" collapsed="false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customFormat="false" ht="15.75" hidden="false" customHeight="true" outlineLevel="0" collapsed="false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customFormat="false" ht="15.75" hidden="false" customHeight="true" outlineLevel="0" collapsed="false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customFormat="false" ht="15.75" hidden="false" customHeight="true" outlineLevel="0" collapsed="false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customFormat="false" ht="15.75" hidden="false" customHeight="true" outlineLevel="0" collapsed="false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customFormat="false" ht="15.75" hidden="false" customHeight="true" outlineLevel="0" collapsed="false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customFormat="false" ht="15.75" hidden="false" customHeight="true" outlineLevel="0" collapsed="false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customFormat="false" ht="15.75" hidden="false" customHeight="true" outlineLevel="0" collapsed="false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customFormat="false" ht="15.75" hidden="false" customHeight="true" outlineLevel="0" collapsed="false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customFormat="false" ht="15.75" hidden="false" customHeight="true" outlineLevel="0" collapsed="false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customFormat="false" ht="15.75" hidden="false" customHeight="true" outlineLevel="0" collapsed="false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customFormat="false" ht="15.75" hidden="false" customHeight="true" outlineLevel="0" collapsed="false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customFormat="false" ht="15.75" hidden="false" customHeight="true" outlineLevel="0" collapsed="false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customFormat="false" ht="15.75" hidden="false" customHeight="true" outlineLevel="0" collapsed="false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customFormat="false" ht="15.75" hidden="false" customHeight="true" outlineLevel="0" collapsed="false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customFormat="false" ht="15.75" hidden="false" customHeight="true" outlineLevel="0" collapsed="false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customFormat="false" ht="15.75" hidden="false" customHeight="true" outlineLevel="0" collapsed="false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customFormat="false" ht="15.75" hidden="false" customHeight="true" outlineLevel="0" collapsed="false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customFormat="false" ht="15.75" hidden="false" customHeight="true" outlineLevel="0" collapsed="false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customFormat="false" ht="15.75" hidden="false" customHeight="true" outlineLevel="0" collapsed="false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customFormat="false" ht="15.75" hidden="false" customHeight="true" outlineLevel="0" collapsed="false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customFormat="false" ht="15.75" hidden="false" customHeight="true" outlineLevel="0" collapsed="false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customFormat="false" ht="15.75" hidden="false" customHeight="true" outlineLevel="0" collapsed="false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customFormat="false" ht="15.75" hidden="false" customHeight="true" outlineLevel="0" collapsed="false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customFormat="false" ht="15.75" hidden="false" customHeight="true" outlineLevel="0" collapsed="false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customFormat="false" ht="15.75" hidden="false" customHeight="true" outlineLevel="0" collapsed="false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customFormat="false" ht="15.75" hidden="false" customHeight="true" outlineLevel="0" collapsed="false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customFormat="false" ht="15.75" hidden="false" customHeight="true" outlineLevel="0" collapsed="false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customFormat="false" ht="15.75" hidden="false" customHeight="true" outlineLevel="0" collapsed="false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customFormat="false" ht="15.75" hidden="false" customHeight="true" outlineLevel="0" collapsed="false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customFormat="false" ht="15.75" hidden="false" customHeight="true" outlineLevel="0" collapsed="false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customFormat="false" ht="15.75" hidden="false" customHeight="true" outlineLevel="0" collapsed="false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customFormat="false" ht="15.75" hidden="false" customHeight="true" outlineLevel="0" collapsed="false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customFormat="false" ht="15.75" hidden="false" customHeight="true" outlineLevel="0" collapsed="false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customFormat="false" ht="15.75" hidden="false" customHeight="true" outlineLevel="0" collapsed="false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customFormat="false" ht="15.75" hidden="false" customHeight="true" outlineLevel="0" collapsed="false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customFormat="false" ht="15.75" hidden="false" customHeight="true" outlineLevel="0" collapsed="false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customFormat="false" ht="15.75" hidden="false" customHeight="true" outlineLevel="0" collapsed="false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customFormat="false" ht="15.75" hidden="false" customHeight="true" outlineLevel="0" collapsed="false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customFormat="false" ht="15.75" hidden="false" customHeight="true" outlineLevel="0" collapsed="false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customFormat="false" ht="15.75" hidden="false" customHeight="true" outlineLevel="0" collapsed="false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customFormat="false" ht="15.75" hidden="false" customHeight="true" outlineLevel="0" collapsed="false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customFormat="false" ht="15.75" hidden="false" customHeight="true" outlineLevel="0" collapsed="false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customFormat="false" ht="15.75" hidden="false" customHeight="true" outlineLevel="0" collapsed="false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customFormat="false" ht="15.75" hidden="false" customHeight="true" outlineLevel="0" collapsed="false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customFormat="false" ht="15.75" hidden="false" customHeight="true" outlineLevel="0" collapsed="false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customFormat="false" ht="15.75" hidden="false" customHeight="true" outlineLevel="0" collapsed="false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customFormat="false" ht="15.75" hidden="false" customHeight="true" outlineLevel="0" collapsed="false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customFormat="false" ht="15.75" hidden="false" customHeight="true" outlineLevel="0" collapsed="false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customFormat="false" ht="15.75" hidden="false" customHeight="true" outlineLevel="0" collapsed="false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customFormat="false" ht="15.75" hidden="false" customHeight="true" outlineLevel="0" collapsed="false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customFormat="false" ht="15.75" hidden="false" customHeight="true" outlineLevel="0" collapsed="false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customFormat="false" ht="15.75" hidden="false" customHeight="true" outlineLevel="0" collapsed="false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customFormat="false" ht="15.75" hidden="false" customHeight="true" outlineLevel="0" collapsed="false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customFormat="false" ht="15.75" hidden="false" customHeight="true" outlineLevel="0" collapsed="false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customFormat="false" ht="15.75" hidden="false" customHeight="true" outlineLevel="0" collapsed="false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customFormat="false" ht="15.75" hidden="false" customHeight="true" outlineLevel="0" collapsed="false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customFormat="false" ht="15.75" hidden="false" customHeight="true" outlineLevel="0" collapsed="false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customFormat="false" ht="15.75" hidden="false" customHeight="true" outlineLevel="0" collapsed="false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customFormat="false" ht="15.75" hidden="false" customHeight="true" outlineLevel="0" collapsed="false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customFormat="false" ht="15.75" hidden="false" customHeight="true" outlineLevel="0" collapsed="false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customFormat="false" ht="15.75" hidden="false" customHeight="true" outlineLevel="0" collapsed="false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customFormat="false" ht="15.75" hidden="false" customHeight="true" outlineLevel="0" collapsed="false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customFormat="false" ht="15.75" hidden="false" customHeight="true" outlineLevel="0" collapsed="false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customFormat="false" ht="15.75" hidden="false" customHeight="true" outlineLevel="0" collapsed="false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customFormat="false" ht="15.75" hidden="false" customHeight="true" outlineLevel="0" collapsed="false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customFormat="false" ht="15.75" hidden="false" customHeight="true" outlineLevel="0" collapsed="false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customFormat="false" ht="15.75" hidden="false" customHeight="true" outlineLevel="0" collapsed="false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customFormat="false" ht="15.75" hidden="false" customHeight="true" outlineLevel="0" collapsed="false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customFormat="false" ht="15.75" hidden="false" customHeight="true" outlineLevel="0" collapsed="false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customFormat="false" ht="15.75" hidden="false" customHeight="true" outlineLevel="0" collapsed="false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customFormat="false" ht="15.75" hidden="false" customHeight="true" outlineLevel="0" collapsed="false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customFormat="false" ht="15.75" hidden="false" customHeight="true" outlineLevel="0" collapsed="false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customFormat="false" ht="15.75" hidden="false" customHeight="true" outlineLevel="0" collapsed="false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customFormat="false" ht="15.75" hidden="false" customHeight="true" outlineLevel="0" collapsed="false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customFormat="false" ht="15.75" hidden="false" customHeight="true" outlineLevel="0" collapsed="false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customFormat="false" ht="15.75" hidden="false" customHeight="true" outlineLevel="0" collapsed="false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customFormat="false" ht="15.75" hidden="false" customHeight="true" outlineLevel="0" collapsed="false">
      <c r="A996" s="2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customFormat="false" ht="15.75" hidden="false" customHeight="true" outlineLevel="0" collapsed="false">
      <c r="A997" s="2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customFormat="false" ht="15.75" hidden="false" customHeight="true" outlineLevel="0" collapsed="false">
      <c r="A998" s="2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customFormat="false" ht="15.75" hidden="false" customHeight="true" outlineLevel="0" collapsed="false">
      <c r="A999" s="2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customFormat="false" ht="15.75" hidden="false" customHeight="true" outlineLevel="0" collapsed="false">
      <c r="A1000" s="2"/>
      <c r="B1000" s="2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customFormat="false" ht="15.75" hidden="false" customHeight="true" outlineLevel="0" collapsed="false">
      <c r="A1001" s="2"/>
      <c r="B1001" s="2"/>
      <c r="C1001" s="3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customFormat="false" ht="15.75" hidden="false" customHeight="true" outlineLevel="0" collapsed="false">
      <c r="A1002" s="2"/>
      <c r="B1002" s="2"/>
      <c r="C1002" s="3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customFormat="false" ht="15.75" hidden="false" customHeight="true" outlineLevel="0" collapsed="false">
      <c r="A1003" s="2"/>
      <c r="B1003" s="2"/>
      <c r="C1003" s="3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customFormat="false" ht="15.75" hidden="false" customHeight="true" outlineLevel="0" collapsed="false">
      <c r="A1004" s="2"/>
      <c r="B1004" s="2"/>
      <c r="C1004" s="3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customFormat="false" ht="15.75" hidden="false" customHeight="true" outlineLevel="0" collapsed="false">
      <c r="A1005" s="2"/>
      <c r="B1005" s="2"/>
      <c r="C1005" s="3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 customFormat="false" ht="15.75" hidden="false" customHeight="true" outlineLevel="0" collapsed="false">
      <c r="A1006" s="2"/>
      <c r="B1006" s="2"/>
      <c r="C1006" s="3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 customFormat="false" ht="15.75" hidden="false" customHeight="true" outlineLevel="0" collapsed="false">
      <c r="A1007" s="2"/>
      <c r="B1007" s="2"/>
      <c r="C1007" s="3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 customFormat="false" ht="15.75" hidden="false" customHeight="true" outlineLevel="0" collapsed="false">
      <c r="A1008" s="2"/>
      <c r="B1008" s="2"/>
      <c r="C1008" s="3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 customFormat="false" ht="15.75" hidden="false" customHeight="true" outlineLevel="0" collapsed="false">
      <c r="A1009" s="2"/>
      <c r="B1009" s="2"/>
      <c r="C1009" s="3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 customFormat="false" ht="15.75" hidden="false" customHeight="true" outlineLevel="0" collapsed="false">
      <c r="A1010" s="2"/>
      <c r="B1010" s="2"/>
      <c r="C1010" s="3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 customFormat="false" ht="15.75" hidden="false" customHeight="true" outlineLevel="0" collapsed="false">
      <c r="A1011" s="2"/>
      <c r="B1011" s="2"/>
      <c r="C1011" s="3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 customFormat="false" ht="15.75" hidden="false" customHeight="true" outlineLevel="0" collapsed="false">
      <c r="A1012" s="2"/>
      <c r="B1012" s="2"/>
      <c r="C1012" s="3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 customFormat="false" ht="15.75" hidden="false" customHeight="true" outlineLevel="0" collapsed="false">
      <c r="A1013" s="2"/>
      <c r="B1013" s="2"/>
      <c r="C1013" s="3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 customFormat="false" ht="15.75" hidden="false" customHeight="true" outlineLevel="0" collapsed="false">
      <c r="A1014" s="2"/>
      <c r="B1014" s="2"/>
      <c r="C1014" s="3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 customFormat="false" ht="15.75" hidden="false" customHeight="true" outlineLevel="0" collapsed="false">
      <c r="A1015" s="2"/>
      <c r="B1015" s="2"/>
      <c r="C1015" s="3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 customFormat="false" ht="15.75" hidden="false" customHeight="true" outlineLevel="0" collapsed="false">
      <c r="A1016" s="2"/>
      <c r="B1016" s="2"/>
      <c r="C1016" s="3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 customFormat="false" ht="15.75" hidden="false" customHeight="true" outlineLevel="0" collapsed="false">
      <c r="A1017" s="2"/>
      <c r="B1017" s="2"/>
      <c r="C1017" s="3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 customFormat="false" ht="15.75" hidden="false" customHeight="true" outlineLevel="0" collapsed="false">
      <c r="A1018" s="2"/>
      <c r="B1018" s="2"/>
      <c r="C1018" s="3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 customFormat="false" ht="15.75" hidden="false" customHeight="true" outlineLevel="0" collapsed="false">
      <c r="A1019" s="2"/>
      <c r="B1019" s="2"/>
      <c r="C1019" s="3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 customFormat="false" ht="15.75" hidden="false" customHeight="true" outlineLevel="0" collapsed="false">
      <c r="A1020" s="2"/>
      <c r="B1020" s="2"/>
      <c r="C1020" s="3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 customFormat="false" ht="15.75" hidden="false" customHeight="true" outlineLevel="0" collapsed="false">
      <c r="A1021" s="2"/>
      <c r="B1021" s="2"/>
      <c r="C1021" s="3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 customFormat="false" ht="15.75" hidden="false" customHeight="true" outlineLevel="0" collapsed="false">
      <c r="A1022" s="2"/>
      <c r="B1022" s="2"/>
      <c r="C1022" s="3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 customFormat="false" ht="15.75" hidden="false" customHeight="true" outlineLevel="0" collapsed="false">
      <c r="A1023" s="2"/>
      <c r="B1023" s="2"/>
      <c r="C1023" s="3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 customFormat="false" ht="15.75" hidden="false" customHeight="true" outlineLevel="0" collapsed="false">
      <c r="A1024" s="2"/>
      <c r="B1024" s="2"/>
      <c r="C1024" s="3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 customFormat="false" ht="15.75" hidden="false" customHeight="true" outlineLevel="0" collapsed="false">
      <c r="A1025" s="2"/>
      <c r="B1025" s="2"/>
      <c r="C1025" s="3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 customFormat="false" ht="15.75" hidden="false" customHeight="true" outlineLevel="0" collapsed="false">
      <c r="A1026" s="2"/>
      <c r="B1026" s="2"/>
      <c r="C1026" s="3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 customFormat="false" ht="15.75" hidden="false" customHeight="true" outlineLevel="0" collapsed="false">
      <c r="A1027" s="2"/>
      <c r="B1027" s="2"/>
      <c r="C1027" s="3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 customFormat="false" ht="15.75" hidden="false" customHeight="true" outlineLevel="0" collapsed="false">
      <c r="A1028" s="2"/>
      <c r="B1028" s="2"/>
      <c r="C1028" s="3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 customFormat="false" ht="15.75" hidden="false" customHeight="true" outlineLevel="0" collapsed="false">
      <c r="A1029" s="2"/>
      <c r="B1029" s="2"/>
      <c r="C1029" s="3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 customFormat="false" ht="15.75" hidden="false" customHeight="true" outlineLevel="0" collapsed="false">
      <c r="A1030" s="2"/>
      <c r="B1030" s="2"/>
      <c r="C1030" s="3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 customFormat="false" ht="15.75" hidden="false" customHeight="true" outlineLevel="0" collapsed="false">
      <c r="A1031" s="2"/>
      <c r="B1031" s="2"/>
      <c r="C1031" s="3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 customFormat="false" ht="15.75" hidden="false" customHeight="true" outlineLevel="0" collapsed="false">
      <c r="A1032" s="2"/>
      <c r="B1032" s="2"/>
      <c r="C1032" s="3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 customFormat="false" ht="15.75" hidden="false" customHeight="true" outlineLevel="0" collapsed="false">
      <c r="A1033" s="2"/>
      <c r="B1033" s="2"/>
      <c r="C1033" s="3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 customFormat="false" ht="15.75" hidden="false" customHeight="true" outlineLevel="0" collapsed="false">
      <c r="A1034" s="2"/>
      <c r="B1034" s="2"/>
      <c r="C1034" s="3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 customFormat="false" ht="15.75" hidden="false" customHeight="true" outlineLevel="0" collapsed="false">
      <c r="A1035" s="2"/>
      <c r="B1035" s="2"/>
      <c r="C1035" s="3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 customFormat="false" ht="15.75" hidden="false" customHeight="true" outlineLevel="0" collapsed="false">
      <c r="A1036" s="2"/>
      <c r="B1036" s="2"/>
      <c r="C1036" s="3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 customFormat="false" ht="15.75" hidden="false" customHeight="true" outlineLevel="0" collapsed="false">
      <c r="A1037" s="2"/>
      <c r="B1037" s="2"/>
      <c r="C1037" s="3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 customFormat="false" ht="15.75" hidden="false" customHeight="true" outlineLevel="0" collapsed="false">
      <c r="A1038" s="2"/>
      <c r="B1038" s="2"/>
      <c r="C1038" s="3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 customFormat="false" ht="15.75" hidden="false" customHeight="true" outlineLevel="0" collapsed="false">
      <c r="A1039" s="2"/>
      <c r="B1039" s="2"/>
      <c r="C1039" s="3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  <row r="1040" customFormat="false" ht="15.75" hidden="false" customHeight="true" outlineLevel="0" collapsed="false">
      <c r="A1040" s="2"/>
      <c r="B1040" s="2"/>
      <c r="C1040" s="3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</row>
    <row r="1041" customFormat="false" ht="15.75" hidden="false" customHeight="true" outlineLevel="0" collapsed="false">
      <c r="A1041" s="2"/>
      <c r="B1041" s="2"/>
      <c r="C1041" s="3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</row>
    <row r="1042" customFormat="false" ht="15.75" hidden="false" customHeight="true" outlineLevel="0" collapsed="false">
      <c r="A1042" s="2"/>
      <c r="B1042" s="2"/>
      <c r="C1042" s="3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</row>
    <row r="1043" customFormat="false" ht="15.75" hidden="false" customHeight="true" outlineLevel="0" collapsed="false">
      <c r="A1043" s="2"/>
      <c r="B1043" s="2"/>
      <c r="C1043" s="3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</row>
    <row r="1044" customFormat="false" ht="15.75" hidden="false" customHeight="true" outlineLevel="0" collapsed="false">
      <c r="A1044" s="2"/>
      <c r="B1044" s="2"/>
      <c r="C1044" s="3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</row>
    <row r="1045" customFormat="false" ht="15.75" hidden="false" customHeight="true" outlineLevel="0" collapsed="false">
      <c r="A1045" s="2"/>
      <c r="B1045" s="2"/>
      <c r="C1045" s="3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</row>
    <row r="1046" customFormat="false" ht="15.75" hidden="false" customHeight="true" outlineLevel="0" collapsed="false">
      <c r="A1046" s="2"/>
      <c r="B1046" s="2"/>
      <c r="C1046" s="3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</row>
    <row r="1047" customFormat="false" ht="15.75" hidden="false" customHeight="true" outlineLevel="0" collapsed="false">
      <c r="A1047" s="2"/>
      <c r="B1047" s="2"/>
      <c r="C1047" s="3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</row>
    <row r="1048" customFormat="false" ht="15.75" hidden="false" customHeight="true" outlineLevel="0" collapsed="false">
      <c r="A1048" s="2"/>
      <c r="B1048" s="2"/>
      <c r="C1048" s="3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</row>
    <row r="1049" customFormat="false" ht="15.75" hidden="false" customHeight="true" outlineLevel="0" collapsed="false">
      <c r="A1049" s="2"/>
      <c r="B1049" s="2"/>
      <c r="C1049" s="3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</row>
    <row r="1050" customFormat="false" ht="15.75" hidden="false" customHeight="true" outlineLevel="0" collapsed="false">
      <c r="A1050" s="2"/>
      <c r="B1050" s="2"/>
      <c r="C1050" s="3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</row>
    <row r="1051" customFormat="false" ht="15.75" hidden="false" customHeight="true" outlineLevel="0" collapsed="false">
      <c r="A1051" s="2"/>
      <c r="B1051" s="2"/>
      <c r="C1051" s="3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</row>
    <row r="1052" customFormat="false" ht="15.75" hidden="false" customHeight="true" outlineLevel="0" collapsed="false">
      <c r="A1052" s="2"/>
      <c r="B1052" s="2"/>
      <c r="C1052" s="3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</row>
    <row r="1053" customFormat="false" ht="15.75" hidden="false" customHeight="true" outlineLevel="0" collapsed="false">
      <c r="A1053" s="2"/>
      <c r="B1053" s="2"/>
      <c r="C1053" s="3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</row>
    <row r="1054" customFormat="false" ht="15.75" hidden="false" customHeight="true" outlineLevel="0" collapsed="false">
      <c r="A1054" s="2"/>
      <c r="B1054" s="2"/>
      <c r="C1054" s="3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</row>
    <row r="1055" customFormat="false" ht="15.75" hidden="false" customHeight="true" outlineLevel="0" collapsed="false">
      <c r="A1055" s="2"/>
      <c r="B1055" s="2"/>
      <c r="C1055" s="3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</row>
    <row r="1056" customFormat="false" ht="15.75" hidden="false" customHeight="true" outlineLevel="0" collapsed="false">
      <c r="A1056" s="2"/>
      <c r="B1056" s="2"/>
      <c r="C1056" s="3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</row>
    <row r="1057" customFormat="false" ht="15.75" hidden="false" customHeight="true" outlineLevel="0" collapsed="false">
      <c r="A1057" s="2"/>
      <c r="B1057" s="2"/>
      <c r="C1057" s="3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</row>
    <row r="1058" customFormat="false" ht="15.75" hidden="false" customHeight="true" outlineLevel="0" collapsed="false">
      <c r="A1058" s="2"/>
      <c r="B1058" s="2"/>
      <c r="C1058" s="3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</row>
    <row r="1059" customFormat="false" ht="15.75" hidden="false" customHeight="true" outlineLevel="0" collapsed="false">
      <c r="A1059" s="2"/>
      <c r="B1059" s="2"/>
      <c r="C1059" s="3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</row>
    <row r="1060" customFormat="false" ht="15.75" hidden="false" customHeight="true" outlineLevel="0" collapsed="false">
      <c r="A1060" s="2"/>
      <c r="B1060" s="2"/>
      <c r="C1060" s="3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</row>
    <row r="1061" customFormat="false" ht="15.75" hidden="false" customHeight="true" outlineLevel="0" collapsed="false">
      <c r="A1061" s="2"/>
      <c r="B1061" s="2"/>
      <c r="C1061" s="3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</row>
    <row r="1062" customFormat="false" ht="15.75" hidden="false" customHeight="true" outlineLevel="0" collapsed="false">
      <c r="A1062" s="2"/>
      <c r="B1062" s="2"/>
      <c r="C1062" s="3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</row>
    <row r="1063" customFormat="false" ht="15.75" hidden="false" customHeight="true" outlineLevel="0" collapsed="false">
      <c r="A1063" s="2"/>
      <c r="B1063" s="2"/>
      <c r="C1063" s="3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</row>
    <row r="1064" customFormat="false" ht="15.75" hidden="false" customHeight="true" outlineLevel="0" collapsed="false">
      <c r="A1064" s="2"/>
      <c r="B1064" s="2"/>
      <c r="C1064" s="3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</row>
    <row r="1065" customFormat="false" ht="15.75" hidden="false" customHeight="true" outlineLevel="0" collapsed="false">
      <c r="A1065" s="2"/>
      <c r="B1065" s="2"/>
      <c r="C1065" s="3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</row>
    <row r="1066" customFormat="false" ht="15.75" hidden="false" customHeight="true" outlineLevel="0" collapsed="false">
      <c r="A1066" s="2"/>
      <c r="B1066" s="2"/>
      <c r="C1066" s="3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</row>
    <row r="1067" customFormat="false" ht="15.75" hidden="false" customHeight="true" outlineLevel="0" collapsed="false">
      <c r="A1067" s="2"/>
      <c r="B1067" s="2"/>
      <c r="C1067" s="3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</row>
    <row r="1068" customFormat="false" ht="15.75" hidden="false" customHeight="true" outlineLevel="0" collapsed="false">
      <c r="A1068" s="2"/>
      <c r="B1068" s="2"/>
      <c r="C1068" s="3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</row>
    <row r="1069" customFormat="false" ht="15.75" hidden="false" customHeight="true" outlineLevel="0" collapsed="false">
      <c r="A1069" s="2"/>
      <c r="B1069" s="2"/>
      <c r="C1069" s="3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</row>
    <row r="1070" customFormat="false" ht="15.75" hidden="false" customHeight="true" outlineLevel="0" collapsed="false">
      <c r="A1070" s="2"/>
      <c r="B1070" s="2"/>
      <c r="C1070" s="3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</row>
    <row r="1071" customFormat="false" ht="15.75" hidden="false" customHeight="true" outlineLevel="0" collapsed="false">
      <c r="A1071" s="2"/>
      <c r="B1071" s="2"/>
      <c r="C1071" s="3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</row>
    <row r="1072" customFormat="false" ht="15.75" hidden="false" customHeight="true" outlineLevel="0" collapsed="false">
      <c r="A1072" s="2"/>
      <c r="B1072" s="2"/>
      <c r="C1072" s="3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</row>
    <row r="1073" customFormat="false" ht="15.75" hidden="false" customHeight="true" outlineLevel="0" collapsed="false">
      <c r="A1073" s="2"/>
      <c r="B1073" s="2"/>
      <c r="C1073" s="3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</row>
    <row r="1074" customFormat="false" ht="15.75" hidden="false" customHeight="true" outlineLevel="0" collapsed="false">
      <c r="A1074" s="2"/>
      <c r="B1074" s="2"/>
      <c r="C1074" s="3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</row>
    <row r="1075" customFormat="false" ht="15.75" hidden="false" customHeight="true" outlineLevel="0" collapsed="false">
      <c r="A1075" s="2"/>
      <c r="B1075" s="2"/>
      <c r="C1075" s="3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</row>
    <row r="1076" customFormat="false" ht="15.75" hidden="false" customHeight="true" outlineLevel="0" collapsed="false">
      <c r="A1076" s="2"/>
      <c r="B1076" s="2"/>
      <c r="C1076" s="3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</row>
    <row r="1077" customFormat="false" ht="15.75" hidden="false" customHeight="true" outlineLevel="0" collapsed="false">
      <c r="A1077" s="2"/>
      <c r="B1077" s="2"/>
      <c r="C1077" s="3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</row>
    <row r="1078" customFormat="false" ht="15.75" hidden="false" customHeight="true" outlineLevel="0" collapsed="false">
      <c r="A1078" s="2"/>
      <c r="B1078" s="2"/>
      <c r="C1078" s="3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</row>
    <row r="1079" customFormat="false" ht="15.75" hidden="false" customHeight="true" outlineLevel="0" collapsed="false">
      <c r="A1079" s="2"/>
      <c r="B1079" s="2"/>
      <c r="C1079" s="3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</row>
    <row r="1080" customFormat="false" ht="15.75" hidden="false" customHeight="true" outlineLevel="0" collapsed="false">
      <c r="A1080" s="2"/>
      <c r="B1080" s="2"/>
      <c r="C1080" s="3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</row>
    <row r="1081" customFormat="false" ht="15.75" hidden="false" customHeight="true" outlineLevel="0" collapsed="false">
      <c r="A1081" s="2"/>
      <c r="B1081" s="2"/>
      <c r="C1081" s="3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</row>
    <row r="1082" customFormat="false" ht="15.75" hidden="false" customHeight="true" outlineLevel="0" collapsed="false">
      <c r="A1082" s="2"/>
      <c r="B1082" s="2"/>
      <c r="C1082" s="3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</row>
    <row r="1083" customFormat="false" ht="15.75" hidden="false" customHeight="true" outlineLevel="0" collapsed="false">
      <c r="A1083" s="2"/>
      <c r="B1083" s="2"/>
      <c r="C1083" s="3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</row>
    <row r="1084" customFormat="false" ht="15.75" hidden="false" customHeight="true" outlineLevel="0" collapsed="false">
      <c r="A1084" s="2"/>
      <c r="B1084" s="2"/>
      <c r="C1084" s="3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</row>
    <row r="1085" customFormat="false" ht="15.75" hidden="false" customHeight="true" outlineLevel="0" collapsed="false">
      <c r="A1085" s="2"/>
      <c r="B1085" s="2"/>
      <c r="C1085" s="3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</row>
    <row r="1086" customFormat="false" ht="15.75" hidden="false" customHeight="true" outlineLevel="0" collapsed="false">
      <c r="A1086" s="2"/>
      <c r="B1086" s="2"/>
      <c r="C1086" s="3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</row>
    <row r="1087" customFormat="false" ht="15.75" hidden="false" customHeight="true" outlineLevel="0" collapsed="false">
      <c r="A1087" s="2"/>
      <c r="B1087" s="2"/>
      <c r="C1087" s="3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</row>
    <row r="1088" customFormat="false" ht="15.75" hidden="false" customHeight="true" outlineLevel="0" collapsed="false">
      <c r="A1088" s="2"/>
      <c r="B1088" s="2"/>
      <c r="C1088" s="3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</row>
    <row r="1089" customFormat="false" ht="15.75" hidden="false" customHeight="true" outlineLevel="0" collapsed="false">
      <c r="A1089" s="2"/>
      <c r="B1089" s="2"/>
      <c r="C1089" s="3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</row>
    <row r="1090" customFormat="false" ht="15.75" hidden="false" customHeight="true" outlineLevel="0" collapsed="false">
      <c r="A1090" s="2"/>
      <c r="B1090" s="2"/>
      <c r="C1090" s="3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</row>
    <row r="1091" customFormat="false" ht="15.75" hidden="false" customHeight="true" outlineLevel="0" collapsed="false">
      <c r="A1091" s="2"/>
      <c r="B1091" s="2"/>
      <c r="C1091" s="3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</row>
    <row r="1092" customFormat="false" ht="15.75" hidden="false" customHeight="true" outlineLevel="0" collapsed="false">
      <c r="A1092" s="2"/>
      <c r="B1092" s="2"/>
      <c r="C1092" s="3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</row>
    <row r="1093" customFormat="false" ht="15.75" hidden="false" customHeight="true" outlineLevel="0" collapsed="false">
      <c r="A1093" s="2"/>
      <c r="B1093" s="2"/>
      <c r="C1093" s="3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</row>
    <row r="1094" customFormat="false" ht="15.75" hidden="false" customHeight="true" outlineLevel="0" collapsed="false">
      <c r="A1094" s="2"/>
      <c r="B1094" s="2"/>
      <c r="C1094" s="3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</row>
    <row r="1095" customFormat="false" ht="15.75" hidden="false" customHeight="true" outlineLevel="0" collapsed="false">
      <c r="A1095" s="2"/>
      <c r="B1095" s="2"/>
      <c r="C1095" s="3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</row>
    <row r="1096" customFormat="false" ht="15.75" hidden="false" customHeight="true" outlineLevel="0" collapsed="false">
      <c r="A1096" s="2"/>
      <c r="B1096" s="2"/>
      <c r="C1096" s="3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</row>
    <row r="1097" customFormat="false" ht="15.75" hidden="false" customHeight="true" outlineLevel="0" collapsed="false">
      <c r="A1097" s="2"/>
      <c r="B1097" s="2"/>
      <c r="C1097" s="3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</row>
    <row r="1098" customFormat="false" ht="15.75" hidden="false" customHeight="true" outlineLevel="0" collapsed="false">
      <c r="A1098" s="2"/>
      <c r="B1098" s="2"/>
      <c r="C1098" s="3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</row>
    <row r="1099" customFormat="false" ht="15.75" hidden="false" customHeight="true" outlineLevel="0" collapsed="false">
      <c r="A1099" s="2"/>
      <c r="B1099" s="2"/>
      <c r="C1099" s="3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</row>
    <row r="1100" customFormat="false" ht="15.75" hidden="false" customHeight="true" outlineLevel="0" collapsed="false">
      <c r="A1100" s="2"/>
      <c r="B1100" s="2"/>
      <c r="C1100" s="3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</row>
    <row r="1101" customFormat="false" ht="15.75" hidden="false" customHeight="true" outlineLevel="0" collapsed="false">
      <c r="A1101" s="2"/>
      <c r="B1101" s="2"/>
      <c r="C1101" s="3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</row>
    <row r="1102" customFormat="false" ht="15.75" hidden="false" customHeight="true" outlineLevel="0" collapsed="false">
      <c r="A1102" s="2"/>
      <c r="B1102" s="2"/>
      <c r="C1102" s="3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</row>
    <row r="1103" customFormat="false" ht="15.75" hidden="false" customHeight="true" outlineLevel="0" collapsed="false">
      <c r="A1103" s="2"/>
      <c r="B1103" s="2"/>
      <c r="C1103" s="3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</row>
    <row r="1104" customFormat="false" ht="15.75" hidden="false" customHeight="true" outlineLevel="0" collapsed="false">
      <c r="A1104" s="2"/>
      <c r="B1104" s="2"/>
      <c r="C1104" s="3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</row>
    <row r="1105" customFormat="false" ht="15.75" hidden="false" customHeight="true" outlineLevel="0" collapsed="false">
      <c r="A1105" s="2"/>
      <c r="B1105" s="2"/>
      <c r="C1105" s="3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</row>
    <row r="1106" customFormat="false" ht="15.75" hidden="false" customHeight="true" outlineLevel="0" collapsed="false">
      <c r="A1106" s="2"/>
      <c r="B1106" s="2"/>
      <c r="C1106" s="3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</row>
    <row r="1107" customFormat="false" ht="15.75" hidden="false" customHeight="true" outlineLevel="0" collapsed="false">
      <c r="A1107" s="2"/>
      <c r="B1107" s="2"/>
      <c r="C1107" s="3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</row>
    <row r="1108" customFormat="false" ht="15.75" hidden="false" customHeight="true" outlineLevel="0" collapsed="false">
      <c r="A1108" s="2"/>
      <c r="B1108" s="2"/>
      <c r="C1108" s="3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</row>
    <row r="1109" customFormat="false" ht="15.75" hidden="false" customHeight="true" outlineLevel="0" collapsed="false">
      <c r="A1109" s="2"/>
      <c r="B1109" s="2"/>
      <c r="C1109" s="3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</row>
    <row r="1110" customFormat="false" ht="15.75" hidden="false" customHeight="true" outlineLevel="0" collapsed="false">
      <c r="A1110" s="2"/>
      <c r="B1110" s="2"/>
      <c r="C1110" s="3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</row>
    <row r="1111" customFormat="false" ht="15.75" hidden="false" customHeight="true" outlineLevel="0" collapsed="false">
      <c r="A1111" s="2"/>
      <c r="B1111" s="2"/>
      <c r="C1111" s="3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</row>
    <row r="1112" customFormat="false" ht="15.75" hidden="false" customHeight="true" outlineLevel="0" collapsed="false">
      <c r="A1112" s="2"/>
      <c r="B1112" s="2"/>
      <c r="C1112" s="3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</row>
    <row r="1113" customFormat="false" ht="15.75" hidden="false" customHeight="true" outlineLevel="0" collapsed="false">
      <c r="A1113" s="2"/>
      <c r="B1113" s="2"/>
      <c r="C1113" s="3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</row>
    <row r="1114" customFormat="false" ht="15.75" hidden="false" customHeight="true" outlineLevel="0" collapsed="false">
      <c r="A1114" s="2"/>
      <c r="B1114" s="2"/>
      <c r="C1114" s="3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</row>
    <row r="1115" customFormat="false" ht="15.75" hidden="false" customHeight="true" outlineLevel="0" collapsed="false">
      <c r="A1115" s="2"/>
      <c r="B1115" s="2"/>
      <c r="C1115" s="3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</row>
    <row r="1116" customFormat="false" ht="15.75" hidden="false" customHeight="true" outlineLevel="0" collapsed="false">
      <c r="A1116" s="2"/>
      <c r="B1116" s="2"/>
      <c r="C1116" s="3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</row>
    <row r="1117" customFormat="false" ht="15.75" hidden="false" customHeight="true" outlineLevel="0" collapsed="false">
      <c r="A1117" s="2"/>
      <c r="B1117" s="2"/>
      <c r="C1117" s="3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</row>
    <row r="1118" customFormat="false" ht="15.75" hidden="false" customHeight="true" outlineLevel="0" collapsed="false">
      <c r="A1118" s="2"/>
      <c r="B1118" s="2"/>
      <c r="C1118" s="3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</row>
    <row r="1119" customFormat="false" ht="15.75" hidden="false" customHeight="true" outlineLevel="0" collapsed="false">
      <c r="A1119" s="2"/>
      <c r="B1119" s="2"/>
      <c r="C1119" s="3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</row>
    <row r="1120" customFormat="false" ht="15.75" hidden="false" customHeight="true" outlineLevel="0" collapsed="false">
      <c r="A1120" s="2"/>
      <c r="B1120" s="2"/>
      <c r="C1120" s="3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</row>
  </sheetData>
  <mergeCells count="15">
    <mergeCell ref="A7:L7"/>
    <mergeCell ref="A72:K72"/>
    <mergeCell ref="A73:C73"/>
    <mergeCell ref="A74:C74"/>
    <mergeCell ref="L74:L79"/>
    <mergeCell ref="A75:C75"/>
    <mergeCell ref="A76:C76"/>
    <mergeCell ref="A77:C77"/>
    <mergeCell ref="A78:C78"/>
    <mergeCell ref="A79:C79"/>
    <mergeCell ref="C88:J88"/>
    <mergeCell ref="C89:C90"/>
    <mergeCell ref="E89:J89"/>
    <mergeCell ref="D91:D92"/>
    <mergeCell ref="C126:D126"/>
  </mergeCells>
  <conditionalFormatting sqref="J10:J71 J73:J75 J77:J79">
    <cfRule type="cellIs" priority="2" operator="lessThan" aboveAverage="0" equalAverage="0" bottom="0" percent="0" rank="0" text="" dxfId="2">
      <formula>50</formula>
    </cfRule>
  </conditionalFormatting>
  <conditionalFormatting sqref="J10:J71 J73:J75 J77:J79">
    <cfRule type="cellIs" priority="3" operator="equal" aboveAverage="0" equalAverage="0" bottom="0" percent="0" rank="0" text="" dxfId="2">
      <formula>"AB"</formula>
    </cfRule>
  </conditionalFormatting>
  <printOptions headings="false" gridLines="false" gridLinesSet="true" horizontalCentered="false" verticalCentered="false"/>
  <pageMargins left="0.315277777777778" right="0.120138888888889" top="0.315277777777778" bottom="0.118055555555556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72" man="true" max="16383" min="0"/>
    <brk id="87" man="true" max="16383" min="0"/>
    <brk id="126" man="true" max="16383" min="0"/>
  </rowBreaks>
  <colBreaks count="1" manualBreakCount="1">
    <brk id="12" man="true" max="65535" min="0"/>
  </colBreaks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2" style="0" width="16.38"/>
    <col collapsed="false" customWidth="true" hidden="false" outlineLevel="0" max="3" min="3" style="0" width="21.88"/>
  </cols>
  <sheetData>
    <row r="1" customFormat="false" ht="15" hidden="false" customHeight="false" outlineLevel="0" collapsed="false">
      <c r="A1" s="122"/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3"/>
      <c r="Z1" s="123"/>
    </row>
    <row r="2" customFormat="false" ht="15" hidden="false" customHeight="false" outlineLevel="0" collapsed="false">
      <c r="A2" s="122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3"/>
      <c r="Z2" s="123"/>
    </row>
    <row r="3" customFormat="false" ht="15" hidden="false" customHeight="false" outlineLevel="0" collapsed="false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3"/>
      <c r="Z3" s="123"/>
    </row>
    <row r="4" customFormat="false" ht="15" hidden="false" customHeight="false" outlineLevel="0" collapsed="false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3"/>
      <c r="Z4" s="123"/>
    </row>
    <row r="5" customFormat="false" ht="15" hidden="false" customHeight="false" outlineLevel="0" collapsed="false">
      <c r="A5" s="122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3"/>
      <c r="Z5" s="123"/>
    </row>
    <row r="6" customFormat="false" ht="15" hidden="false" customHeight="false" outlineLevel="0" collapsed="false">
      <c r="A6" s="122"/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3"/>
      <c r="Z6" s="123"/>
    </row>
    <row r="7" customFormat="false" ht="17.35" hidden="false" customHeight="false" outlineLevel="0" collapsed="false">
      <c r="A7" s="124" t="s">
        <v>0</v>
      </c>
      <c r="B7" s="124"/>
      <c r="C7" s="124"/>
      <c r="D7" s="124"/>
      <c r="E7" s="124"/>
      <c r="F7" s="124"/>
      <c r="G7" s="124"/>
      <c r="H7" s="124"/>
      <c r="I7" s="125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3"/>
      <c r="Z7" s="123"/>
    </row>
    <row r="8" customFormat="false" ht="15" hidden="false" customHeight="false" outlineLevel="0" collapsed="false">
      <c r="A8" s="6" t="s">
        <v>1</v>
      </c>
      <c r="B8" s="126"/>
      <c r="C8" s="126"/>
      <c r="D8" s="122"/>
      <c r="E8" s="9" t="s">
        <v>2</v>
      </c>
      <c r="F8" s="122"/>
      <c r="G8" s="127" t="s">
        <v>207</v>
      </c>
      <c r="H8" s="122"/>
      <c r="I8" s="128" t="s">
        <v>208</v>
      </c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3"/>
      <c r="Z8" s="123"/>
    </row>
    <row r="9" customFormat="false" ht="32.25" hidden="false" customHeight="true" outlineLevel="0" collapsed="false">
      <c r="A9" s="129" t="s">
        <v>5</v>
      </c>
      <c r="B9" s="129" t="s">
        <v>6</v>
      </c>
      <c r="C9" s="130" t="s">
        <v>7</v>
      </c>
      <c r="D9" s="131"/>
      <c r="E9" s="131"/>
      <c r="F9" s="131"/>
      <c r="G9" s="131"/>
      <c r="H9" s="132" t="s">
        <v>8</v>
      </c>
      <c r="I9" s="28" t="s">
        <v>9</v>
      </c>
      <c r="J9" s="133" t="s">
        <v>10</v>
      </c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3"/>
      <c r="Z9" s="123"/>
    </row>
    <row r="10" customFormat="false" ht="15" hidden="false" customHeight="false" outlineLevel="0" collapsed="false">
      <c r="A10" s="129"/>
      <c r="B10" s="129"/>
      <c r="C10" s="129"/>
      <c r="D10" s="17"/>
      <c r="E10" s="17"/>
      <c r="F10" s="17"/>
      <c r="G10" s="17"/>
      <c r="H10" s="132"/>
      <c r="I10" s="132"/>
      <c r="J10" s="13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3"/>
      <c r="Z10" s="123"/>
    </row>
    <row r="11" customFormat="false" ht="26.25" hidden="false" customHeight="true" outlineLevel="0" collapsed="false">
      <c r="A11" s="42" t="n">
        <v>1</v>
      </c>
      <c r="B11" s="134" t="n">
        <v>511521104001</v>
      </c>
      <c r="C11" s="120" t="s">
        <v>209</v>
      </c>
      <c r="D11" s="135"/>
      <c r="E11" s="135"/>
      <c r="F11" s="135"/>
      <c r="G11" s="135"/>
      <c r="H11" s="42" t="n">
        <f aca="false">SUM(D11:G11)</f>
        <v>0</v>
      </c>
      <c r="I11" s="42" t="n">
        <f aca="false">COUNTIF(D11:G11,"&lt;=49")</f>
        <v>0</v>
      </c>
      <c r="J11" s="42" t="n">
        <f aca="false">COUNTIF(C11:H11,"AB")</f>
        <v>0</v>
      </c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3"/>
      <c r="Z11" s="123"/>
    </row>
    <row r="12" customFormat="false" ht="26.25" hidden="false" customHeight="true" outlineLevel="0" collapsed="false">
      <c r="A12" s="42" t="n">
        <v>2</v>
      </c>
      <c r="B12" s="136" t="n">
        <v>511521104002</v>
      </c>
      <c r="C12" s="120" t="s">
        <v>210</v>
      </c>
      <c r="D12" s="135"/>
      <c r="E12" s="135"/>
      <c r="F12" s="135"/>
      <c r="G12" s="135"/>
      <c r="H12" s="42" t="n">
        <f aca="false">SUM(D12:G12)</f>
        <v>0</v>
      </c>
      <c r="I12" s="42" t="n">
        <f aca="false">COUNTIF(D12:G12,"&lt;=49")</f>
        <v>0</v>
      </c>
      <c r="J12" s="42" t="n">
        <f aca="false">COUNTIF(E12:H12,"AB")</f>
        <v>0</v>
      </c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3"/>
      <c r="Z12" s="123"/>
    </row>
    <row r="13" customFormat="false" ht="26.25" hidden="false" customHeight="true" outlineLevel="0" collapsed="false">
      <c r="A13" s="42" t="n">
        <v>3</v>
      </c>
      <c r="B13" s="136" t="n">
        <v>511521104003</v>
      </c>
      <c r="C13" s="120" t="s">
        <v>211</v>
      </c>
      <c r="D13" s="135"/>
      <c r="E13" s="135"/>
      <c r="F13" s="135"/>
      <c r="G13" s="135"/>
      <c r="H13" s="42" t="n">
        <f aca="false">SUM(D13:G13)</f>
        <v>0</v>
      </c>
      <c r="I13" s="42" t="n">
        <f aca="false">COUNTIF(D13:G13,"&lt;=49")</f>
        <v>0</v>
      </c>
      <c r="J13" s="42" t="n">
        <f aca="false">COUNTIF(E13:H13,"AB")</f>
        <v>0</v>
      </c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3"/>
      <c r="Z13" s="123"/>
    </row>
    <row r="14" customFormat="false" ht="26.25" hidden="false" customHeight="true" outlineLevel="0" collapsed="false">
      <c r="A14" s="42" t="n">
        <v>4</v>
      </c>
      <c r="B14" s="136" t="n">
        <v>511521104004</v>
      </c>
      <c r="C14" s="120" t="s">
        <v>212</v>
      </c>
      <c r="D14" s="135"/>
      <c r="E14" s="135"/>
      <c r="F14" s="135"/>
      <c r="G14" s="135"/>
      <c r="H14" s="42" t="n">
        <f aca="false">SUM(D14:G14)</f>
        <v>0</v>
      </c>
      <c r="I14" s="42" t="n">
        <f aca="false">COUNTIF(D14:G14,"&lt;=49")</f>
        <v>0</v>
      </c>
      <c r="J14" s="42" t="n">
        <f aca="false">COUNTIF(E14:H14,"AB")</f>
        <v>0</v>
      </c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3"/>
      <c r="Z14" s="123"/>
    </row>
    <row r="15" customFormat="false" ht="26.25" hidden="false" customHeight="true" outlineLevel="0" collapsed="false">
      <c r="A15" s="42" t="n">
        <v>5</v>
      </c>
      <c r="B15" s="136" t="n">
        <v>511521104005</v>
      </c>
      <c r="C15" s="120" t="s">
        <v>213</v>
      </c>
      <c r="D15" s="135"/>
      <c r="E15" s="135"/>
      <c r="F15" s="135"/>
      <c r="G15" s="135"/>
      <c r="H15" s="42" t="n">
        <f aca="false">SUM(D15:G15)</f>
        <v>0</v>
      </c>
      <c r="I15" s="42" t="n">
        <f aca="false">COUNTIF(D15:G15,"&lt;=49")</f>
        <v>0</v>
      </c>
      <c r="J15" s="42" t="n">
        <f aca="false">COUNTIF(E15:H15,"AB")</f>
        <v>0</v>
      </c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3"/>
      <c r="Z15" s="123"/>
    </row>
    <row r="16" customFormat="false" ht="26.25" hidden="false" customHeight="true" outlineLevel="0" collapsed="false">
      <c r="A16" s="42" t="n">
        <v>6</v>
      </c>
      <c r="B16" s="136" t="n">
        <v>511521104006</v>
      </c>
      <c r="C16" s="120" t="s">
        <v>214</v>
      </c>
      <c r="D16" s="135"/>
      <c r="E16" s="135"/>
      <c r="F16" s="135"/>
      <c r="G16" s="135"/>
      <c r="H16" s="42" t="n">
        <f aca="false">SUM(D16:G16)</f>
        <v>0</v>
      </c>
      <c r="I16" s="42" t="n">
        <f aca="false">COUNTIF(D16:G16,"&lt;=49")</f>
        <v>0</v>
      </c>
      <c r="J16" s="42" t="n">
        <f aca="false">COUNTIF(E16:H16,"AB")</f>
        <v>0</v>
      </c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3"/>
      <c r="Z16" s="123"/>
    </row>
    <row r="17" customFormat="false" ht="26.25" hidden="false" customHeight="true" outlineLevel="0" collapsed="false">
      <c r="A17" s="42" t="n">
        <v>7</v>
      </c>
      <c r="B17" s="137" t="n">
        <v>511521104007</v>
      </c>
      <c r="C17" s="138" t="s">
        <v>215</v>
      </c>
      <c r="D17" s="135"/>
      <c r="E17" s="135"/>
      <c r="F17" s="135"/>
      <c r="G17" s="135"/>
      <c r="H17" s="42" t="n">
        <f aca="false">SUM(D17:G17)</f>
        <v>0</v>
      </c>
      <c r="I17" s="42" t="n">
        <f aca="false">COUNTIF(D17:G17,"&lt;=49")</f>
        <v>0</v>
      </c>
      <c r="J17" s="42" t="n">
        <f aca="false">COUNTIF(E17:H17,"AB")</f>
        <v>0</v>
      </c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3"/>
      <c r="Z17" s="123"/>
    </row>
    <row r="18" customFormat="false" ht="26.25" hidden="false" customHeight="true" outlineLevel="0" collapsed="false">
      <c r="A18" s="42" t="n">
        <v>8</v>
      </c>
      <c r="B18" s="137" t="n">
        <v>511521104009</v>
      </c>
      <c r="C18" s="138" t="s">
        <v>216</v>
      </c>
      <c r="D18" s="135"/>
      <c r="E18" s="135"/>
      <c r="F18" s="135"/>
      <c r="G18" s="135"/>
      <c r="H18" s="42" t="n">
        <f aca="false">SUM(D18:G18)</f>
        <v>0</v>
      </c>
      <c r="I18" s="42" t="n">
        <f aca="false">COUNTIF(D18:G18,"&lt;=49")</f>
        <v>0</v>
      </c>
      <c r="J18" s="42" t="n">
        <f aca="false">COUNTIF(E18:H18,"AB")</f>
        <v>0</v>
      </c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3"/>
      <c r="Z18" s="123"/>
    </row>
    <row r="19" customFormat="false" ht="26.25" hidden="false" customHeight="true" outlineLevel="0" collapsed="false">
      <c r="A19" s="42" t="n">
        <v>9</v>
      </c>
      <c r="B19" s="137" t="n">
        <v>511521104010</v>
      </c>
      <c r="C19" s="138" t="s">
        <v>217</v>
      </c>
      <c r="D19" s="135"/>
      <c r="E19" s="135"/>
      <c r="F19" s="135"/>
      <c r="G19" s="139"/>
      <c r="H19" s="42" t="n">
        <f aca="false">SUM(D19:G19)</f>
        <v>0</v>
      </c>
      <c r="I19" s="42" t="n">
        <f aca="false">COUNTIF(D19:G19,"&lt;=49")</f>
        <v>0</v>
      </c>
      <c r="J19" s="42" t="n">
        <f aca="false">COUNTIF(E19:H19,"AB")</f>
        <v>0</v>
      </c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3"/>
      <c r="Z19" s="123"/>
    </row>
    <row r="20" customFormat="false" ht="26.25" hidden="false" customHeight="true" outlineLevel="0" collapsed="false">
      <c r="A20" s="42" t="n">
        <v>10</v>
      </c>
      <c r="B20" s="137" t="n">
        <v>511521104011</v>
      </c>
      <c r="C20" s="138" t="s">
        <v>218</v>
      </c>
      <c r="D20" s="135"/>
      <c r="E20" s="135"/>
      <c r="F20" s="135"/>
      <c r="G20" s="135"/>
      <c r="H20" s="42" t="n">
        <f aca="false">SUM(D20:G20)</f>
        <v>0</v>
      </c>
      <c r="I20" s="42" t="n">
        <f aca="false">COUNTIF(D20:G20,"&lt;=49")</f>
        <v>0</v>
      </c>
      <c r="J20" s="42" t="n">
        <f aca="false">COUNTIF(E20:H20,"AB")</f>
        <v>0</v>
      </c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3"/>
      <c r="Z20" s="123"/>
    </row>
    <row r="21" customFormat="false" ht="26.25" hidden="false" customHeight="true" outlineLevel="0" collapsed="false">
      <c r="A21" s="42" t="n">
        <v>11</v>
      </c>
      <c r="B21" s="137" t="n">
        <v>511521104012</v>
      </c>
      <c r="C21" s="138" t="s">
        <v>219</v>
      </c>
      <c r="D21" s="135"/>
      <c r="E21" s="135"/>
      <c r="F21" s="135"/>
      <c r="G21" s="135"/>
      <c r="H21" s="42" t="n">
        <f aca="false">SUM(D21:G21)</f>
        <v>0</v>
      </c>
      <c r="I21" s="42" t="n">
        <f aca="false">COUNTIF(D21:G21,"&lt;=49")</f>
        <v>0</v>
      </c>
      <c r="J21" s="42" t="n">
        <f aca="false">COUNTIF(E21:H21,"AB")</f>
        <v>0</v>
      </c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3"/>
      <c r="Z21" s="123"/>
    </row>
    <row r="22" customFormat="false" ht="26.25" hidden="false" customHeight="true" outlineLevel="0" collapsed="false">
      <c r="A22" s="42" t="n">
        <v>12</v>
      </c>
      <c r="B22" s="137" t="n">
        <v>511521104013</v>
      </c>
      <c r="C22" s="138" t="s">
        <v>220</v>
      </c>
      <c r="D22" s="135"/>
      <c r="E22" s="135"/>
      <c r="F22" s="135"/>
      <c r="G22" s="135"/>
      <c r="H22" s="42" t="n">
        <f aca="false">SUM(D22:G22)</f>
        <v>0</v>
      </c>
      <c r="I22" s="42" t="n">
        <f aca="false">COUNTIF(D22:G22,"&lt;=49")</f>
        <v>0</v>
      </c>
      <c r="J22" s="42" t="n">
        <f aca="false">COUNTIF(E22:H22,"AB")</f>
        <v>0</v>
      </c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3"/>
      <c r="Z22" s="123"/>
    </row>
    <row r="23" customFormat="false" ht="26.25" hidden="false" customHeight="true" outlineLevel="0" collapsed="false">
      <c r="A23" s="42" t="n">
        <v>13</v>
      </c>
      <c r="B23" s="137" t="n">
        <v>511521104014</v>
      </c>
      <c r="C23" s="138" t="s">
        <v>221</v>
      </c>
      <c r="D23" s="135"/>
      <c r="E23" s="135"/>
      <c r="F23" s="135"/>
      <c r="G23" s="135"/>
      <c r="H23" s="42" t="n">
        <f aca="false">SUM(D23:G23)</f>
        <v>0</v>
      </c>
      <c r="I23" s="42" t="n">
        <f aca="false">COUNTIF(D23:G23,"&lt;=49")</f>
        <v>0</v>
      </c>
      <c r="J23" s="42" t="n">
        <f aca="false">COUNTIF(E23:H23,"AB")</f>
        <v>0</v>
      </c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3"/>
      <c r="Z23" s="123"/>
    </row>
    <row r="24" customFormat="false" ht="26.25" hidden="false" customHeight="true" outlineLevel="0" collapsed="false">
      <c r="A24" s="42" t="n">
        <v>14</v>
      </c>
      <c r="B24" s="137" t="n">
        <v>511521104015</v>
      </c>
      <c r="C24" s="138" t="s">
        <v>222</v>
      </c>
      <c r="D24" s="135"/>
      <c r="E24" s="135"/>
      <c r="F24" s="135"/>
      <c r="G24" s="135"/>
      <c r="H24" s="42" t="n">
        <f aca="false">SUM(D24:G24)</f>
        <v>0</v>
      </c>
      <c r="I24" s="42" t="n">
        <f aca="false">COUNTIF(D24:G24,"&lt;=49")</f>
        <v>0</v>
      </c>
      <c r="J24" s="42" t="n">
        <f aca="false">COUNTIF(E24:H24,"AB")</f>
        <v>0</v>
      </c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3"/>
      <c r="Z24" s="123"/>
    </row>
    <row r="25" customFormat="false" ht="26.25" hidden="false" customHeight="true" outlineLevel="0" collapsed="false">
      <c r="A25" s="42" t="n">
        <v>15</v>
      </c>
      <c r="B25" s="137" t="n">
        <v>511521104016</v>
      </c>
      <c r="C25" s="138" t="s">
        <v>223</v>
      </c>
      <c r="D25" s="135"/>
      <c r="E25" s="135"/>
      <c r="F25" s="135"/>
      <c r="G25" s="135"/>
      <c r="H25" s="42" t="n">
        <f aca="false">SUM(D25:G25)</f>
        <v>0</v>
      </c>
      <c r="I25" s="42" t="n">
        <f aca="false">COUNTIF(D25:G25,"&lt;=49")</f>
        <v>0</v>
      </c>
      <c r="J25" s="42" t="n">
        <f aca="false">COUNTIF(E25:H25,"AB")</f>
        <v>0</v>
      </c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3"/>
      <c r="Z25" s="123"/>
    </row>
    <row r="26" customFormat="false" ht="26.25" hidden="false" customHeight="true" outlineLevel="0" collapsed="false">
      <c r="A26" s="42" t="n">
        <v>16</v>
      </c>
      <c r="B26" s="137" t="n">
        <v>511521104017</v>
      </c>
      <c r="C26" s="138" t="s">
        <v>224</v>
      </c>
      <c r="D26" s="135"/>
      <c r="E26" s="135"/>
      <c r="F26" s="135"/>
      <c r="G26" s="135"/>
      <c r="H26" s="42" t="n">
        <f aca="false">SUM(D26:G26)</f>
        <v>0</v>
      </c>
      <c r="I26" s="42" t="n">
        <f aca="false">COUNTIF(D26:G26,"&lt;=49")</f>
        <v>0</v>
      </c>
      <c r="J26" s="42" t="n">
        <f aca="false">COUNTIF(E26:H26,"AB")</f>
        <v>0</v>
      </c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3"/>
      <c r="Z26" s="123"/>
    </row>
    <row r="27" customFormat="false" ht="26.25" hidden="false" customHeight="true" outlineLevel="0" collapsed="false">
      <c r="A27" s="42" t="n">
        <v>17</v>
      </c>
      <c r="B27" s="137" t="n">
        <v>511521104018</v>
      </c>
      <c r="C27" s="138" t="s">
        <v>225</v>
      </c>
      <c r="D27" s="135"/>
      <c r="E27" s="135"/>
      <c r="F27" s="135"/>
      <c r="G27" s="140"/>
      <c r="H27" s="42" t="n">
        <f aca="false">SUM(D27:G27)</f>
        <v>0</v>
      </c>
      <c r="I27" s="42" t="n">
        <f aca="false">COUNTIF(D27:G27,"&lt;=49")</f>
        <v>0</v>
      </c>
      <c r="J27" s="42" t="n">
        <f aca="false">COUNTIF(E27:H27,"AB")</f>
        <v>0</v>
      </c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3"/>
      <c r="Z27" s="123"/>
    </row>
    <row r="28" customFormat="false" ht="26.25" hidden="false" customHeight="true" outlineLevel="0" collapsed="false">
      <c r="A28" s="42" t="n">
        <v>18</v>
      </c>
      <c r="B28" s="137" t="n">
        <v>511521104019</v>
      </c>
      <c r="C28" s="138" t="s">
        <v>226</v>
      </c>
      <c r="D28" s="135"/>
      <c r="E28" s="135"/>
      <c r="F28" s="135"/>
      <c r="G28" s="141"/>
      <c r="H28" s="42" t="n">
        <f aca="false">SUM(D28:G28)</f>
        <v>0</v>
      </c>
      <c r="I28" s="42" t="n">
        <f aca="false">COUNTIF(D28:G28,"&lt;=49")</f>
        <v>0</v>
      </c>
      <c r="J28" s="42" t="n">
        <f aca="false">COUNTIF(E28:H28,"AB")</f>
        <v>0</v>
      </c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3"/>
      <c r="Z28" s="123"/>
    </row>
    <row r="29" customFormat="false" ht="26.25" hidden="false" customHeight="true" outlineLevel="0" collapsed="false">
      <c r="A29" s="42" t="n">
        <v>19</v>
      </c>
      <c r="B29" s="137" t="n">
        <v>511521104021</v>
      </c>
      <c r="C29" s="138" t="s">
        <v>227</v>
      </c>
      <c r="D29" s="135"/>
      <c r="E29" s="135"/>
      <c r="F29" s="135"/>
      <c r="G29" s="142"/>
      <c r="H29" s="42" t="n">
        <f aca="false">SUM(D29:G29)</f>
        <v>0</v>
      </c>
      <c r="I29" s="42" t="n">
        <f aca="false">COUNTIF(D29:G29,"&lt;=49")</f>
        <v>0</v>
      </c>
      <c r="J29" s="42" t="n">
        <f aca="false">COUNTIF(E29:H29,"AB")</f>
        <v>0</v>
      </c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3"/>
      <c r="Z29" s="123"/>
    </row>
    <row r="30" customFormat="false" ht="26.25" hidden="false" customHeight="true" outlineLevel="0" collapsed="false">
      <c r="A30" s="42" t="n">
        <v>20</v>
      </c>
      <c r="B30" s="137" t="n">
        <v>511521104022</v>
      </c>
      <c r="C30" s="138" t="s">
        <v>228</v>
      </c>
      <c r="D30" s="135"/>
      <c r="E30" s="135"/>
      <c r="F30" s="135"/>
      <c r="G30" s="135"/>
      <c r="H30" s="42" t="n">
        <f aca="false">SUM(D30:G30)</f>
        <v>0</v>
      </c>
      <c r="I30" s="42" t="n">
        <f aca="false">COUNTIF(D30:G30,"&lt;=49")</f>
        <v>0</v>
      </c>
      <c r="J30" s="42" t="n">
        <f aca="false">COUNTIF(E30:H30,"AB")</f>
        <v>0</v>
      </c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3"/>
      <c r="Z30" s="123"/>
    </row>
    <row r="31" customFormat="false" ht="26.25" hidden="false" customHeight="true" outlineLevel="0" collapsed="false">
      <c r="A31" s="42" t="n">
        <v>21</v>
      </c>
      <c r="B31" s="137" t="n">
        <v>511521104023</v>
      </c>
      <c r="C31" s="138" t="s">
        <v>229</v>
      </c>
      <c r="D31" s="135"/>
      <c r="E31" s="135"/>
      <c r="F31" s="135"/>
      <c r="G31" s="135"/>
      <c r="H31" s="42" t="n">
        <f aca="false">SUM(D31:G31)</f>
        <v>0</v>
      </c>
      <c r="I31" s="42" t="n">
        <f aca="false">COUNTIF(D31:G31,"&lt;=49")</f>
        <v>0</v>
      </c>
      <c r="J31" s="42" t="n">
        <f aca="false">COUNTIF(E31:H31,"AB")</f>
        <v>0</v>
      </c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3"/>
      <c r="Z31" s="123"/>
    </row>
    <row r="32" customFormat="false" ht="26.25" hidden="false" customHeight="true" outlineLevel="0" collapsed="false">
      <c r="A32" s="42" t="n">
        <v>22</v>
      </c>
      <c r="B32" s="137" t="n">
        <v>511521104024</v>
      </c>
      <c r="C32" s="138" t="s">
        <v>230</v>
      </c>
      <c r="D32" s="135"/>
      <c r="E32" s="135"/>
      <c r="F32" s="135"/>
      <c r="G32" s="135"/>
      <c r="H32" s="42" t="n">
        <f aca="false">SUM(D32:G32)</f>
        <v>0</v>
      </c>
      <c r="I32" s="42" t="n">
        <f aca="false">COUNTIF(D32:G32,"&lt;=49")</f>
        <v>0</v>
      </c>
      <c r="J32" s="42" t="n">
        <f aca="false">COUNTIF(E32:H32,"AB")</f>
        <v>0</v>
      </c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3"/>
      <c r="Z32" s="123"/>
    </row>
    <row r="33" customFormat="false" ht="26.25" hidden="false" customHeight="true" outlineLevel="0" collapsed="false">
      <c r="A33" s="42" t="n">
        <v>23</v>
      </c>
      <c r="B33" s="137" t="n">
        <v>511521104025</v>
      </c>
      <c r="C33" s="138" t="s">
        <v>231</v>
      </c>
      <c r="D33" s="135"/>
      <c r="E33" s="135"/>
      <c r="F33" s="135"/>
      <c r="G33" s="135"/>
      <c r="H33" s="42" t="n">
        <f aca="false">SUM(D33:G33)</f>
        <v>0</v>
      </c>
      <c r="I33" s="42" t="n">
        <f aca="false">COUNTIF(D33:G33,"&lt;=49")</f>
        <v>0</v>
      </c>
      <c r="J33" s="42" t="n">
        <f aca="false">COUNTIF(E33:H33,"AB")</f>
        <v>0</v>
      </c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3"/>
      <c r="Z33" s="123"/>
    </row>
    <row r="34" customFormat="false" ht="26.25" hidden="false" customHeight="true" outlineLevel="0" collapsed="false">
      <c r="A34" s="42" t="n">
        <v>24</v>
      </c>
      <c r="B34" s="137" t="n">
        <v>511521104026</v>
      </c>
      <c r="C34" s="138" t="s">
        <v>232</v>
      </c>
      <c r="D34" s="135"/>
      <c r="E34" s="135"/>
      <c r="F34" s="135"/>
      <c r="G34" s="135"/>
      <c r="H34" s="42" t="n">
        <f aca="false">SUM(D34:G34)</f>
        <v>0</v>
      </c>
      <c r="I34" s="42" t="n">
        <f aca="false">COUNTIF(D34:G34,"&lt;=49")</f>
        <v>0</v>
      </c>
      <c r="J34" s="42" t="n">
        <f aca="false">COUNTIF(E34:H34,"AB")</f>
        <v>0</v>
      </c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3"/>
      <c r="Z34" s="123"/>
    </row>
    <row r="35" customFormat="false" ht="26.25" hidden="false" customHeight="true" outlineLevel="0" collapsed="false">
      <c r="A35" s="42" t="n">
        <v>25</v>
      </c>
      <c r="B35" s="137" t="n">
        <v>511521104027</v>
      </c>
      <c r="C35" s="138" t="s">
        <v>233</v>
      </c>
      <c r="D35" s="135"/>
      <c r="E35" s="135"/>
      <c r="F35" s="135"/>
      <c r="G35" s="135"/>
      <c r="H35" s="42" t="n">
        <f aca="false">SUM(D35:G35)</f>
        <v>0</v>
      </c>
      <c r="I35" s="42" t="n">
        <f aca="false">COUNTIF(D35:G35,"&lt;=49")</f>
        <v>0</v>
      </c>
      <c r="J35" s="42" t="n">
        <f aca="false">COUNTIF(E35:H35,"AB")</f>
        <v>0</v>
      </c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3"/>
      <c r="Z35" s="123"/>
    </row>
    <row r="36" customFormat="false" ht="26.25" hidden="false" customHeight="true" outlineLevel="0" collapsed="false">
      <c r="A36" s="42" t="n">
        <v>26</v>
      </c>
      <c r="B36" s="137" t="n">
        <v>511521104028</v>
      </c>
      <c r="C36" s="138" t="s">
        <v>234</v>
      </c>
      <c r="D36" s="135"/>
      <c r="E36" s="135"/>
      <c r="F36" s="135"/>
      <c r="G36" s="135"/>
      <c r="H36" s="42" t="n">
        <f aca="false">SUM(D36:G36)</f>
        <v>0</v>
      </c>
      <c r="I36" s="42" t="n">
        <f aca="false">COUNTIF(D36:G36,"&lt;=49")</f>
        <v>0</v>
      </c>
      <c r="J36" s="42" t="n">
        <f aca="false">COUNTIF(E36:H36,"AB")</f>
        <v>0</v>
      </c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3"/>
      <c r="Z36" s="123"/>
    </row>
    <row r="37" customFormat="false" ht="26.25" hidden="false" customHeight="true" outlineLevel="0" collapsed="false">
      <c r="A37" s="42" t="n">
        <v>27</v>
      </c>
      <c r="B37" s="137" t="n">
        <v>511521104029</v>
      </c>
      <c r="C37" s="138" t="s">
        <v>235</v>
      </c>
      <c r="D37" s="135"/>
      <c r="E37" s="135"/>
      <c r="F37" s="135"/>
      <c r="G37" s="135"/>
      <c r="H37" s="42" t="n">
        <f aca="false">SUM(D37:G37)</f>
        <v>0</v>
      </c>
      <c r="I37" s="42" t="n">
        <f aca="false">COUNTIF(D37:G37,"&lt;=49")</f>
        <v>0</v>
      </c>
      <c r="J37" s="42" t="n">
        <f aca="false">COUNTIF(E37:H37,"AB")</f>
        <v>0</v>
      </c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3"/>
      <c r="Z37" s="123"/>
    </row>
    <row r="38" customFormat="false" ht="26.25" hidden="false" customHeight="true" outlineLevel="0" collapsed="false">
      <c r="A38" s="42" t="n">
        <v>28</v>
      </c>
      <c r="B38" s="137" t="n">
        <v>511521104030</v>
      </c>
      <c r="C38" s="138" t="s">
        <v>236</v>
      </c>
      <c r="D38" s="135"/>
      <c r="E38" s="135"/>
      <c r="F38" s="135"/>
      <c r="G38" s="135"/>
      <c r="H38" s="42" t="n">
        <f aca="false">SUM(D38:G38)</f>
        <v>0</v>
      </c>
      <c r="I38" s="42" t="n">
        <f aca="false">COUNTIF(D38:G38,"&lt;=49")</f>
        <v>0</v>
      </c>
      <c r="J38" s="42" t="n">
        <f aca="false">COUNTIF(E38:H38,"AB")</f>
        <v>0</v>
      </c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3"/>
      <c r="Z38" s="123"/>
    </row>
    <row r="39" customFormat="false" ht="26.25" hidden="false" customHeight="true" outlineLevel="0" collapsed="false">
      <c r="A39" s="42" t="n">
        <v>29</v>
      </c>
      <c r="B39" s="137" t="n">
        <v>511521104031</v>
      </c>
      <c r="C39" s="138" t="s">
        <v>237</v>
      </c>
      <c r="D39" s="135"/>
      <c r="E39" s="135"/>
      <c r="F39" s="135"/>
      <c r="G39" s="135"/>
      <c r="H39" s="42" t="n">
        <f aca="false">SUM(D39:G39)</f>
        <v>0</v>
      </c>
      <c r="I39" s="42" t="n">
        <f aca="false">COUNTIF(D39:G39,"&lt;=49")</f>
        <v>0</v>
      </c>
      <c r="J39" s="42" t="n">
        <f aca="false">COUNTIF(E39:H39,"AB")</f>
        <v>0</v>
      </c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3"/>
      <c r="Z39" s="123"/>
    </row>
    <row r="40" customFormat="false" ht="26.25" hidden="false" customHeight="true" outlineLevel="0" collapsed="false">
      <c r="A40" s="42" t="n">
        <v>30</v>
      </c>
      <c r="B40" s="137" t="n">
        <v>511521104032</v>
      </c>
      <c r="C40" s="138" t="s">
        <v>238</v>
      </c>
      <c r="D40" s="135"/>
      <c r="E40" s="135"/>
      <c r="F40" s="135"/>
      <c r="G40" s="135"/>
      <c r="H40" s="42" t="n">
        <f aca="false">SUM(D40:G40)</f>
        <v>0</v>
      </c>
      <c r="I40" s="42" t="n">
        <f aca="false">COUNTIF(D40:G40,"&lt;=49")</f>
        <v>0</v>
      </c>
      <c r="J40" s="42" t="n">
        <f aca="false">COUNTIF(E40:H40,"AB")</f>
        <v>0</v>
      </c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3"/>
      <c r="Z40" s="123"/>
    </row>
    <row r="41" customFormat="false" ht="26.25" hidden="false" customHeight="true" outlineLevel="0" collapsed="false">
      <c r="A41" s="42" t="n">
        <v>31</v>
      </c>
      <c r="B41" s="137" t="n">
        <v>511521104033</v>
      </c>
      <c r="C41" s="138" t="s">
        <v>239</v>
      </c>
      <c r="D41" s="135"/>
      <c r="E41" s="135"/>
      <c r="F41" s="135"/>
      <c r="G41" s="135"/>
      <c r="H41" s="42" t="n">
        <f aca="false">SUM(D41:G41)</f>
        <v>0</v>
      </c>
      <c r="I41" s="42" t="n">
        <f aca="false">COUNTIF(D41:G41,"&lt;=49")</f>
        <v>0</v>
      </c>
      <c r="J41" s="42" t="n">
        <f aca="false">COUNTIF(E41:H41,"AB")</f>
        <v>0</v>
      </c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3"/>
      <c r="Z41" s="123"/>
    </row>
    <row r="42" customFormat="false" ht="26.25" hidden="false" customHeight="true" outlineLevel="0" collapsed="false">
      <c r="A42" s="42" t="n">
        <v>32</v>
      </c>
      <c r="B42" s="137" t="n">
        <v>511521104034</v>
      </c>
      <c r="C42" s="138" t="s">
        <v>240</v>
      </c>
      <c r="D42" s="135"/>
      <c r="E42" s="135"/>
      <c r="F42" s="135"/>
      <c r="G42" s="135"/>
      <c r="H42" s="42" t="n">
        <f aca="false">SUM(D42:G42)</f>
        <v>0</v>
      </c>
      <c r="I42" s="42" t="n">
        <f aca="false">COUNTIF(D42:G42,"&lt;=49")</f>
        <v>0</v>
      </c>
      <c r="J42" s="42" t="n">
        <f aca="false">COUNTIF(E42:H42,"AB")</f>
        <v>0</v>
      </c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3"/>
      <c r="Z42" s="123"/>
    </row>
    <row r="43" customFormat="false" ht="26.25" hidden="false" customHeight="true" outlineLevel="0" collapsed="false">
      <c r="A43" s="42" t="n">
        <v>33</v>
      </c>
      <c r="B43" s="137" t="n">
        <v>511521104035</v>
      </c>
      <c r="C43" s="138" t="s">
        <v>241</v>
      </c>
      <c r="D43" s="135"/>
      <c r="E43" s="135"/>
      <c r="F43" s="135"/>
      <c r="G43" s="135"/>
      <c r="H43" s="42" t="n">
        <f aca="false">SUM(D43:G43)</f>
        <v>0</v>
      </c>
      <c r="I43" s="42" t="n">
        <f aca="false">COUNTIF(D43:G43,"&lt;=49")</f>
        <v>0</v>
      </c>
      <c r="J43" s="42" t="n">
        <f aca="false">COUNTIF(E43:H43,"AB")</f>
        <v>0</v>
      </c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3"/>
      <c r="Z43" s="123"/>
    </row>
    <row r="44" customFormat="false" ht="26.25" hidden="false" customHeight="true" outlineLevel="0" collapsed="false">
      <c r="A44" s="42" t="n">
        <v>34</v>
      </c>
      <c r="B44" s="137" t="n">
        <v>511521104036</v>
      </c>
      <c r="C44" s="138" t="s">
        <v>242</v>
      </c>
      <c r="D44" s="135"/>
      <c r="E44" s="135"/>
      <c r="F44" s="135"/>
      <c r="G44" s="135"/>
      <c r="H44" s="42" t="n">
        <f aca="false">SUM(D44:G44)</f>
        <v>0</v>
      </c>
      <c r="I44" s="42" t="n">
        <f aca="false">COUNTIF(D44:G44,"&lt;=49")</f>
        <v>0</v>
      </c>
      <c r="J44" s="42" t="n">
        <f aca="false">COUNTIF(E44:H44,"AB")</f>
        <v>0</v>
      </c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3"/>
      <c r="Z44" s="123"/>
    </row>
    <row r="45" customFormat="false" ht="26.25" hidden="false" customHeight="true" outlineLevel="0" collapsed="false">
      <c r="A45" s="42" t="n">
        <v>35</v>
      </c>
      <c r="B45" s="137" t="n">
        <v>511521104037</v>
      </c>
      <c r="C45" s="138" t="s">
        <v>243</v>
      </c>
      <c r="D45" s="135"/>
      <c r="E45" s="135"/>
      <c r="F45" s="135"/>
      <c r="G45" s="135"/>
      <c r="H45" s="42" t="n">
        <f aca="false">SUM(D45:G45)</f>
        <v>0</v>
      </c>
      <c r="I45" s="42" t="n">
        <f aca="false">COUNTIF(D45:G45,"&lt;=49")</f>
        <v>0</v>
      </c>
      <c r="J45" s="42" t="n">
        <f aca="false">COUNTIF(E45:H45,"AB")</f>
        <v>0</v>
      </c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3"/>
      <c r="Z45" s="123"/>
    </row>
    <row r="46" customFormat="false" ht="26.25" hidden="false" customHeight="true" outlineLevel="0" collapsed="false">
      <c r="A46" s="42" t="n">
        <v>36</v>
      </c>
      <c r="B46" s="137" t="n">
        <v>511521104038</v>
      </c>
      <c r="C46" s="138" t="s">
        <v>244</v>
      </c>
      <c r="D46" s="135"/>
      <c r="E46" s="135"/>
      <c r="F46" s="135"/>
      <c r="G46" s="135"/>
      <c r="H46" s="42" t="n">
        <f aca="false">SUM(D46:G46)</f>
        <v>0</v>
      </c>
      <c r="I46" s="42" t="n">
        <f aca="false">COUNTIF(D46:G46,"&lt;=49")</f>
        <v>0</v>
      </c>
      <c r="J46" s="42" t="n">
        <f aca="false">COUNTIF(E46:H46,"AB")</f>
        <v>0</v>
      </c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3"/>
      <c r="Z46" s="123"/>
    </row>
    <row r="47" customFormat="false" ht="26.25" hidden="false" customHeight="true" outlineLevel="0" collapsed="false">
      <c r="A47" s="42" t="n">
        <v>37</v>
      </c>
      <c r="B47" s="137" t="n">
        <v>511521104039</v>
      </c>
      <c r="C47" s="138" t="s">
        <v>245</v>
      </c>
      <c r="D47" s="135"/>
      <c r="E47" s="135"/>
      <c r="F47" s="135"/>
      <c r="G47" s="135"/>
      <c r="H47" s="42" t="n">
        <f aca="false">SUM(D47:G47)</f>
        <v>0</v>
      </c>
      <c r="I47" s="42" t="n">
        <f aca="false">COUNTIF(D47:G47,"&lt;=49")</f>
        <v>0</v>
      </c>
      <c r="J47" s="42" t="n">
        <f aca="false">COUNTIF(E47:H47,"AB")</f>
        <v>0</v>
      </c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3"/>
      <c r="Z47" s="123"/>
    </row>
    <row r="48" customFormat="false" ht="26.25" hidden="false" customHeight="true" outlineLevel="0" collapsed="false">
      <c r="A48" s="42" t="n">
        <v>38</v>
      </c>
      <c r="B48" s="137" t="n">
        <v>511521104040</v>
      </c>
      <c r="C48" s="138" t="s">
        <v>246</v>
      </c>
      <c r="D48" s="135"/>
      <c r="E48" s="135"/>
      <c r="F48" s="135"/>
      <c r="G48" s="135"/>
      <c r="H48" s="42" t="n">
        <f aca="false">SUM(D48:G48)</f>
        <v>0</v>
      </c>
      <c r="I48" s="42" t="n">
        <f aca="false">COUNTIF(D48:G48,"&lt;=49")</f>
        <v>0</v>
      </c>
      <c r="J48" s="42" t="n">
        <f aca="false">COUNTIF(E48:H48,"AB")</f>
        <v>0</v>
      </c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3"/>
      <c r="Z48" s="123"/>
    </row>
    <row r="49" customFormat="false" ht="26.25" hidden="false" customHeight="true" outlineLevel="0" collapsed="false">
      <c r="A49" s="42" t="n">
        <v>39</v>
      </c>
      <c r="B49" s="137" t="n">
        <v>511521104041</v>
      </c>
      <c r="C49" s="138" t="s">
        <v>247</v>
      </c>
      <c r="D49" s="135"/>
      <c r="E49" s="135"/>
      <c r="F49" s="135"/>
      <c r="G49" s="135"/>
      <c r="H49" s="42" t="n">
        <f aca="false">SUM(D49:G49)</f>
        <v>0</v>
      </c>
      <c r="I49" s="42" t="n">
        <f aca="false">COUNTIF(D49:G49,"&lt;=49")</f>
        <v>0</v>
      </c>
      <c r="J49" s="42" t="n">
        <f aca="false">COUNTIF(E49:H49,"AB")</f>
        <v>0</v>
      </c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3"/>
      <c r="Z49" s="123"/>
    </row>
    <row r="50" customFormat="false" ht="26.25" hidden="false" customHeight="true" outlineLevel="0" collapsed="false">
      <c r="A50" s="42" t="n">
        <v>40</v>
      </c>
      <c r="B50" s="137" t="n">
        <v>511521104042</v>
      </c>
      <c r="C50" s="138" t="s">
        <v>248</v>
      </c>
      <c r="D50" s="135"/>
      <c r="E50" s="135"/>
      <c r="F50" s="135"/>
      <c r="G50" s="135"/>
      <c r="H50" s="42" t="n">
        <f aca="false">SUM(D50:G50)</f>
        <v>0</v>
      </c>
      <c r="I50" s="42" t="n">
        <f aca="false">COUNTIF(D50:G50,"&lt;=49")</f>
        <v>0</v>
      </c>
      <c r="J50" s="42" t="n">
        <f aca="false">COUNTIF(E50:H50,"AB")</f>
        <v>0</v>
      </c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3"/>
      <c r="Z50" s="123"/>
    </row>
    <row r="51" customFormat="false" ht="26.25" hidden="false" customHeight="true" outlineLevel="0" collapsed="false">
      <c r="A51" s="42" t="n">
        <v>41</v>
      </c>
      <c r="B51" s="137" t="n">
        <v>511521104043</v>
      </c>
      <c r="C51" s="138" t="s">
        <v>249</v>
      </c>
      <c r="D51" s="135"/>
      <c r="E51" s="135"/>
      <c r="F51" s="135"/>
      <c r="G51" s="135"/>
      <c r="H51" s="42" t="n">
        <f aca="false">SUM(D51:G51)</f>
        <v>0</v>
      </c>
      <c r="I51" s="42" t="n">
        <f aca="false">COUNTIF(D51:G51,"&lt;=49")</f>
        <v>0</v>
      </c>
      <c r="J51" s="42" t="n">
        <f aca="false">COUNTIF(E51:H51,"AB")</f>
        <v>0</v>
      </c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3"/>
      <c r="Z51" s="123"/>
    </row>
    <row r="52" customFormat="false" ht="26.25" hidden="false" customHeight="true" outlineLevel="0" collapsed="false">
      <c r="A52" s="42" t="n">
        <v>42</v>
      </c>
      <c r="B52" s="137" t="n">
        <v>511521104044</v>
      </c>
      <c r="C52" s="138" t="s">
        <v>250</v>
      </c>
      <c r="D52" s="135"/>
      <c r="E52" s="135"/>
      <c r="F52" s="135"/>
      <c r="G52" s="135"/>
      <c r="H52" s="42" t="n">
        <f aca="false">SUM(D52:G52)</f>
        <v>0</v>
      </c>
      <c r="I52" s="42" t="n">
        <f aca="false">COUNTIF(D52:G52,"&lt;=49")</f>
        <v>0</v>
      </c>
      <c r="J52" s="42" t="n">
        <f aca="false">COUNTIF(E52:H52,"AB")</f>
        <v>0</v>
      </c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3"/>
      <c r="Z52" s="123"/>
    </row>
    <row r="53" customFormat="false" ht="26.25" hidden="false" customHeight="true" outlineLevel="0" collapsed="false">
      <c r="A53" s="42" t="n">
        <v>43</v>
      </c>
      <c r="B53" s="137" t="n">
        <v>511521104045</v>
      </c>
      <c r="C53" s="138" t="s">
        <v>251</v>
      </c>
      <c r="D53" s="135"/>
      <c r="E53" s="135"/>
      <c r="F53" s="135"/>
      <c r="G53" s="135"/>
      <c r="H53" s="42" t="n">
        <f aca="false">SUM(D53:G53)</f>
        <v>0</v>
      </c>
      <c r="I53" s="42" t="n">
        <f aca="false">COUNTIF(D53:G53,"&lt;=49")</f>
        <v>0</v>
      </c>
      <c r="J53" s="42" t="n">
        <f aca="false">COUNTIF(E53:H53,"AB")</f>
        <v>0</v>
      </c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3"/>
      <c r="Z53" s="123"/>
    </row>
    <row r="54" customFormat="false" ht="26.25" hidden="false" customHeight="true" outlineLevel="0" collapsed="false">
      <c r="A54" s="42" t="n">
        <v>44</v>
      </c>
      <c r="B54" s="137" t="n">
        <v>511521104046</v>
      </c>
      <c r="C54" s="138" t="s">
        <v>252</v>
      </c>
      <c r="D54" s="135"/>
      <c r="E54" s="135"/>
      <c r="F54" s="135"/>
      <c r="G54" s="135"/>
      <c r="H54" s="42" t="n">
        <f aca="false">SUM(D54:G54)</f>
        <v>0</v>
      </c>
      <c r="I54" s="42" t="n">
        <f aca="false">COUNTIF(D54:G54,"&lt;=49")</f>
        <v>0</v>
      </c>
      <c r="J54" s="42" t="n">
        <f aca="false">COUNTIF(E54:H54,"AB")</f>
        <v>0</v>
      </c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3"/>
      <c r="Z54" s="123"/>
    </row>
    <row r="55" customFormat="false" ht="26.25" hidden="false" customHeight="true" outlineLevel="0" collapsed="false">
      <c r="A55" s="42" t="n">
        <v>45</v>
      </c>
      <c r="B55" s="137" t="n">
        <v>511521104047</v>
      </c>
      <c r="C55" s="138" t="s">
        <v>253</v>
      </c>
      <c r="D55" s="135"/>
      <c r="E55" s="135"/>
      <c r="F55" s="135"/>
      <c r="G55" s="135"/>
      <c r="H55" s="42" t="n">
        <f aca="false">SUM(D55:G55)</f>
        <v>0</v>
      </c>
      <c r="I55" s="42" t="n">
        <f aca="false">COUNTIF(D55:G55,"&lt;=49")</f>
        <v>0</v>
      </c>
      <c r="J55" s="42" t="n">
        <f aca="false">COUNTIF(E55:H55,"AB")</f>
        <v>0</v>
      </c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3"/>
      <c r="Z55" s="123"/>
    </row>
    <row r="56" customFormat="false" ht="26.25" hidden="false" customHeight="true" outlineLevel="0" collapsed="false">
      <c r="A56" s="42" t="n">
        <v>46</v>
      </c>
      <c r="B56" s="137" t="n">
        <v>511521104048</v>
      </c>
      <c r="C56" s="138" t="s">
        <v>254</v>
      </c>
      <c r="D56" s="135"/>
      <c r="E56" s="135"/>
      <c r="F56" s="135"/>
      <c r="G56" s="135"/>
      <c r="H56" s="42" t="n">
        <f aca="false">SUM(D56:G56)</f>
        <v>0</v>
      </c>
      <c r="I56" s="42" t="n">
        <f aca="false">COUNTIF(D56:G56,"&lt;=49")</f>
        <v>0</v>
      </c>
      <c r="J56" s="42" t="n">
        <f aca="false">COUNTIF(E56:H56,"AB")</f>
        <v>0</v>
      </c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3"/>
      <c r="Z56" s="123"/>
    </row>
    <row r="57" customFormat="false" ht="26.25" hidden="false" customHeight="true" outlineLevel="0" collapsed="false">
      <c r="A57" s="42" t="n">
        <v>47</v>
      </c>
      <c r="B57" s="137" t="n">
        <v>511521104049</v>
      </c>
      <c r="C57" s="138" t="s">
        <v>255</v>
      </c>
      <c r="D57" s="135"/>
      <c r="E57" s="135"/>
      <c r="F57" s="135"/>
      <c r="G57" s="135"/>
      <c r="H57" s="42" t="n">
        <f aca="false">SUM(D57:G57)</f>
        <v>0</v>
      </c>
      <c r="I57" s="42" t="n">
        <f aca="false">COUNTIF(D57:G57,"&lt;=49")</f>
        <v>0</v>
      </c>
      <c r="J57" s="42" t="n">
        <f aca="false">COUNTIF(E57:H57,"AB")</f>
        <v>0</v>
      </c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3"/>
      <c r="Z57" s="123"/>
    </row>
    <row r="58" customFormat="false" ht="26.25" hidden="false" customHeight="true" outlineLevel="0" collapsed="false">
      <c r="A58" s="42" t="n">
        <v>48</v>
      </c>
      <c r="B58" s="137" t="n">
        <v>511521104050</v>
      </c>
      <c r="C58" s="138" t="s">
        <v>256</v>
      </c>
      <c r="D58" s="135"/>
      <c r="E58" s="135"/>
      <c r="F58" s="135"/>
      <c r="G58" s="135"/>
      <c r="H58" s="42" t="n">
        <f aca="false">SUM(D58:G58)</f>
        <v>0</v>
      </c>
      <c r="I58" s="42" t="n">
        <f aca="false">COUNTIF(D58:G58,"&lt;=49")</f>
        <v>0</v>
      </c>
      <c r="J58" s="42" t="n">
        <f aca="false">COUNTIF(E58:H58,"AB")</f>
        <v>0</v>
      </c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</row>
    <row r="59" customFormat="false" ht="26.25" hidden="false" customHeight="true" outlineLevel="0" collapsed="false">
      <c r="A59" s="42" t="n">
        <v>49</v>
      </c>
      <c r="B59" s="137" t="n">
        <v>511521104051</v>
      </c>
      <c r="C59" s="138" t="s">
        <v>257</v>
      </c>
      <c r="D59" s="135"/>
      <c r="E59" s="135"/>
      <c r="F59" s="135"/>
      <c r="G59" s="135"/>
      <c r="H59" s="42" t="n">
        <f aca="false">SUM(D59:G59)</f>
        <v>0</v>
      </c>
      <c r="I59" s="42" t="n">
        <f aca="false">COUNTIF(D59:G59,"&lt;=49")</f>
        <v>0</v>
      </c>
      <c r="J59" s="42" t="n">
        <f aca="false">COUNTIF(E59:H59,"AB")</f>
        <v>0</v>
      </c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</row>
    <row r="60" customFormat="false" ht="26.25" hidden="false" customHeight="true" outlineLevel="0" collapsed="false">
      <c r="A60" s="42" t="n">
        <v>50</v>
      </c>
      <c r="B60" s="137" t="n">
        <v>511521104052</v>
      </c>
      <c r="C60" s="138" t="s">
        <v>258</v>
      </c>
      <c r="D60" s="135"/>
      <c r="E60" s="135"/>
      <c r="F60" s="135"/>
      <c r="G60" s="135"/>
      <c r="H60" s="42" t="n">
        <f aca="false">SUM(D60:G60)</f>
        <v>0</v>
      </c>
      <c r="I60" s="42" t="n">
        <f aca="false">COUNTIF(D60:G60,"&lt;=49")</f>
        <v>0</v>
      </c>
      <c r="J60" s="42" t="n">
        <f aca="false">COUNTIF(E60:H60,"AB")</f>
        <v>0</v>
      </c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3"/>
      <c r="Z60" s="123"/>
    </row>
    <row r="61" customFormat="false" ht="26.25" hidden="false" customHeight="true" outlineLevel="0" collapsed="false">
      <c r="A61" s="42" t="n">
        <v>51</v>
      </c>
      <c r="B61" s="137" t="n">
        <v>511521104053</v>
      </c>
      <c r="C61" s="138" t="s">
        <v>259</v>
      </c>
      <c r="D61" s="135"/>
      <c r="E61" s="135"/>
      <c r="F61" s="135"/>
      <c r="G61" s="135"/>
      <c r="H61" s="42" t="n">
        <f aca="false">SUM(D61:G61)</f>
        <v>0</v>
      </c>
      <c r="I61" s="42" t="n">
        <f aca="false">COUNTIF(D61:G61,"&lt;=49")</f>
        <v>0</v>
      </c>
      <c r="J61" s="42" t="n">
        <f aca="false">COUNTIF(E61:H61,"AB")</f>
        <v>0</v>
      </c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3"/>
      <c r="Z61" s="123"/>
    </row>
    <row r="62" customFormat="false" ht="26.25" hidden="false" customHeight="true" outlineLevel="0" collapsed="false">
      <c r="A62" s="42" t="n">
        <v>52</v>
      </c>
      <c r="B62" s="137" t="n">
        <v>511521104055</v>
      </c>
      <c r="C62" s="138" t="s">
        <v>260</v>
      </c>
      <c r="D62" s="135"/>
      <c r="E62" s="135"/>
      <c r="F62" s="135"/>
      <c r="G62" s="135"/>
      <c r="H62" s="42" t="n">
        <f aca="false">SUM(D62:G62)</f>
        <v>0</v>
      </c>
      <c r="I62" s="42" t="n">
        <f aca="false">COUNTIF(D62:G62,"&lt;=49")</f>
        <v>0</v>
      </c>
      <c r="J62" s="42" t="n">
        <f aca="false">COUNTIF(E62:H62,"AB")</f>
        <v>0</v>
      </c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3"/>
      <c r="Z62" s="123"/>
    </row>
    <row r="63" customFormat="false" ht="26.25" hidden="false" customHeight="true" outlineLevel="0" collapsed="false">
      <c r="A63" s="42" t="n">
        <v>53</v>
      </c>
      <c r="B63" s="137" t="n">
        <v>511521104056</v>
      </c>
      <c r="C63" s="138" t="s">
        <v>261</v>
      </c>
      <c r="D63" s="135"/>
      <c r="E63" s="135"/>
      <c r="F63" s="135"/>
      <c r="G63" s="135"/>
      <c r="H63" s="42" t="n">
        <f aca="false">SUM(D63:G63)</f>
        <v>0</v>
      </c>
      <c r="I63" s="42" t="n">
        <f aca="false">COUNTIF(D63:G63,"&lt;=49")</f>
        <v>0</v>
      </c>
      <c r="J63" s="42" t="n">
        <f aca="false">COUNTIF(E63:H63,"AB")</f>
        <v>0</v>
      </c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3"/>
      <c r="Z63" s="123"/>
    </row>
    <row r="64" customFormat="false" ht="26.25" hidden="false" customHeight="true" outlineLevel="0" collapsed="false">
      <c r="A64" s="42" t="n">
        <v>54</v>
      </c>
      <c r="B64" s="137" t="n">
        <v>511521104058</v>
      </c>
      <c r="C64" s="138" t="s">
        <v>262</v>
      </c>
      <c r="D64" s="135"/>
      <c r="E64" s="135"/>
      <c r="F64" s="135"/>
      <c r="G64" s="135"/>
      <c r="H64" s="42" t="n">
        <f aca="false">SUM(D64:G64)</f>
        <v>0</v>
      </c>
      <c r="I64" s="42" t="n">
        <f aca="false">COUNTIF(D64:G64,"&lt;=49")</f>
        <v>0</v>
      </c>
      <c r="J64" s="42" t="n">
        <f aca="false">COUNTIF(E64:H64,"AB")</f>
        <v>0</v>
      </c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3"/>
      <c r="Z64" s="123"/>
    </row>
    <row r="65" customFormat="false" ht="26.25" hidden="false" customHeight="true" outlineLevel="0" collapsed="false">
      <c r="A65" s="42" t="n">
        <v>55</v>
      </c>
      <c r="B65" s="137" t="n">
        <v>511521104059</v>
      </c>
      <c r="C65" s="138" t="s">
        <v>263</v>
      </c>
      <c r="D65" s="135"/>
      <c r="E65" s="135"/>
      <c r="F65" s="135"/>
      <c r="G65" s="135"/>
      <c r="H65" s="42" t="n">
        <f aca="false">SUM(D65:G65)</f>
        <v>0</v>
      </c>
      <c r="I65" s="42" t="n">
        <f aca="false">COUNTIF(D65:G65,"&lt;=49")</f>
        <v>0</v>
      </c>
      <c r="J65" s="42" t="n">
        <f aca="false">COUNTIF(E65:H65,"AB")</f>
        <v>0</v>
      </c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3"/>
      <c r="Z65" s="123"/>
    </row>
    <row r="66" customFormat="false" ht="26.25" hidden="false" customHeight="true" outlineLevel="0" collapsed="false">
      <c r="A66" s="42" t="n">
        <v>56</v>
      </c>
      <c r="B66" s="137" t="n">
        <v>511521104060</v>
      </c>
      <c r="C66" s="138" t="s">
        <v>264</v>
      </c>
      <c r="D66" s="135"/>
      <c r="E66" s="135"/>
      <c r="F66" s="135"/>
      <c r="G66" s="139"/>
      <c r="H66" s="42" t="n">
        <f aca="false">SUM(D66:G66)</f>
        <v>0</v>
      </c>
      <c r="I66" s="42" t="n">
        <f aca="false">COUNTIF(D66:G66,"&lt;=49")</f>
        <v>0</v>
      </c>
      <c r="J66" s="42" t="n">
        <f aca="false">COUNTIF(E66:H66,"AB")</f>
        <v>0</v>
      </c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3"/>
      <c r="Z66" s="123"/>
    </row>
    <row r="67" customFormat="false" ht="26.25" hidden="false" customHeight="true" outlineLevel="0" collapsed="false">
      <c r="A67" s="42" t="n">
        <v>57</v>
      </c>
      <c r="B67" s="137" t="n">
        <v>511521104061</v>
      </c>
      <c r="C67" s="138" t="s">
        <v>265</v>
      </c>
      <c r="D67" s="135"/>
      <c r="E67" s="135"/>
      <c r="F67" s="135"/>
      <c r="G67" s="139"/>
      <c r="H67" s="42" t="n">
        <f aca="false">SUM(D67:G67)</f>
        <v>0</v>
      </c>
      <c r="I67" s="42" t="n">
        <f aca="false">COUNTIF(D67:G67,"&lt;=49")</f>
        <v>0</v>
      </c>
      <c r="J67" s="42" t="n">
        <f aca="false">COUNTIF(E67:H67,"AB")</f>
        <v>0</v>
      </c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3"/>
      <c r="Z67" s="123"/>
    </row>
    <row r="68" customFormat="false" ht="26.25" hidden="false" customHeight="true" outlineLevel="0" collapsed="false">
      <c r="A68" s="42" t="n">
        <v>58</v>
      </c>
      <c r="B68" s="137" t="n">
        <v>511521104062</v>
      </c>
      <c r="C68" s="123" t="s">
        <v>266</v>
      </c>
      <c r="D68" s="135"/>
      <c r="E68" s="135"/>
      <c r="F68" s="135"/>
      <c r="G68" s="135"/>
      <c r="H68" s="42" t="n">
        <f aca="false">SUM(D68:G68)</f>
        <v>0</v>
      </c>
      <c r="I68" s="42" t="n">
        <f aca="false">COUNTIF(D68:G68,"&lt;=49")</f>
        <v>0</v>
      </c>
      <c r="J68" s="42" t="n">
        <f aca="false">COUNTIF(E68:H68,"AB")</f>
        <v>0</v>
      </c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3"/>
      <c r="Z68" s="123"/>
    </row>
    <row r="69" customFormat="false" ht="26.25" hidden="false" customHeight="true" outlineLevel="0" collapsed="false">
      <c r="A69" s="42" t="n">
        <v>59</v>
      </c>
      <c r="B69" s="137" t="n">
        <v>511521104301</v>
      </c>
      <c r="C69" s="138" t="s">
        <v>267</v>
      </c>
      <c r="D69" s="135"/>
      <c r="E69" s="135"/>
      <c r="F69" s="135"/>
      <c r="G69" s="135"/>
      <c r="H69" s="42" t="n">
        <f aca="false">SUM(D69:G69)</f>
        <v>0</v>
      </c>
      <c r="I69" s="42" t="n">
        <f aca="false">COUNTIF(D69:G69,"&lt;=49")</f>
        <v>0</v>
      </c>
      <c r="J69" s="42" t="n">
        <f aca="false">COUNTIF(E69:H69,"AB")</f>
        <v>0</v>
      </c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3"/>
      <c r="Z69" s="123"/>
    </row>
    <row r="70" customFormat="false" ht="26.25" hidden="false" customHeight="true" outlineLevel="0" collapsed="false">
      <c r="A70" s="42" t="n">
        <v>60</v>
      </c>
      <c r="B70" s="137" t="n">
        <v>511521104302</v>
      </c>
      <c r="C70" s="143" t="s">
        <v>268</v>
      </c>
      <c r="D70" s="135"/>
      <c r="E70" s="135"/>
      <c r="F70" s="135"/>
      <c r="G70" s="135"/>
      <c r="H70" s="42" t="n">
        <f aca="false">SUM(D70:G70)</f>
        <v>0</v>
      </c>
      <c r="I70" s="42" t="n">
        <f aca="false">COUNTIF(D70:G70,"&lt;=49")</f>
        <v>0</v>
      </c>
      <c r="J70" s="42" t="n">
        <f aca="false">COUNTIF(E70:H70,"AB")</f>
        <v>0</v>
      </c>
      <c r="K70" s="122"/>
      <c r="L70" s="122"/>
      <c r="M70" s="122"/>
      <c r="N70" s="144"/>
      <c r="O70" s="123"/>
      <c r="P70" s="122"/>
      <c r="Q70" s="122"/>
      <c r="R70" s="122"/>
      <c r="S70" s="122"/>
      <c r="T70" s="122"/>
      <c r="U70" s="122"/>
      <c r="V70" s="122"/>
      <c r="W70" s="122"/>
      <c r="X70" s="122"/>
      <c r="Y70" s="123"/>
      <c r="Z70" s="123"/>
    </row>
    <row r="71" customFormat="false" ht="26.25" hidden="false" customHeight="true" outlineLevel="0" collapsed="false">
      <c r="A71" s="42" t="n">
        <v>61</v>
      </c>
      <c r="B71" s="137" t="n">
        <v>511521104303</v>
      </c>
      <c r="C71" s="145" t="s">
        <v>269</v>
      </c>
      <c r="D71" s="146"/>
      <c r="E71" s="135"/>
      <c r="F71" s="135"/>
      <c r="G71" s="135"/>
      <c r="H71" s="42" t="n">
        <f aca="false">SUM(D71:G71)</f>
        <v>0</v>
      </c>
      <c r="I71" s="42" t="n">
        <f aca="false">COUNTIF(D71:G71,"&lt;=49")</f>
        <v>0</v>
      </c>
      <c r="J71" s="42" t="n">
        <f aca="false">COUNTIF(E71:H71,"AB")</f>
        <v>0</v>
      </c>
      <c r="K71" s="122"/>
      <c r="L71" s="122"/>
      <c r="M71" s="122"/>
      <c r="N71" s="144"/>
      <c r="O71" s="123"/>
      <c r="P71" s="122"/>
      <c r="Q71" s="122"/>
      <c r="R71" s="122"/>
      <c r="S71" s="122"/>
      <c r="T71" s="122"/>
      <c r="U71" s="122"/>
      <c r="V71" s="122"/>
      <c r="W71" s="122"/>
      <c r="X71" s="122"/>
      <c r="Y71" s="123"/>
      <c r="Z71" s="123"/>
    </row>
    <row r="72" customFormat="false" ht="26.25" hidden="false" customHeight="true" outlineLevel="0" collapsed="false">
      <c r="A72" s="42" t="n">
        <v>62</v>
      </c>
      <c r="B72" s="136" t="n">
        <v>511521104304</v>
      </c>
      <c r="C72" s="120" t="s">
        <v>270</v>
      </c>
      <c r="D72" s="135"/>
      <c r="E72" s="147"/>
      <c r="F72" s="135"/>
      <c r="G72" s="135"/>
      <c r="H72" s="42" t="n">
        <f aca="false">SUM(D72:G72)</f>
        <v>0</v>
      </c>
      <c r="I72" s="42" t="n">
        <f aca="false">COUNTIF(D72:G72,"&lt;=49")</f>
        <v>0</v>
      </c>
      <c r="J72" s="42" t="n">
        <f aca="false">COUNTIF(E72:H72,"AB")</f>
        <v>0</v>
      </c>
      <c r="K72" s="122"/>
      <c r="L72" s="122"/>
      <c r="M72" s="122"/>
      <c r="N72" s="144"/>
      <c r="O72" s="123"/>
      <c r="P72" s="122"/>
      <c r="Q72" s="122"/>
      <c r="R72" s="122"/>
      <c r="S72" s="122"/>
      <c r="T72" s="122"/>
      <c r="U72" s="122"/>
      <c r="V72" s="122"/>
      <c r="W72" s="122"/>
      <c r="X72" s="122"/>
      <c r="Y72" s="123"/>
      <c r="Z72" s="123"/>
    </row>
    <row r="73" customFormat="false" ht="26.25" hidden="false" customHeight="true" outlineLevel="0" collapsed="false">
      <c r="A73" s="42" t="n">
        <v>63</v>
      </c>
      <c r="B73" s="136" t="n">
        <v>511521104305</v>
      </c>
      <c r="C73" s="120" t="s">
        <v>271</v>
      </c>
      <c r="D73" s="142"/>
      <c r="E73" s="147"/>
      <c r="F73" s="135"/>
      <c r="G73" s="135"/>
      <c r="H73" s="42" t="n">
        <f aca="false">SUM(D73:G73)</f>
        <v>0</v>
      </c>
      <c r="I73" s="42" t="n">
        <f aca="false">COUNTIF(D73:G73,"&lt;=49")</f>
        <v>0</v>
      </c>
      <c r="J73" s="42" t="n">
        <f aca="false">COUNTIF(E73:H73,"AB")</f>
        <v>0</v>
      </c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3"/>
      <c r="Z73" s="123"/>
    </row>
    <row r="74" customFormat="false" ht="26.25" hidden="false" customHeight="true" outlineLevel="0" collapsed="false">
      <c r="A74" s="42" t="n">
        <v>64</v>
      </c>
      <c r="B74" s="136" t="n">
        <v>511521104306</v>
      </c>
      <c r="C74" s="120" t="s">
        <v>272</v>
      </c>
      <c r="D74" s="142"/>
      <c r="E74" s="147"/>
      <c r="F74" s="135"/>
      <c r="G74" s="135"/>
      <c r="H74" s="42" t="n">
        <f aca="false">SUM(D74:G74)</f>
        <v>0</v>
      </c>
      <c r="I74" s="42" t="n">
        <f aca="false">COUNTIF(D74:G74,"&lt;=49")</f>
        <v>0</v>
      </c>
      <c r="J74" s="42" t="n">
        <f aca="false">COUNTIF(E74:H74,"AB")</f>
        <v>0</v>
      </c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3"/>
      <c r="Z74" s="123"/>
    </row>
    <row r="75" customFormat="false" ht="26.25" hidden="false" customHeight="true" outlineLevel="0" collapsed="false">
      <c r="A75" s="42" t="n">
        <v>65</v>
      </c>
      <c r="B75" s="137" t="n">
        <v>511521104307</v>
      </c>
      <c r="C75" s="138" t="s">
        <v>273</v>
      </c>
      <c r="D75" s="142"/>
      <c r="E75" s="135"/>
      <c r="F75" s="135"/>
      <c r="G75" s="135"/>
      <c r="H75" s="42" t="n">
        <f aca="false">SUM(D75:G75)</f>
        <v>0</v>
      </c>
      <c r="I75" s="42" t="n">
        <f aca="false">COUNTIF(D75:G75,"&lt;=49")</f>
        <v>0</v>
      </c>
      <c r="J75" s="42" t="n">
        <f aca="false">COUNTIF(E75:H75,"AB")</f>
        <v>0</v>
      </c>
      <c r="K75" s="122"/>
      <c r="L75" s="122"/>
      <c r="M75" s="122"/>
      <c r="N75" s="123"/>
      <c r="O75" s="123"/>
      <c r="P75" s="122"/>
      <c r="Q75" s="122"/>
      <c r="R75" s="122"/>
      <c r="S75" s="122"/>
      <c r="T75" s="122"/>
      <c r="U75" s="122"/>
      <c r="V75" s="122"/>
      <c r="W75" s="122"/>
      <c r="X75" s="122"/>
      <c r="Y75" s="123"/>
      <c r="Z75" s="123"/>
    </row>
    <row r="76" customFormat="false" ht="26.25" hidden="false" customHeight="true" outlineLevel="0" collapsed="false">
      <c r="A76" s="42" t="n">
        <v>66</v>
      </c>
      <c r="B76" s="137" t="n">
        <v>511521104701</v>
      </c>
      <c r="C76" s="138" t="s">
        <v>274</v>
      </c>
      <c r="D76" s="142"/>
      <c r="E76" s="135"/>
      <c r="F76" s="135"/>
      <c r="G76" s="135"/>
      <c r="H76" s="42" t="n">
        <f aca="false">SUM(D76:G76)</f>
        <v>0</v>
      </c>
      <c r="I76" s="42" t="n">
        <f aca="false">COUNTIF(D76:G76,"&lt;=49")</f>
        <v>0</v>
      </c>
      <c r="J76" s="42" t="n">
        <f aca="false">COUNTIF(E76:H76,"AB")</f>
        <v>0</v>
      </c>
      <c r="K76" s="122"/>
      <c r="L76" s="122"/>
      <c r="M76" s="122"/>
      <c r="N76" s="123"/>
      <c r="O76" s="123"/>
      <c r="P76" s="122"/>
      <c r="Q76" s="122"/>
      <c r="R76" s="122"/>
      <c r="S76" s="122"/>
      <c r="T76" s="122"/>
      <c r="U76" s="122"/>
      <c r="V76" s="122"/>
      <c r="W76" s="122"/>
      <c r="X76" s="122"/>
      <c r="Y76" s="123"/>
      <c r="Z76" s="123"/>
    </row>
    <row r="77" customFormat="false" ht="26.25" hidden="false" customHeight="true" outlineLevel="0" collapsed="false">
      <c r="A77" s="42" t="n">
        <v>67</v>
      </c>
      <c r="B77" s="148" t="s">
        <v>275</v>
      </c>
      <c r="C77" s="148" t="s">
        <v>276</v>
      </c>
      <c r="D77" s="135"/>
      <c r="E77" s="135"/>
      <c r="F77" s="135"/>
      <c r="G77" s="139"/>
      <c r="H77" s="42" t="n">
        <f aca="false">SUM(D77:G77)</f>
        <v>0</v>
      </c>
      <c r="I77" s="42" t="n">
        <f aca="false">COUNTIF(D77:G77,"&lt;=49")</f>
        <v>0</v>
      </c>
      <c r="J77" s="149" t="n">
        <f aca="false">COUNTIF(E77:H77,"AB")</f>
        <v>0</v>
      </c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3"/>
      <c r="Z77" s="123"/>
    </row>
    <row r="78" customFormat="false" ht="26.25" hidden="false" customHeight="true" outlineLevel="0" collapsed="false">
      <c r="A78" s="150" t="s">
        <v>77</v>
      </c>
      <c r="B78" s="150"/>
      <c r="C78" s="150"/>
      <c r="D78" s="142" t="n">
        <f aca="false">COUNT(A11:A77)</f>
        <v>67</v>
      </c>
      <c r="E78" s="142" t="n">
        <f aca="false">COUNT(A11:A77)</f>
        <v>67</v>
      </c>
      <c r="F78" s="142" t="n">
        <v>67</v>
      </c>
      <c r="G78" s="142" t="n">
        <f aca="false">COUNT(A11:A77)</f>
        <v>67</v>
      </c>
      <c r="H78" s="151" t="s">
        <v>78</v>
      </c>
      <c r="I78" s="151" t="n">
        <f aca="false">COUNTIF(I11:I77,"1")</f>
        <v>0</v>
      </c>
      <c r="J78" s="100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3"/>
      <c r="Z78" s="123"/>
    </row>
    <row r="79" customFormat="false" ht="26.25" hidden="false" customHeight="true" outlineLevel="0" collapsed="false">
      <c r="A79" s="152" t="s">
        <v>79</v>
      </c>
      <c r="B79" s="152"/>
      <c r="C79" s="152"/>
      <c r="D79" s="142"/>
      <c r="E79" s="142"/>
      <c r="F79" s="142" t="n">
        <v>28</v>
      </c>
      <c r="G79" s="142"/>
      <c r="H79" s="151" t="s">
        <v>80</v>
      </c>
      <c r="I79" s="151" t="n">
        <f aca="false">COUNTIF(I12:I77,"2")</f>
        <v>0</v>
      </c>
      <c r="J79" s="100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3"/>
      <c r="Z79" s="123"/>
    </row>
    <row r="80" customFormat="false" ht="26.25" hidden="false" customHeight="true" outlineLevel="0" collapsed="false">
      <c r="A80" s="152" t="s">
        <v>81</v>
      </c>
      <c r="B80" s="152"/>
      <c r="C80" s="152"/>
      <c r="D80" s="142" t="n">
        <f aca="false">COUNTIF(D11:D77,"AB")</f>
        <v>0</v>
      </c>
      <c r="E80" s="142" t="n">
        <f aca="false">COUNTIF(E11:E77,"AB")</f>
        <v>0</v>
      </c>
      <c r="F80" s="142" t="n">
        <v>39</v>
      </c>
      <c r="G80" s="142" t="n">
        <f aca="false">COUNTIF(G11:G77,"AB")</f>
        <v>0</v>
      </c>
      <c r="H80" s="151" t="s">
        <v>82</v>
      </c>
      <c r="I80" s="151" t="n">
        <v>0</v>
      </c>
      <c r="J80" s="100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3"/>
      <c r="Z80" s="123"/>
    </row>
    <row r="81" customFormat="false" ht="26.25" hidden="false" customHeight="true" outlineLevel="0" collapsed="false">
      <c r="A81" s="152" t="s">
        <v>83</v>
      </c>
      <c r="B81" s="152"/>
      <c r="C81" s="152"/>
      <c r="D81" s="142" t="n">
        <f aca="false">COUNTIF(D11:D77,"OD")</f>
        <v>0</v>
      </c>
      <c r="E81" s="142" t="n">
        <f aca="false">COUNTIF(E11:E77,"OD")</f>
        <v>0</v>
      </c>
      <c r="F81" s="142" t="n">
        <v>0</v>
      </c>
      <c r="G81" s="142" t="n">
        <f aca="false">COUNTIF(G11:G77,"OD")</f>
        <v>0</v>
      </c>
      <c r="H81" s="151" t="s">
        <v>84</v>
      </c>
      <c r="I81" s="151" t="n">
        <v>0</v>
      </c>
      <c r="J81" s="100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3"/>
      <c r="Z81" s="123"/>
    </row>
    <row r="82" customFormat="false" ht="26.25" hidden="false" customHeight="true" outlineLevel="0" collapsed="false">
      <c r="A82" s="152" t="s">
        <v>85</v>
      </c>
      <c r="B82" s="152"/>
      <c r="C82" s="152"/>
      <c r="D82" s="142" t="n">
        <f aca="false">COUNTIF(D11:D77,"&gt;=50")</f>
        <v>0</v>
      </c>
      <c r="E82" s="142" t="n">
        <f aca="false">COUNTIF(E11:E77,"&gt;=50")</f>
        <v>0</v>
      </c>
      <c r="F82" s="142" t="n">
        <f aca="false">COUNTIF(F11:F77,"&gt;=50")</f>
        <v>0</v>
      </c>
      <c r="G82" s="142" t="n">
        <f aca="false">COUNTIF(G11:G77,"&gt;=50")</f>
        <v>0</v>
      </c>
      <c r="H82" s="119"/>
      <c r="I82" s="151" t="n">
        <f aca="false">COUNTIF(I15:I77,"5")</f>
        <v>0</v>
      </c>
      <c r="J82" s="100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3"/>
      <c r="Z82" s="123"/>
    </row>
    <row r="83" customFormat="false" ht="26.25" hidden="false" customHeight="true" outlineLevel="0" collapsed="false">
      <c r="A83" s="152" t="s">
        <v>87</v>
      </c>
      <c r="B83" s="152"/>
      <c r="C83" s="152"/>
      <c r="D83" s="142" t="n">
        <f aca="false">COUNTIF(D11:D77,"&gt;=50")+COUNTIF(D11:D77,"AB")</f>
        <v>0</v>
      </c>
      <c r="E83" s="142" t="n">
        <f aca="false">COUNTIF(E11:E77,"&gt;=50")+COUNTIF(E11:E77,"AB")</f>
        <v>0</v>
      </c>
      <c r="F83" s="142" t="n">
        <f aca="false">COUNTIF(F11:F77,"&gt;=50")+COUNTIF(F11:F77,"AB")</f>
        <v>0</v>
      </c>
      <c r="G83" s="142" t="n">
        <f aca="false">COUNTIF(G11:G77,"&gt;=50")+COUNTIF(G11:G77,"AB")</f>
        <v>0</v>
      </c>
      <c r="H83" s="153"/>
      <c r="I83" s="151" t="n">
        <f aca="false">COUNTIF(I16:I77,"6")</f>
        <v>0</v>
      </c>
      <c r="J83" s="100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3"/>
      <c r="Z83" s="123"/>
    </row>
    <row r="84" customFormat="false" ht="26.25" hidden="false" customHeight="true" outlineLevel="0" collapsed="false">
      <c r="A84" s="154" t="s">
        <v>89</v>
      </c>
      <c r="B84" s="154"/>
      <c r="C84" s="154"/>
      <c r="D84" s="155" t="e">
        <f aca="false">D82/D79</f>
        <v>#DIV/0!</v>
      </c>
      <c r="E84" s="155" t="e">
        <f aca="false">E82/E79</f>
        <v>#DIV/0!</v>
      </c>
      <c r="F84" s="155" t="n">
        <f aca="false">F82/F79</f>
        <v>0</v>
      </c>
      <c r="G84" s="155" t="e">
        <f aca="false">G82/G79</f>
        <v>#DIV/0!</v>
      </c>
      <c r="H84" s="156"/>
      <c r="I84" s="157"/>
      <c r="J84" s="100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3"/>
      <c r="Z84" s="123"/>
    </row>
    <row r="85" customFormat="false" ht="15" hidden="false" customHeight="false" outlineLevel="0" collapsed="false">
      <c r="A85" s="123"/>
      <c r="B85" s="158"/>
      <c r="C85" s="159"/>
      <c r="D85" s="160"/>
      <c r="E85" s="161"/>
      <c r="F85" s="162"/>
      <c r="G85" s="163"/>
      <c r="H85" s="164"/>
      <c r="I85" s="165"/>
      <c r="J85" s="123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3"/>
      <c r="Z85" s="123"/>
    </row>
    <row r="86" customFormat="false" ht="39.55" hidden="false" customHeight="false" outlineLevel="0" collapsed="false">
      <c r="A86" s="166" t="s">
        <v>91</v>
      </c>
      <c r="B86" s="167" t="s">
        <v>92</v>
      </c>
      <c r="C86" s="168" t="s">
        <v>93</v>
      </c>
      <c r="D86" s="169" t="s">
        <v>94</v>
      </c>
      <c r="E86" s="170" t="s">
        <v>95</v>
      </c>
      <c r="F86" s="171" t="s">
        <v>96</v>
      </c>
      <c r="G86" s="172"/>
      <c r="H86" s="173"/>
      <c r="I86" s="174" t="s">
        <v>97</v>
      </c>
      <c r="J86" s="175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3"/>
      <c r="Z86" s="123"/>
    </row>
    <row r="87" customFormat="false" ht="15" hidden="false" customHeight="false" outlineLevel="0" collapsed="false">
      <c r="A87" s="166" t="n">
        <v>1</v>
      </c>
      <c r="B87" s="176"/>
      <c r="C87" s="177"/>
      <c r="D87" s="178"/>
      <c r="E87" s="179" t="n">
        <f aca="false">D80</f>
        <v>0</v>
      </c>
      <c r="F87" s="180" t="n">
        <f aca="false">D82</f>
        <v>0</v>
      </c>
      <c r="G87" s="181"/>
      <c r="H87" s="182"/>
      <c r="I87" s="183" t="e">
        <f aca="false">F87/D87*100</f>
        <v>#DIV/0!</v>
      </c>
      <c r="J87" s="175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3"/>
      <c r="Z87" s="123"/>
    </row>
    <row r="88" customFormat="false" ht="39.75" hidden="false" customHeight="true" outlineLevel="0" collapsed="false">
      <c r="A88" s="166" t="n">
        <v>2</v>
      </c>
      <c r="B88" s="184"/>
      <c r="C88" s="185"/>
      <c r="D88" s="186"/>
      <c r="E88" s="187" t="n">
        <f aca="false">E80</f>
        <v>0</v>
      </c>
      <c r="F88" s="188" t="n">
        <f aca="false">E82</f>
        <v>0</v>
      </c>
      <c r="G88" s="172"/>
      <c r="H88" s="173"/>
      <c r="I88" s="189" t="e">
        <f aca="false">F88/D88*100</f>
        <v>#DIV/0!</v>
      </c>
      <c r="J88" s="175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3"/>
      <c r="Z88" s="123"/>
    </row>
    <row r="89" customFormat="false" ht="33" hidden="false" customHeight="true" outlineLevel="0" collapsed="false">
      <c r="A89" s="166" t="n">
        <v>3</v>
      </c>
      <c r="B89" s="176"/>
      <c r="C89" s="177"/>
      <c r="D89" s="178"/>
      <c r="E89" s="179"/>
      <c r="F89" s="180" t="n">
        <f aca="false">F82</f>
        <v>0</v>
      </c>
      <c r="G89" s="181"/>
      <c r="H89" s="182"/>
      <c r="I89" s="190" t="e">
        <f aca="false">F89/D89*100</f>
        <v>#DIV/0!</v>
      </c>
      <c r="J89" s="175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3"/>
      <c r="Z89" s="123"/>
    </row>
    <row r="90" customFormat="false" ht="15" hidden="false" customHeight="false" outlineLevel="0" collapsed="false">
      <c r="A90" s="166" t="n">
        <v>4</v>
      </c>
      <c r="B90" s="184"/>
      <c r="C90" s="185"/>
      <c r="D90" s="186"/>
      <c r="E90" s="187" t="n">
        <f aca="false">G80</f>
        <v>0</v>
      </c>
      <c r="F90" s="188" t="n">
        <f aca="false">G82</f>
        <v>0</v>
      </c>
      <c r="G90" s="172"/>
      <c r="H90" s="173"/>
      <c r="I90" s="189" t="e">
        <f aca="false">F90/D90*100</f>
        <v>#DIV/0!</v>
      </c>
      <c r="J90" s="175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3"/>
      <c r="Z90" s="123"/>
    </row>
    <row r="91" customFormat="false" ht="15" hidden="false" customHeight="false" outlineLevel="0" collapsed="false">
      <c r="A91" s="122"/>
      <c r="B91" s="191" t="s">
        <v>195</v>
      </c>
      <c r="C91" s="191"/>
      <c r="D91" s="191"/>
      <c r="E91" s="191"/>
      <c r="F91" s="191"/>
      <c r="G91" s="191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3"/>
      <c r="Z91" s="123"/>
    </row>
    <row r="92" customFormat="false" ht="15" hidden="false" customHeight="true" outlineLevel="0" collapsed="false">
      <c r="A92" s="122"/>
      <c r="B92" s="192" t="s">
        <v>196</v>
      </c>
      <c r="C92" s="192" t="s">
        <v>197</v>
      </c>
      <c r="D92" s="193" t="s">
        <v>198</v>
      </c>
      <c r="E92" s="193"/>
      <c r="F92" s="193"/>
      <c r="G92" s="193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3"/>
      <c r="Z92" s="123"/>
    </row>
    <row r="93" customFormat="false" ht="15" hidden="false" customHeight="false" outlineLevel="0" collapsed="false">
      <c r="A93" s="122"/>
      <c r="B93" s="192"/>
      <c r="C93" s="194" t="n">
        <f aca="false">J78</f>
        <v>0</v>
      </c>
      <c r="D93" s="194" t="s">
        <v>199</v>
      </c>
      <c r="E93" s="194" t="s">
        <v>200</v>
      </c>
      <c r="F93" s="194" t="s">
        <v>201</v>
      </c>
      <c r="G93" s="194" t="s">
        <v>202</v>
      </c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3"/>
      <c r="Z93" s="123"/>
    </row>
    <row r="94" customFormat="false" ht="15" hidden="false" customHeight="false" outlineLevel="0" collapsed="false">
      <c r="A94" s="122"/>
      <c r="B94" s="195" t="s">
        <v>205</v>
      </c>
      <c r="C94" s="194" t="n">
        <v>0</v>
      </c>
      <c r="D94" s="194" t="n">
        <f aca="false">I78</f>
        <v>0</v>
      </c>
      <c r="E94" s="194" t="n">
        <f aca="false">I79</f>
        <v>0</v>
      </c>
      <c r="F94" s="194" t="n">
        <f aca="false">I80</f>
        <v>0</v>
      </c>
      <c r="G94" s="194" t="n">
        <f aca="false">I81</f>
        <v>0</v>
      </c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3"/>
      <c r="Z94" s="123"/>
    </row>
    <row r="95" customFormat="false" ht="15" hidden="false" customHeight="false" outlineLevel="0" collapsed="false">
      <c r="A95" s="122"/>
      <c r="B95" s="195" t="s">
        <v>206</v>
      </c>
      <c r="C95" s="196" t="e">
        <f aca="false">C93/D87*100</f>
        <v>#DIV/0!</v>
      </c>
      <c r="D95" s="197"/>
      <c r="E95" s="197"/>
      <c r="F95" s="197"/>
      <c r="G95" s="197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3"/>
      <c r="Z95" s="123"/>
    </row>
    <row r="96" customFormat="false" ht="15" hidden="false" customHeight="false" outlineLevel="0" collapsed="false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3"/>
      <c r="Z96" s="123"/>
    </row>
    <row r="97" customFormat="false" ht="15" hidden="false" customHeight="false" outlineLevel="0" collapsed="false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3"/>
      <c r="Z97" s="123"/>
    </row>
    <row r="98" customFormat="false" ht="15" hidden="false" customHeight="false" outlineLevel="0" collapsed="false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3"/>
      <c r="Z98" s="123"/>
    </row>
    <row r="99" customFormat="false" ht="15" hidden="false" customHeight="false" outlineLevel="0" collapsed="false">
      <c r="A99" s="122"/>
      <c r="B99" s="80" t="s">
        <v>110</v>
      </c>
      <c r="C99" s="80"/>
      <c r="D99" s="122"/>
      <c r="E99" s="127" t="s">
        <v>111</v>
      </c>
      <c r="F99" s="122"/>
      <c r="G99" s="127" t="s">
        <v>112</v>
      </c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3"/>
      <c r="Z99" s="123"/>
    </row>
    <row r="100" customFormat="false" ht="15" hidden="false" customHeight="false" outlineLevel="0" collapsed="false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3"/>
      <c r="Z100" s="123"/>
    </row>
    <row r="101" customFormat="false" ht="15" hidden="false" customHeight="false" outlineLevel="0" collapsed="false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3"/>
      <c r="Z101" s="123"/>
    </row>
    <row r="102" customFormat="false" ht="15" hidden="false" customHeight="false" outlineLevel="0" collapsed="false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3"/>
      <c r="Z102" s="123"/>
    </row>
    <row r="103" customFormat="false" ht="15" hidden="false" customHeight="false" outlineLevel="0" collapsed="false">
      <c r="A103" s="122"/>
      <c r="B103" s="122"/>
      <c r="C103" s="122"/>
      <c r="D103" s="122"/>
      <c r="E103" s="122"/>
      <c r="F103" s="123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3"/>
      <c r="Z103" s="123"/>
    </row>
    <row r="104" customFormat="false" ht="15" hidden="false" customHeight="false" outlineLevel="0" collapsed="false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3"/>
      <c r="Z104" s="123"/>
    </row>
    <row r="105" customFormat="false" ht="15" hidden="false" customHeight="false" outlineLevel="0" collapsed="false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3"/>
      <c r="Z105" s="123"/>
    </row>
    <row r="106" customFormat="false" ht="15" hidden="false" customHeight="false" outlineLevel="0" collapsed="false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3"/>
      <c r="Z106" s="123"/>
    </row>
    <row r="107" customFormat="false" ht="15" hidden="false" customHeight="false" outlineLevel="0" collapsed="false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3"/>
      <c r="Z107" s="123"/>
    </row>
    <row r="108" customFormat="false" ht="15" hidden="false" customHeight="false" outlineLevel="0" collapsed="false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3"/>
      <c r="Z108" s="123"/>
    </row>
    <row r="109" customFormat="false" ht="15" hidden="false" customHeight="false" outlineLevel="0" collapsed="false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3"/>
      <c r="Z109" s="123"/>
    </row>
    <row r="110" customFormat="false" ht="15" hidden="false" customHeight="false" outlineLevel="0" collapsed="false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3"/>
      <c r="Z110" s="123"/>
    </row>
    <row r="111" customFormat="false" ht="15" hidden="false" customHeight="false" outlineLevel="0" collapsed="false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3"/>
      <c r="Z111" s="123"/>
    </row>
    <row r="112" customFormat="false" ht="15" hidden="false" customHeight="false" outlineLevel="0" collapsed="false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3"/>
      <c r="Z112" s="123"/>
    </row>
    <row r="113" customFormat="false" ht="15" hidden="false" customHeight="false" outlineLevel="0" collapsed="false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3"/>
      <c r="Z113" s="123"/>
    </row>
    <row r="114" customFormat="false" ht="15" hidden="false" customHeight="false" outlineLevel="0" collapsed="false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3"/>
      <c r="Z114" s="123"/>
    </row>
    <row r="115" customFormat="false" ht="15" hidden="false" customHeight="false" outlineLevel="0" collapsed="false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3"/>
      <c r="Z115" s="123"/>
    </row>
    <row r="116" customFormat="false" ht="15" hidden="false" customHeight="false" outlineLevel="0" collapsed="false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3"/>
      <c r="Z116" s="123"/>
    </row>
    <row r="117" customFormat="false" ht="15" hidden="false" customHeight="false" outlineLevel="0" collapsed="false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3"/>
      <c r="Z117" s="123"/>
    </row>
    <row r="118" customFormat="false" ht="15" hidden="false" customHeight="false" outlineLevel="0" collapsed="false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3"/>
      <c r="Z118" s="123"/>
    </row>
    <row r="119" customFormat="false" ht="15" hidden="false" customHeight="false" outlineLevel="0" collapsed="false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3"/>
      <c r="Z119" s="123"/>
    </row>
    <row r="120" customFormat="false" ht="15" hidden="false" customHeight="false" outlineLevel="0" collapsed="false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3"/>
      <c r="Z120" s="123"/>
    </row>
    <row r="121" customFormat="false" ht="15" hidden="false" customHeight="false" outlineLevel="0" collapsed="false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3"/>
      <c r="Z121" s="123"/>
    </row>
    <row r="122" customFormat="false" ht="15" hidden="false" customHeight="false" outlineLevel="0" collapsed="false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3"/>
      <c r="Z122" s="123"/>
    </row>
    <row r="123" customFormat="false" ht="15" hidden="false" customHeight="false" outlineLevel="0" collapsed="false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3"/>
      <c r="Z123" s="123"/>
    </row>
    <row r="124" customFormat="false" ht="15" hidden="false" customHeight="false" outlineLevel="0" collapsed="false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3"/>
      <c r="Z124" s="123"/>
    </row>
    <row r="125" customFormat="false" ht="15" hidden="false" customHeight="false" outlineLevel="0" collapsed="false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3"/>
      <c r="Z125" s="123"/>
    </row>
    <row r="126" customFormat="false" ht="15" hidden="false" customHeight="false" outlineLevel="0" collapsed="false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3"/>
      <c r="Z126" s="123"/>
    </row>
    <row r="127" customFormat="false" ht="15" hidden="false" customHeight="false" outlineLevel="0" collapsed="false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3"/>
      <c r="Z127" s="123"/>
    </row>
  </sheetData>
  <mergeCells count="19">
    <mergeCell ref="A7:H7"/>
    <mergeCell ref="A9:A10"/>
    <mergeCell ref="B9:B10"/>
    <mergeCell ref="C9:C10"/>
    <mergeCell ref="H9:H10"/>
    <mergeCell ref="I9:I10"/>
    <mergeCell ref="J9:J10"/>
    <mergeCell ref="A78:C78"/>
    <mergeCell ref="J78:J84"/>
    <mergeCell ref="A79:C79"/>
    <mergeCell ref="A80:C80"/>
    <mergeCell ref="A81:C81"/>
    <mergeCell ref="A82:C82"/>
    <mergeCell ref="A83:C83"/>
    <mergeCell ref="A84:C84"/>
    <mergeCell ref="B91:G91"/>
    <mergeCell ref="B92:B93"/>
    <mergeCell ref="D92:G92"/>
    <mergeCell ref="B99:C99"/>
  </mergeCells>
  <printOptions headings="false" gridLines="false" gridLinesSet="true" horizontalCentered="false" verticalCentered="false"/>
  <pageMargins left="0.315277777777778" right="0.120138888888889" top="0.315277777777778" bottom="0.118055555555556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0" man="true" max="65535" min="0"/>
  </colBreaks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Z9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9.25"/>
    <col collapsed="false" customWidth="true" hidden="false" outlineLevel="0" max="2" min="2" style="0" width="17.88"/>
    <col collapsed="false" customWidth="true" hidden="false" outlineLevel="0" max="3" min="3" style="0" width="20.51"/>
    <col collapsed="false" customWidth="true" hidden="false" outlineLevel="0" max="4" min="4" style="0" width="15.63"/>
    <col collapsed="false" customWidth="true" hidden="false" outlineLevel="0" max="5" min="5" style="0" width="14.51"/>
    <col collapsed="false" customWidth="true" hidden="false" outlineLevel="0" max="7" min="6" style="0" width="14"/>
    <col collapsed="false" customWidth="true" hidden="false" outlineLevel="0" max="9" min="8" style="0" width="13.88"/>
    <col collapsed="false" customWidth="true" hidden="false" outlineLevel="0" max="10" min="10" style="0" width="16.12"/>
  </cols>
  <sheetData>
    <row r="1" customFormat="false" ht="15.75" hidden="false" customHeight="true" outlineLevel="0" collapsed="false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true" outlineLevel="0" collapsed="false">
      <c r="A2" s="2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true" outlineLevel="0" collapsed="false">
      <c r="A3" s="2"/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true" outlineLevel="0" collapsed="false">
      <c r="A4" s="2"/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true" outlineLevel="0" collapsed="false">
      <c r="A5" s="2"/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true" outlineLevel="0" collapsed="false">
      <c r="A6" s="2"/>
      <c r="B6" s="2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true" outlineLevel="0" collapsed="false">
      <c r="A7" s="4" t="s">
        <v>277</v>
      </c>
      <c r="B7" s="4"/>
      <c r="C7" s="4"/>
      <c r="D7" s="4"/>
      <c r="E7" s="4"/>
      <c r="F7" s="4"/>
      <c r="G7" s="4"/>
      <c r="H7" s="4"/>
      <c r="I7" s="4"/>
      <c r="J7" s="4"/>
      <c r="K7" s="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true" outlineLevel="0" collapsed="false">
      <c r="A8" s="6" t="s">
        <v>1</v>
      </c>
      <c r="B8" s="6"/>
      <c r="C8" s="7"/>
      <c r="D8" s="8"/>
      <c r="E8" s="9" t="s">
        <v>2</v>
      </c>
      <c r="F8" s="9"/>
      <c r="G8" s="9"/>
      <c r="H8" s="9"/>
      <c r="I8" s="9" t="s">
        <v>278</v>
      </c>
      <c r="J8" s="9" t="s">
        <v>4</v>
      </c>
      <c r="K8" s="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21.75" hidden="false" customHeight="true" outlineLevel="0" collapsed="false">
      <c r="A9" s="11" t="s">
        <v>5</v>
      </c>
      <c r="B9" s="11" t="s">
        <v>6</v>
      </c>
      <c r="C9" s="12" t="s">
        <v>7</v>
      </c>
      <c r="D9" s="13"/>
      <c r="E9" s="13"/>
      <c r="F9" s="13"/>
      <c r="G9" s="13"/>
      <c r="H9" s="13"/>
      <c r="I9" s="13"/>
      <c r="J9" s="14" t="s">
        <v>279</v>
      </c>
      <c r="K9" s="15" t="s">
        <v>9</v>
      </c>
      <c r="L9" s="16" t="s">
        <v>10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60" hidden="false" customHeight="true" outlineLevel="0" collapsed="false">
      <c r="A10" s="11"/>
      <c r="B10" s="11"/>
      <c r="C10" s="11"/>
      <c r="D10" s="17" t="s">
        <v>280</v>
      </c>
      <c r="E10" s="17" t="s">
        <v>12</v>
      </c>
      <c r="F10" s="17" t="s">
        <v>13</v>
      </c>
      <c r="G10" s="18" t="s">
        <v>281</v>
      </c>
      <c r="H10" s="17" t="s">
        <v>282</v>
      </c>
      <c r="I10" s="17" t="s">
        <v>16</v>
      </c>
      <c r="J10" s="14"/>
      <c r="K10" s="14"/>
      <c r="L10" s="14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24.75" hidden="false" customHeight="true" outlineLevel="0" collapsed="false">
      <c r="A11" s="42" t="n">
        <v>1</v>
      </c>
      <c r="B11" s="198" t="n">
        <v>511523205001</v>
      </c>
      <c r="C11" s="199" t="s">
        <v>283</v>
      </c>
      <c r="D11" s="200" t="s">
        <v>24</v>
      </c>
      <c r="E11" s="201" t="n">
        <v>22</v>
      </c>
      <c r="F11" s="201" t="n">
        <v>6</v>
      </c>
      <c r="G11" s="201" t="n">
        <v>15</v>
      </c>
      <c r="H11" s="142" t="s">
        <v>24</v>
      </c>
      <c r="I11" s="202" t="n">
        <v>6</v>
      </c>
      <c r="J11" s="19" t="n">
        <f aca="false">SUM(D11:I11)</f>
        <v>49</v>
      </c>
      <c r="K11" s="19" t="n">
        <f aca="false">COUNTIF(D11:I11,"&lt;=49")+COUNTIF(D11:I11,"AB")</f>
        <v>6</v>
      </c>
      <c r="L11" s="19" t="n">
        <f aca="false">COUNTIF(C11:J11,"AB")</f>
        <v>2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24.75" hidden="false" customHeight="true" outlineLevel="0" collapsed="false">
      <c r="A12" s="42" t="n">
        <v>2</v>
      </c>
      <c r="B12" s="203" t="n">
        <v>511523205002</v>
      </c>
      <c r="C12" s="204" t="s">
        <v>284</v>
      </c>
      <c r="D12" s="205" t="n">
        <v>62</v>
      </c>
      <c r="E12" s="23" t="n">
        <v>69</v>
      </c>
      <c r="F12" s="23" t="n">
        <v>71</v>
      </c>
      <c r="G12" s="23" t="n">
        <v>53</v>
      </c>
      <c r="H12" s="206" t="n">
        <v>70</v>
      </c>
      <c r="I12" s="207" t="n">
        <v>76</v>
      </c>
      <c r="J12" s="19" t="n">
        <f aca="false">SUM(D12:I12)</f>
        <v>401</v>
      </c>
      <c r="K12" s="19" t="n">
        <f aca="false">COUNTIF(D12:I12,"&lt;=49")+COUNTIF(D12:I12,"AB")</f>
        <v>0</v>
      </c>
      <c r="L12" s="19" t="n">
        <f aca="false">COUNTIF(E12:J12,"AB")</f>
        <v>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24.75" hidden="false" customHeight="true" outlineLevel="0" collapsed="false">
      <c r="A13" s="42" t="n">
        <v>3</v>
      </c>
      <c r="B13" s="203" t="n">
        <v>511523205003</v>
      </c>
      <c r="C13" s="204" t="s">
        <v>285</v>
      </c>
      <c r="D13" s="205" t="n">
        <v>49</v>
      </c>
      <c r="E13" s="23" t="n">
        <v>51</v>
      </c>
      <c r="F13" s="23" t="s">
        <v>24</v>
      </c>
      <c r="G13" s="23" t="s">
        <v>24</v>
      </c>
      <c r="H13" s="142" t="n">
        <v>62</v>
      </c>
      <c r="I13" s="207" t="n">
        <v>66</v>
      </c>
      <c r="J13" s="19" t="n">
        <f aca="false">SUM(D13:I13)</f>
        <v>228</v>
      </c>
      <c r="K13" s="19" t="n">
        <f aca="false">COUNTIF(D13:I13,"&lt;=49")+COUNTIF(D13:I13,"AB")</f>
        <v>3</v>
      </c>
      <c r="L13" s="19" t="n">
        <f aca="false">COUNTIF(E13:J13,"AB")</f>
        <v>2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24.75" hidden="false" customHeight="true" outlineLevel="0" collapsed="false">
      <c r="A14" s="42" t="n">
        <v>4</v>
      </c>
      <c r="B14" s="203" t="n">
        <v>511523205004</v>
      </c>
      <c r="C14" s="204" t="s">
        <v>286</v>
      </c>
      <c r="D14" s="205" t="n">
        <v>35</v>
      </c>
      <c r="E14" s="23" t="n">
        <v>89</v>
      </c>
      <c r="F14" s="23" t="n">
        <v>78</v>
      </c>
      <c r="G14" s="23" t="n">
        <v>72</v>
      </c>
      <c r="H14" s="142" t="n">
        <v>76</v>
      </c>
      <c r="I14" s="207" t="n">
        <v>99</v>
      </c>
      <c r="J14" s="19" t="n">
        <f aca="false">SUM(D14:I14)</f>
        <v>449</v>
      </c>
      <c r="K14" s="19" t="n">
        <f aca="false">COUNTIF(D14:I14,"&lt;=49")+COUNTIF(D14:I14,"AB")</f>
        <v>1</v>
      </c>
      <c r="L14" s="19" t="n">
        <f aca="false">COUNTIF(E14:J14,"AB")</f>
        <v>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24.75" hidden="false" customHeight="true" outlineLevel="0" collapsed="false">
      <c r="A15" s="42" t="n">
        <v>5</v>
      </c>
      <c r="B15" s="203" t="n">
        <v>511523205005</v>
      </c>
      <c r="C15" s="204" t="s">
        <v>287</v>
      </c>
      <c r="D15" s="205" t="s">
        <v>24</v>
      </c>
      <c r="E15" s="23" t="n">
        <v>8</v>
      </c>
      <c r="F15" s="23" t="s">
        <v>24</v>
      </c>
      <c r="G15" s="23" t="n">
        <v>5</v>
      </c>
      <c r="H15" s="206" t="n">
        <v>22</v>
      </c>
      <c r="I15" s="207" t="n">
        <v>63</v>
      </c>
      <c r="J15" s="19" t="n">
        <f aca="false">SUM(D15:I15)</f>
        <v>98</v>
      </c>
      <c r="K15" s="19" t="n">
        <f aca="false">COUNTIF(D15:I15,"&lt;=49")+COUNTIF(D15:I15,"AB")</f>
        <v>5</v>
      </c>
      <c r="L15" s="19" t="n">
        <f aca="false">COUNTIF(E15:J15,"AB")</f>
        <v>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24.75" hidden="false" customHeight="true" outlineLevel="0" collapsed="false">
      <c r="A16" s="42" t="n">
        <v>6</v>
      </c>
      <c r="B16" s="203" t="n">
        <v>511523205006</v>
      </c>
      <c r="C16" s="204" t="s">
        <v>288</v>
      </c>
      <c r="D16" s="205" t="n">
        <v>16</v>
      </c>
      <c r="E16" s="23" t="n">
        <v>46</v>
      </c>
      <c r="F16" s="23" t="n">
        <v>39</v>
      </c>
      <c r="G16" s="23" t="n">
        <v>40</v>
      </c>
      <c r="H16" s="142" t="n">
        <v>76</v>
      </c>
      <c r="I16" s="207" t="n">
        <v>64</v>
      </c>
      <c r="J16" s="19" t="n">
        <f aca="false">SUM(D16:I16)</f>
        <v>281</v>
      </c>
      <c r="K16" s="19" t="n">
        <f aca="false">COUNTIF(D16:I16,"&lt;=49")+COUNTIF(D16:I16,"AB")</f>
        <v>4</v>
      </c>
      <c r="L16" s="19" t="n">
        <f aca="false">COUNTIF(E16:J16,"AB")</f>
        <v>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24.75" hidden="false" customHeight="true" outlineLevel="0" collapsed="false">
      <c r="A17" s="42" t="n">
        <v>7</v>
      </c>
      <c r="B17" s="203" t="n">
        <v>511523205007</v>
      </c>
      <c r="C17" s="204" t="s">
        <v>289</v>
      </c>
      <c r="D17" s="205" t="s">
        <v>24</v>
      </c>
      <c r="E17" s="23" t="n">
        <v>27</v>
      </c>
      <c r="F17" s="23" t="n">
        <v>20</v>
      </c>
      <c r="G17" s="23" t="n">
        <v>7</v>
      </c>
      <c r="H17" s="206" t="n">
        <v>34</v>
      </c>
      <c r="I17" s="207" t="s">
        <v>24</v>
      </c>
      <c r="J17" s="19" t="n">
        <f aca="false">SUM(D17:I17)</f>
        <v>88</v>
      </c>
      <c r="K17" s="19" t="n">
        <f aca="false">COUNTIF(D17:I17,"&lt;=49")+COUNTIF(D17:I17,"AB")</f>
        <v>6</v>
      </c>
      <c r="L17" s="19" t="n">
        <f aca="false">COUNTIF(E17:J17,"AB")</f>
        <v>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24.75" hidden="false" customHeight="true" outlineLevel="0" collapsed="false">
      <c r="A18" s="42" t="n">
        <v>8</v>
      </c>
      <c r="B18" s="203" t="n">
        <v>511523205008</v>
      </c>
      <c r="C18" s="204" t="s">
        <v>290</v>
      </c>
      <c r="D18" s="205" t="s">
        <v>24</v>
      </c>
      <c r="E18" s="23" t="n">
        <v>14</v>
      </c>
      <c r="F18" s="23" t="n">
        <v>12</v>
      </c>
      <c r="G18" s="23" t="n">
        <v>5</v>
      </c>
      <c r="H18" s="142" t="n">
        <v>59</v>
      </c>
      <c r="I18" s="207" t="n">
        <v>14</v>
      </c>
      <c r="J18" s="19" t="n">
        <f aca="false">SUM(D18:I18)</f>
        <v>104</v>
      </c>
      <c r="K18" s="19" t="n">
        <f aca="false">COUNTIF(D18:I18,"&lt;=49")+COUNTIF(D18:I18,"AB")</f>
        <v>5</v>
      </c>
      <c r="L18" s="19" t="n">
        <f aca="false">COUNTIF(E18:J18,"AB")</f>
        <v>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24.75" hidden="false" customHeight="true" outlineLevel="0" collapsed="false">
      <c r="A19" s="42" t="n">
        <v>9</v>
      </c>
      <c r="B19" s="203" t="n">
        <v>511523205009</v>
      </c>
      <c r="C19" s="204" t="s">
        <v>291</v>
      </c>
      <c r="D19" s="205" t="n">
        <v>3</v>
      </c>
      <c r="E19" s="23" t="n">
        <v>22</v>
      </c>
      <c r="F19" s="23" t="n">
        <v>10</v>
      </c>
      <c r="G19" s="23" t="n">
        <v>20</v>
      </c>
      <c r="H19" s="142" t="n">
        <v>59</v>
      </c>
      <c r="I19" s="207" t="n">
        <v>33</v>
      </c>
      <c r="J19" s="19" t="n">
        <f aca="false">SUM(D19:I19)</f>
        <v>147</v>
      </c>
      <c r="K19" s="19" t="n">
        <f aca="false">COUNTIF(D19:I19,"&lt;=49")+COUNTIF(D19:I19,"AB")</f>
        <v>5</v>
      </c>
      <c r="L19" s="19" t="n">
        <f aca="false">COUNTIF(E19:J19,"AB")</f>
        <v>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24.75" hidden="false" customHeight="true" outlineLevel="0" collapsed="false">
      <c r="A20" s="42" t="n">
        <v>10</v>
      </c>
      <c r="B20" s="203" t="n">
        <v>511523205010</v>
      </c>
      <c r="C20" s="204" t="s">
        <v>292</v>
      </c>
      <c r="D20" s="205" t="n">
        <v>52</v>
      </c>
      <c r="E20" s="23" t="n">
        <v>45</v>
      </c>
      <c r="F20" s="23" t="n">
        <v>87</v>
      </c>
      <c r="G20" s="23" t="n">
        <v>73</v>
      </c>
      <c r="H20" s="142" t="n">
        <v>63</v>
      </c>
      <c r="I20" s="207" t="n">
        <v>87</v>
      </c>
      <c r="J20" s="19" t="n">
        <f aca="false">SUM(D20:I20)</f>
        <v>407</v>
      </c>
      <c r="K20" s="19" t="n">
        <f aca="false">COUNTIF(D20:I20,"&lt;=49")+COUNTIF(D20:I20,"AB")</f>
        <v>1</v>
      </c>
      <c r="L20" s="19" t="n">
        <f aca="false">COUNTIF(E20:J20,"AB")</f>
        <v>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24.75" hidden="false" customHeight="true" outlineLevel="0" collapsed="false">
      <c r="A21" s="42" t="n">
        <v>11</v>
      </c>
      <c r="B21" s="203" t="n">
        <v>511523205011</v>
      </c>
      <c r="C21" s="204" t="s">
        <v>293</v>
      </c>
      <c r="D21" s="27" t="n">
        <v>7</v>
      </c>
      <c r="E21" s="23" t="n">
        <v>51</v>
      </c>
      <c r="F21" s="23" t="s">
        <v>24</v>
      </c>
      <c r="G21" s="23" t="n">
        <v>25</v>
      </c>
      <c r="H21" s="142" t="n">
        <v>50</v>
      </c>
      <c r="I21" s="207" t="n">
        <v>53</v>
      </c>
      <c r="J21" s="19" t="n">
        <f aca="false">SUM(D21:I21)</f>
        <v>186</v>
      </c>
      <c r="K21" s="19" t="n">
        <f aca="false">COUNTIF(D21:I21,"&lt;=49")+COUNTIF(D21:I21,"AB")</f>
        <v>3</v>
      </c>
      <c r="L21" s="19" t="n">
        <f aca="false">COUNTIF(E21:J21,"AB")</f>
        <v>1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24.75" hidden="false" customHeight="true" outlineLevel="0" collapsed="false">
      <c r="A22" s="42" t="n">
        <v>12</v>
      </c>
      <c r="B22" s="203" t="n">
        <v>511523205012</v>
      </c>
      <c r="C22" s="204" t="s">
        <v>294</v>
      </c>
      <c r="D22" s="205" t="s">
        <v>24</v>
      </c>
      <c r="E22" s="23" t="n">
        <v>50</v>
      </c>
      <c r="F22" s="23" t="n">
        <v>72</v>
      </c>
      <c r="G22" s="23" t="s">
        <v>24</v>
      </c>
      <c r="H22" s="142" t="s">
        <v>24</v>
      </c>
      <c r="I22" s="207" t="n">
        <v>73</v>
      </c>
      <c r="J22" s="19" t="n">
        <f aca="false">SUM(D22:I22)</f>
        <v>195</v>
      </c>
      <c r="K22" s="19" t="n">
        <f aca="false">COUNTIF(D22:I22,"&lt;=49")+COUNTIF(D22:I22,"AB")</f>
        <v>3</v>
      </c>
      <c r="L22" s="19" t="n">
        <f aca="false">COUNTIF(E22:J22,"AB")</f>
        <v>2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24.75" hidden="false" customHeight="true" outlineLevel="0" collapsed="false">
      <c r="A23" s="42" t="n">
        <v>13</v>
      </c>
      <c r="B23" s="203" t="n">
        <v>511523205013</v>
      </c>
      <c r="C23" s="204" t="s">
        <v>295</v>
      </c>
      <c r="D23" s="205" t="n">
        <v>16</v>
      </c>
      <c r="E23" s="23" t="n">
        <v>34</v>
      </c>
      <c r="F23" s="23" t="n">
        <v>45</v>
      </c>
      <c r="G23" s="23" t="n">
        <v>39</v>
      </c>
      <c r="H23" s="142" t="n">
        <v>66</v>
      </c>
      <c r="I23" s="207" t="n">
        <v>72</v>
      </c>
      <c r="J23" s="19" t="n">
        <f aca="false">SUM(D23:I23)</f>
        <v>272</v>
      </c>
      <c r="K23" s="19" t="n">
        <f aca="false">COUNTIF(D23:I23,"&lt;=49")+COUNTIF(D23:I23,"AB")</f>
        <v>4</v>
      </c>
      <c r="L23" s="19" t="n">
        <f aca="false">COUNTIF(E23:J23,"AB")</f>
        <v>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24.75" hidden="false" customHeight="true" outlineLevel="0" collapsed="false">
      <c r="A24" s="42" t="n">
        <v>14</v>
      </c>
      <c r="B24" s="203" t="n">
        <v>511523205014</v>
      </c>
      <c r="C24" s="204" t="s">
        <v>296</v>
      </c>
      <c r="D24" s="205" t="n">
        <v>20</v>
      </c>
      <c r="E24" s="23" t="n">
        <v>70</v>
      </c>
      <c r="F24" s="23" t="n">
        <v>75</v>
      </c>
      <c r="G24" s="23" t="n">
        <v>66</v>
      </c>
      <c r="H24" s="142" t="n">
        <v>83</v>
      </c>
      <c r="I24" s="207" t="n">
        <v>96</v>
      </c>
      <c r="J24" s="19" t="n">
        <f aca="false">SUM(D24:I24)</f>
        <v>410</v>
      </c>
      <c r="K24" s="19" t="n">
        <f aca="false">COUNTIF(D24:I24,"&lt;=49")+COUNTIF(D24:I24,"AB")</f>
        <v>1</v>
      </c>
      <c r="L24" s="19" t="n">
        <f aca="false">COUNTIF(E24:J24,"AB")</f>
        <v>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24.75" hidden="false" customHeight="true" outlineLevel="0" collapsed="false">
      <c r="A25" s="42" t="n">
        <v>15</v>
      </c>
      <c r="B25" s="203" t="n">
        <v>511523205015</v>
      </c>
      <c r="C25" s="204" t="s">
        <v>297</v>
      </c>
      <c r="D25" s="205" t="n">
        <v>53</v>
      </c>
      <c r="E25" s="23" t="n">
        <v>74</v>
      </c>
      <c r="F25" s="23" t="n">
        <v>89</v>
      </c>
      <c r="G25" s="23" t="n">
        <v>51</v>
      </c>
      <c r="H25" s="142" t="n">
        <v>80</v>
      </c>
      <c r="I25" s="207" t="n">
        <v>87</v>
      </c>
      <c r="J25" s="19" t="n">
        <f aca="false">SUM(D25:I25)</f>
        <v>434</v>
      </c>
      <c r="K25" s="19" t="n">
        <f aca="false">COUNTIF(D25:I25,"&lt;=49")+COUNTIF(D25:I25,"AB")</f>
        <v>0</v>
      </c>
      <c r="L25" s="19" t="n">
        <f aca="false">COUNTIF(E25:J25,"AB")</f>
        <v>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24.75" hidden="false" customHeight="true" outlineLevel="0" collapsed="false">
      <c r="A26" s="42" t="n">
        <v>16</v>
      </c>
      <c r="B26" s="203" t="n">
        <v>511523205016</v>
      </c>
      <c r="C26" s="204" t="s">
        <v>298</v>
      </c>
      <c r="D26" s="205" t="n">
        <v>4</v>
      </c>
      <c r="E26" s="23" t="n">
        <v>20</v>
      </c>
      <c r="F26" s="23" t="n">
        <v>23</v>
      </c>
      <c r="G26" s="23" t="n">
        <v>22</v>
      </c>
      <c r="H26" s="142" t="n">
        <v>50</v>
      </c>
      <c r="I26" s="207" t="n">
        <v>50</v>
      </c>
      <c r="J26" s="19" t="n">
        <f aca="false">SUM(D26:I26)</f>
        <v>169</v>
      </c>
      <c r="K26" s="19" t="n">
        <f aca="false">COUNTIF(D26:I26,"&lt;=49")+COUNTIF(D26:I26,"AB")</f>
        <v>4</v>
      </c>
      <c r="L26" s="19" t="n">
        <f aca="false">COUNTIF(E26:J26,"AB")</f>
        <v>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24.75" hidden="false" customHeight="true" outlineLevel="0" collapsed="false">
      <c r="A27" s="42" t="n">
        <v>17</v>
      </c>
      <c r="B27" s="203" t="n">
        <v>511523205017</v>
      </c>
      <c r="C27" s="204" t="s">
        <v>299</v>
      </c>
      <c r="D27" s="205" t="n">
        <v>34</v>
      </c>
      <c r="E27" s="23" t="n">
        <v>39</v>
      </c>
      <c r="F27" s="23" t="n">
        <v>65</v>
      </c>
      <c r="G27" s="23" t="n">
        <v>33</v>
      </c>
      <c r="H27" s="142" t="n">
        <v>69</v>
      </c>
      <c r="I27" s="207" t="n">
        <v>46</v>
      </c>
      <c r="J27" s="19" t="n">
        <f aca="false">SUM(D27:I27)</f>
        <v>286</v>
      </c>
      <c r="K27" s="19" t="n">
        <f aca="false">COUNTIF(D27:I27,"&lt;=49")+COUNTIF(D27:I27,"AB")</f>
        <v>4</v>
      </c>
      <c r="L27" s="19" t="n">
        <f aca="false">COUNTIF(E27:J27,"AB")</f>
        <v>0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24.75" hidden="false" customHeight="true" outlineLevel="0" collapsed="false">
      <c r="A28" s="208" t="n">
        <v>18</v>
      </c>
      <c r="B28" s="209" t="n">
        <v>511523205018</v>
      </c>
      <c r="C28" s="210" t="s">
        <v>300</v>
      </c>
      <c r="D28" s="211" t="s">
        <v>24</v>
      </c>
      <c r="E28" s="212" t="s">
        <v>24</v>
      </c>
      <c r="F28" s="34" t="n">
        <v>58</v>
      </c>
      <c r="G28" s="34" t="n">
        <v>51</v>
      </c>
      <c r="H28" s="213" t="n">
        <v>58</v>
      </c>
      <c r="I28" s="207" t="n">
        <v>49</v>
      </c>
      <c r="J28" s="31" t="n">
        <f aca="false">SUM(D28:I28)</f>
        <v>216</v>
      </c>
      <c r="K28" s="19" t="n">
        <f aca="false">COUNTIF(D28:I28,"&lt;=49")+COUNTIF(D28:I28,"AB")</f>
        <v>3</v>
      </c>
      <c r="L28" s="19" t="n">
        <f aca="false">COUNTIF(E28:J28,"AB")</f>
        <v>1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24.75" hidden="false" customHeight="true" outlineLevel="0" collapsed="false">
      <c r="A29" s="42" t="n">
        <v>19</v>
      </c>
      <c r="B29" s="203" t="n">
        <v>511523205019</v>
      </c>
      <c r="C29" s="204" t="s">
        <v>301</v>
      </c>
      <c r="D29" s="205" t="n">
        <v>19</v>
      </c>
      <c r="E29" s="23" t="n">
        <v>42</v>
      </c>
      <c r="F29" s="23" t="n">
        <v>66</v>
      </c>
      <c r="G29" s="23" t="n">
        <v>53</v>
      </c>
      <c r="H29" s="142" t="n">
        <v>57</v>
      </c>
      <c r="I29" s="207" t="n">
        <v>61</v>
      </c>
      <c r="J29" s="19" t="n">
        <f aca="false">SUM(D29:I29)</f>
        <v>298</v>
      </c>
      <c r="K29" s="19" t="n">
        <f aca="false">COUNTIF(D29:I29,"&lt;=49")+COUNTIF(D29:I29,"AB")</f>
        <v>2</v>
      </c>
      <c r="L29" s="19" t="n">
        <f aca="false">COUNTIF(E29:J29,"AB")</f>
        <v>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24.75" hidden="false" customHeight="true" outlineLevel="0" collapsed="false">
      <c r="A30" s="42" t="n">
        <v>20</v>
      </c>
      <c r="B30" s="203" t="n">
        <v>511523205020</v>
      </c>
      <c r="C30" s="204" t="s">
        <v>302</v>
      </c>
      <c r="D30" s="205" t="n">
        <v>2</v>
      </c>
      <c r="E30" s="23" t="n">
        <v>23</v>
      </c>
      <c r="F30" s="23" t="n">
        <v>45</v>
      </c>
      <c r="G30" s="23" t="n">
        <v>24</v>
      </c>
      <c r="H30" s="142" t="n">
        <v>56</v>
      </c>
      <c r="I30" s="207" t="n">
        <v>64</v>
      </c>
      <c r="J30" s="19" t="n">
        <f aca="false">SUM(D30:I30)</f>
        <v>214</v>
      </c>
      <c r="K30" s="19" t="n">
        <f aca="false">COUNTIF(D30:I30,"&lt;=49")+COUNTIF(D30:I30,"AB")</f>
        <v>4</v>
      </c>
      <c r="L30" s="19" t="n">
        <f aca="false">COUNTIF(E30:J30,"AB")</f>
        <v>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24.75" hidden="false" customHeight="true" outlineLevel="0" collapsed="false">
      <c r="A31" s="42" t="n">
        <v>21</v>
      </c>
      <c r="B31" s="203" t="n">
        <v>511523205021</v>
      </c>
      <c r="C31" s="204" t="s">
        <v>303</v>
      </c>
      <c r="D31" s="205" t="n">
        <v>47</v>
      </c>
      <c r="E31" s="23" t="n">
        <v>57</v>
      </c>
      <c r="F31" s="23" t="n">
        <v>76</v>
      </c>
      <c r="G31" s="23" t="n">
        <v>62</v>
      </c>
      <c r="H31" s="142" t="n">
        <v>53</v>
      </c>
      <c r="I31" s="207" t="n">
        <v>86</v>
      </c>
      <c r="J31" s="19" t="n">
        <f aca="false">SUM(D31:I31)</f>
        <v>381</v>
      </c>
      <c r="K31" s="19" t="n">
        <f aca="false">COUNTIF(D31:I31,"&lt;=49")+COUNTIF(D31:I31,"AB")</f>
        <v>1</v>
      </c>
      <c r="L31" s="19" t="n">
        <f aca="false">COUNTIF(E31:J31,"AB")</f>
        <v>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24.75" hidden="false" customHeight="true" outlineLevel="0" collapsed="false">
      <c r="A32" s="42" t="n">
        <v>22</v>
      </c>
      <c r="B32" s="203" t="n">
        <v>511523205023</v>
      </c>
      <c r="C32" s="204" t="s">
        <v>304</v>
      </c>
      <c r="D32" s="205" t="n">
        <v>58</v>
      </c>
      <c r="E32" s="23" t="n">
        <v>70</v>
      </c>
      <c r="F32" s="23" t="n">
        <v>88</v>
      </c>
      <c r="G32" s="23" t="n">
        <v>70</v>
      </c>
      <c r="H32" s="142" t="n">
        <v>83</v>
      </c>
      <c r="I32" s="207" t="n">
        <v>92</v>
      </c>
      <c r="J32" s="19" t="n">
        <f aca="false">SUM(D32:I32)</f>
        <v>461</v>
      </c>
      <c r="K32" s="19" t="n">
        <f aca="false">COUNTIF(D32:I32,"&lt;=49")+COUNTIF(D32:I32,"AB")</f>
        <v>0</v>
      </c>
      <c r="L32" s="19" t="n">
        <f aca="false">COUNTIF(E32:J32,"AB")</f>
        <v>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24.75" hidden="false" customHeight="true" outlineLevel="0" collapsed="false">
      <c r="A33" s="42" t="n">
        <v>23</v>
      </c>
      <c r="B33" s="203" t="n">
        <v>511523205025</v>
      </c>
      <c r="C33" s="204" t="s">
        <v>305</v>
      </c>
      <c r="D33" s="205" t="n">
        <v>20</v>
      </c>
      <c r="E33" s="23" t="n">
        <v>44</v>
      </c>
      <c r="F33" s="23" t="s">
        <v>24</v>
      </c>
      <c r="G33" s="23" t="s">
        <v>24</v>
      </c>
      <c r="H33" s="142" t="n">
        <v>52</v>
      </c>
      <c r="I33" s="214" t="n">
        <v>60</v>
      </c>
      <c r="J33" s="19" t="n">
        <f aca="false">SUM(D33:I33)</f>
        <v>176</v>
      </c>
      <c r="K33" s="19" t="n">
        <f aca="false">COUNTIF(D33:I33,"&lt;=49")+COUNTIF(D33:I33,"AB")</f>
        <v>4</v>
      </c>
      <c r="L33" s="19" t="n">
        <f aca="false">COUNTIF(E33:J33,"AB")</f>
        <v>2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24.75" hidden="false" customHeight="true" outlineLevel="0" collapsed="false">
      <c r="A34" s="42" t="n">
        <v>24</v>
      </c>
      <c r="B34" s="203" t="n">
        <v>511523205026</v>
      </c>
      <c r="C34" s="204" t="s">
        <v>306</v>
      </c>
      <c r="D34" s="205" t="n">
        <v>23</v>
      </c>
      <c r="E34" s="23" t="n">
        <v>34</v>
      </c>
      <c r="F34" s="23" t="n">
        <v>58</v>
      </c>
      <c r="G34" s="23" t="n">
        <v>53</v>
      </c>
      <c r="H34" s="142" t="n">
        <v>64</v>
      </c>
      <c r="I34" s="214" t="n">
        <v>77</v>
      </c>
      <c r="J34" s="19" t="n">
        <f aca="false">SUM(D34:I34)</f>
        <v>309</v>
      </c>
      <c r="K34" s="19" t="n">
        <f aca="false">COUNTIF(D34:I34,"&lt;=49")+COUNTIF(D34:I34,"AB")</f>
        <v>2</v>
      </c>
      <c r="L34" s="19" t="n">
        <f aca="false">COUNTIF(E34:J34,"AB")</f>
        <v>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24.75" hidden="false" customHeight="true" outlineLevel="0" collapsed="false">
      <c r="A35" s="42" t="n">
        <v>25</v>
      </c>
      <c r="B35" s="203" t="n">
        <v>511523205027</v>
      </c>
      <c r="C35" s="204" t="s">
        <v>307</v>
      </c>
      <c r="D35" s="27" t="n">
        <v>20</v>
      </c>
      <c r="E35" s="215" t="s">
        <v>24</v>
      </c>
      <c r="F35" s="23" t="n">
        <v>15</v>
      </c>
      <c r="G35" s="23" t="s">
        <v>24</v>
      </c>
      <c r="H35" s="142" t="n">
        <v>13</v>
      </c>
      <c r="I35" s="207" t="s">
        <v>24</v>
      </c>
      <c r="J35" s="19" t="n">
        <f aca="false">SUM(D35:I35)</f>
        <v>48</v>
      </c>
      <c r="K35" s="19" t="n">
        <f aca="false">COUNTIF(D35:I35,"&lt;=49")+COUNTIF(D35:I35,"AB")</f>
        <v>6</v>
      </c>
      <c r="L35" s="19" t="n">
        <f aca="false">COUNTIF(E35:J35,"AB")</f>
        <v>3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24.75" hidden="false" customHeight="true" outlineLevel="0" collapsed="false">
      <c r="A36" s="42" t="n">
        <v>26</v>
      </c>
      <c r="B36" s="203" t="n">
        <v>511523205028</v>
      </c>
      <c r="C36" s="204" t="s">
        <v>308</v>
      </c>
      <c r="D36" s="205" t="n">
        <v>39</v>
      </c>
      <c r="E36" s="23" t="n">
        <v>34</v>
      </c>
      <c r="F36" s="201" t="n">
        <v>13</v>
      </c>
      <c r="G36" s="201" t="n">
        <v>35</v>
      </c>
      <c r="H36" s="142" t="n">
        <v>63</v>
      </c>
      <c r="I36" s="207" t="n">
        <v>74</v>
      </c>
      <c r="J36" s="19" t="n">
        <f aca="false">SUM(D36:I36)</f>
        <v>258</v>
      </c>
      <c r="K36" s="19" t="n">
        <f aca="false">COUNTIF(D36:I36,"&lt;=49")+COUNTIF(D36:I36,"AB")</f>
        <v>4</v>
      </c>
      <c r="L36" s="19" t="n">
        <f aca="false">COUNTIF(E36:J36,"AB")</f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24.75" hidden="false" customHeight="true" outlineLevel="0" collapsed="false">
      <c r="A37" s="42" t="n">
        <v>27</v>
      </c>
      <c r="B37" s="203" t="n">
        <v>511523205029</v>
      </c>
      <c r="C37" s="204" t="s">
        <v>309</v>
      </c>
      <c r="D37" s="205" t="n">
        <v>37</v>
      </c>
      <c r="E37" s="23" t="n">
        <v>35</v>
      </c>
      <c r="F37" s="23" t="n">
        <v>50</v>
      </c>
      <c r="G37" s="23" t="n">
        <v>40</v>
      </c>
      <c r="H37" s="142" t="n">
        <v>61</v>
      </c>
      <c r="I37" s="207" t="n">
        <v>85</v>
      </c>
      <c r="J37" s="19" t="n">
        <f aca="false">SUM(D37:I37)</f>
        <v>308</v>
      </c>
      <c r="K37" s="19" t="n">
        <f aca="false">COUNTIF(D37:I37,"&lt;=49")+COUNTIF(D37:I37,"AB")</f>
        <v>3</v>
      </c>
      <c r="L37" s="19" t="n">
        <f aca="false">COUNTIF(E37:J37,"AB")</f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24.75" hidden="false" customHeight="true" outlineLevel="0" collapsed="false">
      <c r="A38" s="42" t="n">
        <v>28</v>
      </c>
      <c r="B38" s="203" t="n">
        <v>511523205030</v>
      </c>
      <c r="C38" s="204" t="s">
        <v>310</v>
      </c>
      <c r="D38" s="205" t="n">
        <v>30</v>
      </c>
      <c r="E38" s="23" t="n">
        <v>36</v>
      </c>
      <c r="F38" s="23" t="n">
        <v>45</v>
      </c>
      <c r="G38" s="23" t="n">
        <v>60</v>
      </c>
      <c r="H38" s="142" t="s">
        <v>24</v>
      </c>
      <c r="I38" s="207" t="n">
        <v>64</v>
      </c>
      <c r="J38" s="19" t="n">
        <f aca="false">SUM(D38:I38)</f>
        <v>235</v>
      </c>
      <c r="K38" s="19" t="n">
        <f aca="false">COUNTIF(D38:I38,"&lt;=49")+COUNTIF(D38:I38,"AB")</f>
        <v>4</v>
      </c>
      <c r="L38" s="19" t="n">
        <f aca="false">COUNTIF(E38:J38,"AB")</f>
        <v>1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24.75" hidden="false" customHeight="true" outlineLevel="0" collapsed="false">
      <c r="A39" s="42" t="n">
        <v>29</v>
      </c>
      <c r="B39" s="203" t="n">
        <v>511523205031</v>
      </c>
      <c r="C39" s="204" t="s">
        <v>311</v>
      </c>
      <c r="D39" s="205" t="n">
        <v>37</v>
      </c>
      <c r="E39" s="23" t="n">
        <v>15</v>
      </c>
      <c r="F39" s="23" t="n">
        <v>8</v>
      </c>
      <c r="G39" s="23" t="n">
        <v>16</v>
      </c>
      <c r="H39" s="142" t="n">
        <v>26</v>
      </c>
      <c r="I39" s="207" t="s">
        <v>24</v>
      </c>
      <c r="J39" s="19" t="n">
        <f aca="false">SUM(D39:I39)</f>
        <v>102</v>
      </c>
      <c r="K39" s="19" t="n">
        <f aca="false">COUNTIF(D39:I39,"&lt;=49")+COUNTIF(D39:I39,"AB")</f>
        <v>6</v>
      </c>
      <c r="L39" s="19" t="n">
        <f aca="false">COUNTIF(E39:J39,"AB")</f>
        <v>1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24.75" hidden="false" customHeight="true" outlineLevel="0" collapsed="false">
      <c r="A40" s="42" t="n">
        <v>30</v>
      </c>
      <c r="B40" s="203" t="n">
        <v>511523205032</v>
      </c>
      <c r="C40" s="204" t="s">
        <v>312</v>
      </c>
      <c r="D40" s="205" t="n">
        <v>39</v>
      </c>
      <c r="E40" s="23" t="n">
        <v>61</v>
      </c>
      <c r="F40" s="23" t="n">
        <v>13</v>
      </c>
      <c r="G40" s="23" t="s">
        <v>24</v>
      </c>
      <c r="H40" s="142" t="n">
        <v>61</v>
      </c>
      <c r="I40" s="207" t="n">
        <v>65</v>
      </c>
      <c r="J40" s="19" t="n">
        <f aca="false">SUM(D40:I40)</f>
        <v>239</v>
      </c>
      <c r="K40" s="19" t="n">
        <f aca="false">COUNTIF(D40:I40,"&lt;=49")+COUNTIF(D40:I40,"AB")</f>
        <v>3</v>
      </c>
      <c r="L40" s="19" t="n">
        <f aca="false">COUNTIF(E40:J40,"AB")</f>
        <v>1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24.75" hidden="false" customHeight="true" outlineLevel="0" collapsed="false">
      <c r="A41" s="42" t="n">
        <v>31</v>
      </c>
      <c r="B41" s="203" t="n">
        <v>511523205033</v>
      </c>
      <c r="C41" s="204" t="s">
        <v>313</v>
      </c>
      <c r="D41" s="205" t="n">
        <v>56</v>
      </c>
      <c r="E41" s="23" t="n">
        <v>53</v>
      </c>
      <c r="F41" s="23" t="n">
        <v>67</v>
      </c>
      <c r="G41" s="23" t="n">
        <v>65</v>
      </c>
      <c r="H41" s="142" t="n">
        <v>84</v>
      </c>
      <c r="I41" s="207" t="n">
        <v>74</v>
      </c>
      <c r="J41" s="19" t="n">
        <f aca="false">SUM(D41:I41)</f>
        <v>399</v>
      </c>
      <c r="K41" s="19" t="n">
        <f aca="false">COUNTIF(D41:I41,"&lt;=49")+COUNTIF(D41:I41,"AB")</f>
        <v>0</v>
      </c>
      <c r="L41" s="19" t="n">
        <f aca="false">COUNTIF(E41:J41,"AB")</f>
        <v>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24.75" hidden="false" customHeight="true" outlineLevel="0" collapsed="false">
      <c r="A42" s="42" t="n">
        <v>32</v>
      </c>
      <c r="B42" s="203" t="n">
        <v>511523205034</v>
      </c>
      <c r="C42" s="204" t="s">
        <v>314</v>
      </c>
      <c r="D42" s="205" t="n">
        <v>29</v>
      </c>
      <c r="E42" s="23" t="n">
        <v>50</v>
      </c>
      <c r="F42" s="23" t="n">
        <v>45</v>
      </c>
      <c r="G42" s="23" t="n">
        <v>51</v>
      </c>
      <c r="H42" s="142" t="n">
        <v>61</v>
      </c>
      <c r="I42" s="207" t="n">
        <v>60</v>
      </c>
      <c r="J42" s="19" t="n">
        <f aca="false">SUM(D42:I42)</f>
        <v>296</v>
      </c>
      <c r="K42" s="19" t="n">
        <f aca="false">COUNTIF(D42:I42,"&lt;=49")+COUNTIF(D42:I42,"AB")</f>
        <v>2</v>
      </c>
      <c r="L42" s="19" t="n">
        <f aca="false">COUNTIF(E42:J42,"AB")</f>
        <v>0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24.75" hidden="false" customHeight="true" outlineLevel="0" collapsed="false">
      <c r="A43" s="42" t="n">
        <v>33</v>
      </c>
      <c r="B43" s="203" t="n">
        <v>511523205035</v>
      </c>
      <c r="C43" s="204" t="s">
        <v>315</v>
      </c>
      <c r="D43" s="27" t="s">
        <v>24</v>
      </c>
      <c r="E43" s="23" t="n">
        <v>36</v>
      </c>
      <c r="F43" s="23" t="n">
        <v>45</v>
      </c>
      <c r="G43" s="23" t="n">
        <v>53</v>
      </c>
      <c r="H43" s="142" t="n">
        <v>58</v>
      </c>
      <c r="I43" s="207" t="n">
        <v>50</v>
      </c>
      <c r="J43" s="19" t="n">
        <f aca="false">SUM(D43:I43)</f>
        <v>242</v>
      </c>
      <c r="K43" s="19" t="n">
        <f aca="false">COUNTIF(D43:I43,"&lt;=49")+COUNTIF(D43:I43,"AB")</f>
        <v>3</v>
      </c>
      <c r="L43" s="19" t="n">
        <f aca="false">COUNTIF(E43:J43,"AB")</f>
        <v>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24.75" hidden="false" customHeight="true" outlineLevel="0" collapsed="false">
      <c r="A44" s="42" t="n">
        <v>34</v>
      </c>
      <c r="B44" s="203" t="n">
        <v>511523205036</v>
      </c>
      <c r="C44" s="204" t="s">
        <v>316</v>
      </c>
      <c r="D44" s="205" t="n">
        <v>38</v>
      </c>
      <c r="E44" s="23" t="n">
        <v>45</v>
      </c>
      <c r="F44" s="23" t="n">
        <v>51</v>
      </c>
      <c r="G44" s="23" t="n">
        <v>47</v>
      </c>
      <c r="H44" s="142" t="n">
        <v>68</v>
      </c>
      <c r="I44" s="207" t="n">
        <v>58</v>
      </c>
      <c r="J44" s="19" t="n">
        <f aca="false">SUM(D44:I44)</f>
        <v>307</v>
      </c>
      <c r="K44" s="19" t="n">
        <f aca="false">COUNTIF(D44:I44,"&lt;=49")+COUNTIF(D44:I44,"AB")</f>
        <v>3</v>
      </c>
      <c r="L44" s="19" t="n">
        <f aca="false">COUNTIF(E44:J44,"AB")</f>
        <v>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24.75" hidden="false" customHeight="true" outlineLevel="0" collapsed="false">
      <c r="A45" s="42" t="n">
        <v>35</v>
      </c>
      <c r="B45" s="203" t="n">
        <v>511523205037</v>
      </c>
      <c r="C45" s="204" t="s">
        <v>317</v>
      </c>
      <c r="D45" s="205" t="n">
        <v>30</v>
      </c>
      <c r="E45" s="23" t="n">
        <v>36</v>
      </c>
      <c r="F45" s="23" t="n">
        <v>37</v>
      </c>
      <c r="G45" s="23" t="n">
        <v>38</v>
      </c>
      <c r="H45" s="142" t="n">
        <v>59</v>
      </c>
      <c r="I45" s="207" t="n">
        <v>63</v>
      </c>
      <c r="J45" s="19" t="n">
        <f aca="false">SUM(D45:I45)</f>
        <v>263</v>
      </c>
      <c r="K45" s="19" t="n">
        <f aca="false">COUNTIF(D45:I45,"&lt;=49")+COUNTIF(D45:I45,"AB")</f>
        <v>4</v>
      </c>
      <c r="L45" s="19" t="n">
        <f aca="false">COUNTIF(E45:J45,"AB")</f>
        <v>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24.75" hidden="false" customHeight="true" outlineLevel="0" collapsed="false">
      <c r="A46" s="42" t="n">
        <v>36</v>
      </c>
      <c r="B46" s="203" t="n">
        <v>511523205038</v>
      </c>
      <c r="C46" s="204" t="s">
        <v>318</v>
      </c>
      <c r="D46" s="205" t="n">
        <v>60</v>
      </c>
      <c r="E46" s="23" t="n">
        <v>85</v>
      </c>
      <c r="F46" s="23" t="n">
        <v>80</v>
      </c>
      <c r="G46" s="23" t="n">
        <v>79</v>
      </c>
      <c r="H46" s="142" t="n">
        <v>81</v>
      </c>
      <c r="I46" s="207" t="n">
        <v>94</v>
      </c>
      <c r="J46" s="19" t="n">
        <f aca="false">SUM(D46:I46)</f>
        <v>479</v>
      </c>
      <c r="K46" s="19" t="n">
        <f aca="false">COUNTIF(D46:I46,"&lt;=49")+COUNTIF(D46:I46,"AB")</f>
        <v>0</v>
      </c>
      <c r="L46" s="19" t="n">
        <f aca="false">COUNTIF(E46:J46,"AB")</f>
        <v>0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24.75" hidden="false" customHeight="true" outlineLevel="0" collapsed="false">
      <c r="A47" s="42" t="n">
        <v>37</v>
      </c>
      <c r="B47" s="203" t="n">
        <v>511523205039</v>
      </c>
      <c r="C47" s="204" t="s">
        <v>319</v>
      </c>
      <c r="D47" s="27" t="s">
        <v>24</v>
      </c>
      <c r="E47" s="215" t="s">
        <v>24</v>
      </c>
      <c r="F47" s="23" t="s">
        <v>24</v>
      </c>
      <c r="G47" s="23" t="n">
        <v>53</v>
      </c>
      <c r="H47" s="142" t="n">
        <v>73</v>
      </c>
      <c r="I47" s="207" t="n">
        <v>30</v>
      </c>
      <c r="J47" s="19" t="n">
        <f aca="false">SUM(D47:I47)</f>
        <v>156</v>
      </c>
      <c r="K47" s="19" t="n">
        <f aca="false">COUNTIF(D47:I47,"&lt;=49")+COUNTIF(D47:I47,"AB")</f>
        <v>4</v>
      </c>
      <c r="L47" s="19" t="n">
        <f aca="false">COUNTIF(E47:J47,"AB")</f>
        <v>2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24.75" hidden="false" customHeight="true" outlineLevel="0" collapsed="false">
      <c r="A48" s="42" t="n">
        <v>38</v>
      </c>
      <c r="B48" s="203" t="n">
        <v>511523205040</v>
      </c>
      <c r="C48" s="204" t="s">
        <v>320</v>
      </c>
      <c r="D48" s="205" t="n">
        <v>6</v>
      </c>
      <c r="E48" s="23" t="n">
        <v>40</v>
      </c>
      <c r="F48" s="23" t="n">
        <v>65</v>
      </c>
      <c r="G48" s="23" t="n">
        <v>63</v>
      </c>
      <c r="H48" s="142" t="n">
        <v>40</v>
      </c>
      <c r="I48" s="207" t="n">
        <v>66</v>
      </c>
      <c r="J48" s="19" t="n">
        <f aca="false">SUM(D48:I48)</f>
        <v>280</v>
      </c>
      <c r="K48" s="19" t="n">
        <f aca="false">COUNTIF(D48:I48,"&lt;=49")+COUNTIF(D48:I48,"AB")</f>
        <v>3</v>
      </c>
      <c r="L48" s="19" t="n">
        <f aca="false">COUNTIF(E48:J48,"AB")</f>
        <v>0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24.75" hidden="false" customHeight="true" outlineLevel="0" collapsed="false">
      <c r="A49" s="42" t="n">
        <v>39</v>
      </c>
      <c r="B49" s="203" t="n">
        <v>511523205041</v>
      </c>
      <c r="C49" s="204" t="s">
        <v>321</v>
      </c>
      <c r="D49" s="205" t="n">
        <v>7</v>
      </c>
      <c r="E49" s="23" t="n">
        <v>42</v>
      </c>
      <c r="F49" s="23" t="n">
        <v>62</v>
      </c>
      <c r="G49" s="23" t="n">
        <v>48</v>
      </c>
      <c r="H49" s="142" t="n">
        <v>69</v>
      </c>
      <c r="I49" s="207" t="n">
        <v>55</v>
      </c>
      <c r="J49" s="19" t="n">
        <f aca="false">SUM(D49:I49)</f>
        <v>283</v>
      </c>
      <c r="K49" s="19" t="n">
        <f aca="false">COUNTIF(D49:I49,"&lt;=49")+COUNTIF(D49:I49,"AB")</f>
        <v>3</v>
      </c>
      <c r="L49" s="19" t="n">
        <f aca="false">COUNTIF(E49:J49,"AB")</f>
        <v>0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24.75" hidden="false" customHeight="true" outlineLevel="0" collapsed="false">
      <c r="A50" s="42" t="n">
        <v>40</v>
      </c>
      <c r="B50" s="203" t="n">
        <v>511523205042</v>
      </c>
      <c r="C50" s="204" t="s">
        <v>322</v>
      </c>
      <c r="D50" s="205" t="n">
        <v>69</v>
      </c>
      <c r="E50" s="23" t="n">
        <v>80</v>
      </c>
      <c r="F50" s="23" t="n">
        <v>89</v>
      </c>
      <c r="G50" s="23" t="n">
        <v>53</v>
      </c>
      <c r="H50" s="142" t="n">
        <v>71</v>
      </c>
      <c r="I50" s="207" t="n">
        <v>91</v>
      </c>
      <c r="J50" s="19" t="n">
        <f aca="false">SUM(D50:I50)</f>
        <v>453</v>
      </c>
      <c r="K50" s="19" t="n">
        <f aca="false">COUNTIF(D50:I50,"&lt;=49")+COUNTIF(D50:I50,"AB")</f>
        <v>0</v>
      </c>
      <c r="L50" s="19" t="n">
        <f aca="false">COUNTIF(E50:J50,"AB")</f>
        <v>0</v>
      </c>
      <c r="M50" s="2"/>
      <c r="N50" s="37"/>
      <c r="O50" s="37"/>
      <c r="P50" s="37"/>
      <c r="Q50" s="37"/>
      <c r="R50" s="37"/>
      <c r="S50" s="37"/>
      <c r="T50" s="2"/>
      <c r="U50" s="2"/>
      <c r="V50" s="2"/>
      <c r="W50" s="2"/>
      <c r="X50" s="2"/>
      <c r="Y50" s="2"/>
      <c r="Z50" s="2"/>
    </row>
    <row r="51" customFormat="false" ht="24.75" hidden="false" customHeight="true" outlineLevel="0" collapsed="false">
      <c r="A51" s="42" t="n">
        <v>41</v>
      </c>
      <c r="B51" s="203" t="n">
        <v>511523205043</v>
      </c>
      <c r="C51" s="204" t="s">
        <v>323</v>
      </c>
      <c r="D51" s="27" t="n">
        <v>7</v>
      </c>
      <c r="E51" s="23" t="n">
        <v>69</v>
      </c>
      <c r="F51" s="23" t="n">
        <v>66</v>
      </c>
      <c r="G51" s="23" t="n">
        <v>60</v>
      </c>
      <c r="H51" s="142" t="n">
        <v>71</v>
      </c>
      <c r="I51" s="207" t="n">
        <v>91</v>
      </c>
      <c r="J51" s="19" t="n">
        <f aca="false">SUM(D51:I51)</f>
        <v>364</v>
      </c>
      <c r="K51" s="19" t="n">
        <f aca="false">COUNTIF(D51:I51,"&lt;=49")+COUNTIF(D51:I51,"AB")</f>
        <v>1</v>
      </c>
      <c r="L51" s="19" t="n">
        <f aca="false">COUNTIF(E51:J51,"AB")</f>
        <v>0</v>
      </c>
      <c r="M51" s="2"/>
      <c r="N51" s="38"/>
      <c r="O51" s="38"/>
      <c r="P51" s="38"/>
      <c r="Q51" s="38"/>
      <c r="R51" s="38"/>
      <c r="S51" s="38"/>
      <c r="T51" s="2"/>
      <c r="U51" s="2"/>
      <c r="V51" s="2"/>
      <c r="W51" s="2"/>
      <c r="X51" s="2"/>
      <c r="Y51" s="2"/>
      <c r="Z51" s="2"/>
    </row>
    <row r="52" customFormat="false" ht="24.75" hidden="false" customHeight="true" outlineLevel="0" collapsed="false">
      <c r="A52" s="42" t="n">
        <v>42</v>
      </c>
      <c r="B52" s="203" t="n">
        <v>511523205044</v>
      </c>
      <c r="C52" s="204" t="s">
        <v>324</v>
      </c>
      <c r="D52" s="205" t="n">
        <v>69</v>
      </c>
      <c r="E52" s="215" t="s">
        <v>24</v>
      </c>
      <c r="F52" s="23" t="s">
        <v>24</v>
      </c>
      <c r="G52" s="23" t="n">
        <v>7</v>
      </c>
      <c r="H52" s="142" t="n">
        <v>20</v>
      </c>
      <c r="I52" s="207" t="n">
        <v>6</v>
      </c>
      <c r="J52" s="19" t="n">
        <f aca="false">SUM(D52:I52)</f>
        <v>102</v>
      </c>
      <c r="K52" s="19" t="n">
        <f aca="false">COUNTIF(D52:I52,"&lt;=49")+COUNTIF(D52:I52,"AB")</f>
        <v>5</v>
      </c>
      <c r="L52" s="19" t="n">
        <f aca="false">COUNTIF(E52:J52,"AB")</f>
        <v>2</v>
      </c>
      <c r="M52" s="39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24.75" hidden="false" customHeight="true" outlineLevel="0" collapsed="false">
      <c r="A53" s="42" t="n">
        <v>43</v>
      </c>
      <c r="B53" s="203" t="n">
        <v>511523205045</v>
      </c>
      <c r="C53" s="204" t="s">
        <v>325</v>
      </c>
      <c r="D53" s="205" t="n">
        <v>7</v>
      </c>
      <c r="E53" s="23" t="n">
        <v>26</v>
      </c>
      <c r="F53" s="34" t="n">
        <v>53</v>
      </c>
      <c r="G53" s="34" t="n">
        <v>46</v>
      </c>
      <c r="H53" s="142" t="n">
        <v>60</v>
      </c>
      <c r="I53" s="207" t="n">
        <v>59</v>
      </c>
      <c r="J53" s="19" t="n">
        <f aca="false">SUM(D53:I53)</f>
        <v>251</v>
      </c>
      <c r="K53" s="19" t="n">
        <f aca="false">COUNTIF(D53:I53,"&lt;=49")+COUNTIF(D53:I53,"AB")</f>
        <v>3</v>
      </c>
      <c r="L53" s="19" t="n">
        <f aca="false">COUNTIF(E53:J53,"AB")</f>
        <v>0</v>
      </c>
      <c r="M53" s="39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24.75" hidden="false" customHeight="true" outlineLevel="0" collapsed="false">
      <c r="A54" s="42" t="n">
        <v>44</v>
      </c>
      <c r="B54" s="203" t="n">
        <v>511523205046</v>
      </c>
      <c r="C54" s="204" t="s">
        <v>326</v>
      </c>
      <c r="D54" s="205" t="s">
        <v>24</v>
      </c>
      <c r="E54" s="23" t="n">
        <v>21</v>
      </c>
      <c r="F54" s="23" t="n">
        <v>45</v>
      </c>
      <c r="G54" s="23" t="n">
        <v>34</v>
      </c>
      <c r="H54" s="142" t="n">
        <v>64</v>
      </c>
      <c r="I54" s="207" t="n">
        <v>50</v>
      </c>
      <c r="J54" s="19" t="n">
        <f aca="false">SUM(D54:I54)</f>
        <v>214</v>
      </c>
      <c r="K54" s="19" t="n">
        <f aca="false">COUNTIF(D54:I54,"&lt;=49")+COUNTIF(D54:I54,"AB")</f>
        <v>4</v>
      </c>
      <c r="L54" s="19" t="n">
        <f aca="false">COUNTIF(E54:J54,"AB")</f>
        <v>0</v>
      </c>
      <c r="M54" s="39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24.75" hidden="false" customHeight="true" outlineLevel="0" collapsed="false">
      <c r="A55" s="42" t="n">
        <v>45</v>
      </c>
      <c r="B55" s="203" t="n">
        <v>511523205047</v>
      </c>
      <c r="C55" s="204" t="s">
        <v>327</v>
      </c>
      <c r="D55" s="205" t="n">
        <v>7</v>
      </c>
      <c r="E55" s="23" t="n">
        <v>7</v>
      </c>
      <c r="F55" s="23" t="n">
        <v>63</v>
      </c>
      <c r="G55" s="23" t="n">
        <v>30</v>
      </c>
      <c r="H55" s="142" t="n">
        <v>58</v>
      </c>
      <c r="I55" s="207" t="s">
        <v>24</v>
      </c>
      <c r="J55" s="19" t="n">
        <f aca="false">SUM(D55:I55)</f>
        <v>165</v>
      </c>
      <c r="K55" s="19" t="n">
        <f aca="false">COUNTIF(D55:I55,"&lt;=49")+COUNTIF(D55:I55,"AB")</f>
        <v>4</v>
      </c>
      <c r="L55" s="19" t="n">
        <f aca="false">COUNTIF(E55:J55,"AB")</f>
        <v>1</v>
      </c>
      <c r="M55" s="39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24.75" hidden="false" customHeight="true" outlineLevel="0" collapsed="false">
      <c r="A56" s="42" t="n">
        <v>46</v>
      </c>
      <c r="B56" s="203" t="n">
        <v>511523205048</v>
      </c>
      <c r="C56" s="204" t="s">
        <v>328</v>
      </c>
      <c r="D56" s="27" t="s">
        <v>24</v>
      </c>
      <c r="E56" s="23" t="n">
        <v>8</v>
      </c>
      <c r="F56" s="23" t="n">
        <v>10</v>
      </c>
      <c r="G56" s="23" t="n">
        <v>22</v>
      </c>
      <c r="H56" s="142" t="n">
        <v>16</v>
      </c>
      <c r="I56" s="207" t="n">
        <v>58</v>
      </c>
      <c r="J56" s="19" t="n">
        <f aca="false">SUM(D56:I56)</f>
        <v>114</v>
      </c>
      <c r="K56" s="19" t="n">
        <f aca="false">COUNTIF(D56:I56,"&lt;=49")+COUNTIF(D56:I56,"AB")</f>
        <v>5</v>
      </c>
      <c r="L56" s="19" t="n">
        <f aca="false">COUNTIF(E56:J56,"AB")</f>
        <v>0</v>
      </c>
      <c r="M56" s="39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24.75" hidden="false" customHeight="true" outlineLevel="0" collapsed="false">
      <c r="A57" s="42" t="n">
        <v>47</v>
      </c>
      <c r="B57" s="203" t="n">
        <v>511523205049</v>
      </c>
      <c r="C57" s="204" t="s">
        <v>329</v>
      </c>
      <c r="D57" s="205" t="s">
        <v>24</v>
      </c>
      <c r="E57" s="23" t="n">
        <v>14</v>
      </c>
      <c r="F57" s="23" t="n">
        <v>12</v>
      </c>
      <c r="G57" s="23" t="n">
        <v>29</v>
      </c>
      <c r="H57" s="142" t="n">
        <v>69</v>
      </c>
      <c r="I57" s="207" t="n">
        <v>34</v>
      </c>
      <c r="J57" s="19" t="n">
        <f aca="false">SUM(D57:I57)</f>
        <v>158</v>
      </c>
      <c r="K57" s="19" t="n">
        <f aca="false">COUNTIF(D57:I57,"&lt;=49")+COUNTIF(D57:I57,"AB")</f>
        <v>5</v>
      </c>
      <c r="L57" s="19" t="n">
        <f aca="false">COUNTIF(E57:J57,"AB")</f>
        <v>0</v>
      </c>
      <c r="M57" s="39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24.75" hidden="false" customHeight="true" outlineLevel="0" collapsed="false">
      <c r="A58" s="42" t="n">
        <v>48</v>
      </c>
      <c r="B58" s="203" t="n">
        <v>511523205050</v>
      </c>
      <c r="C58" s="204" t="s">
        <v>330</v>
      </c>
      <c r="D58" s="205" t="n">
        <v>46</v>
      </c>
      <c r="E58" s="23" t="n">
        <v>35</v>
      </c>
      <c r="F58" s="23" t="n">
        <v>45</v>
      </c>
      <c r="G58" s="23" t="n">
        <v>62</v>
      </c>
      <c r="H58" s="142" t="n">
        <v>68</v>
      </c>
      <c r="I58" s="207" t="n">
        <v>63</v>
      </c>
      <c r="J58" s="19" t="n">
        <f aca="false">SUM(D58:I58)</f>
        <v>319</v>
      </c>
      <c r="K58" s="19" t="n">
        <f aca="false">COUNTIF(D58:I58,"&lt;=49")+COUNTIF(D58:I58,"AB")</f>
        <v>3</v>
      </c>
      <c r="L58" s="19" t="n">
        <f aca="false">COUNTIF(E58:J58,"AB")</f>
        <v>0</v>
      </c>
      <c r="M58" s="39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24.75" hidden="false" customHeight="true" outlineLevel="0" collapsed="false">
      <c r="A59" s="42" t="n">
        <v>49</v>
      </c>
      <c r="B59" s="203" t="n">
        <v>511523205051</v>
      </c>
      <c r="C59" s="204" t="s">
        <v>331</v>
      </c>
      <c r="D59" s="27" t="s">
        <v>24</v>
      </c>
      <c r="E59" s="215" t="s">
        <v>24</v>
      </c>
      <c r="F59" s="23" t="s">
        <v>24</v>
      </c>
      <c r="G59" s="23" t="s">
        <v>24</v>
      </c>
      <c r="H59" s="142" t="s">
        <v>24</v>
      </c>
      <c r="I59" s="207" t="s">
        <v>24</v>
      </c>
      <c r="J59" s="19" t="n">
        <f aca="false">SUM(D59:I59)</f>
        <v>0</v>
      </c>
      <c r="K59" s="19" t="n">
        <f aca="false">COUNTIF(D59:I59,"&lt;=49")+COUNTIF(D59:I59,"AB")</f>
        <v>6</v>
      </c>
      <c r="L59" s="19" t="n">
        <f aca="false">COUNTIF(E59:J59,"AB")</f>
        <v>5</v>
      </c>
      <c r="M59" s="39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24.75" hidden="false" customHeight="true" outlineLevel="0" collapsed="false">
      <c r="A60" s="42" t="n">
        <v>50</v>
      </c>
      <c r="B60" s="203" t="n">
        <v>511523205052</v>
      </c>
      <c r="C60" s="204" t="s">
        <v>332</v>
      </c>
      <c r="D60" s="205" t="n">
        <v>46</v>
      </c>
      <c r="E60" s="23" t="n">
        <v>10</v>
      </c>
      <c r="F60" s="23" t="n">
        <v>16</v>
      </c>
      <c r="G60" s="23" t="n">
        <v>18</v>
      </c>
      <c r="H60" s="142" t="n">
        <v>51</v>
      </c>
      <c r="I60" s="207" t="n">
        <v>38</v>
      </c>
      <c r="J60" s="19" t="n">
        <f aca="false">SUM(D60:I60)</f>
        <v>179</v>
      </c>
      <c r="K60" s="19" t="n">
        <f aca="false">COUNTIF(D60:I60,"&lt;=49")+COUNTIF(D60:I60,"AB")</f>
        <v>5</v>
      </c>
      <c r="L60" s="19" t="n">
        <f aca="false">COUNTIF(E60:J60,"AB")</f>
        <v>0</v>
      </c>
      <c r="M60" s="39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24.75" hidden="false" customHeight="true" outlineLevel="0" collapsed="false">
      <c r="A61" s="42" t="n">
        <v>51</v>
      </c>
      <c r="B61" s="203" t="n">
        <v>511523205053</v>
      </c>
      <c r="C61" s="204" t="s">
        <v>333</v>
      </c>
      <c r="D61" s="205" t="s">
        <v>24</v>
      </c>
      <c r="E61" s="23" t="n">
        <v>3</v>
      </c>
      <c r="F61" s="23" t="n">
        <v>16</v>
      </c>
      <c r="G61" s="23" t="n">
        <v>21</v>
      </c>
      <c r="H61" s="142" t="n">
        <v>40</v>
      </c>
      <c r="I61" s="207" t="s">
        <v>24</v>
      </c>
      <c r="J61" s="19" t="n">
        <f aca="false">SUM(D61:I61)</f>
        <v>80</v>
      </c>
      <c r="K61" s="19" t="n">
        <f aca="false">COUNTIF(D61:I61,"&lt;=49")+COUNTIF(D61:I61,"AB")</f>
        <v>6</v>
      </c>
      <c r="L61" s="19" t="n">
        <f aca="false">COUNTIF(E61:J61,"AB")</f>
        <v>1</v>
      </c>
      <c r="M61" s="39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24.75" hidden="false" customHeight="true" outlineLevel="0" collapsed="false">
      <c r="A62" s="42" t="n">
        <v>52</v>
      </c>
      <c r="B62" s="203" t="n">
        <v>511523205054</v>
      </c>
      <c r="C62" s="204" t="s">
        <v>334</v>
      </c>
      <c r="D62" s="27" t="s">
        <v>24</v>
      </c>
      <c r="E62" s="23" t="n">
        <v>15</v>
      </c>
      <c r="F62" s="23" t="n">
        <v>18</v>
      </c>
      <c r="G62" s="23" t="n">
        <v>35</v>
      </c>
      <c r="H62" s="142" t="n">
        <v>45</v>
      </c>
      <c r="I62" s="207" t="n">
        <v>56</v>
      </c>
      <c r="J62" s="19" t="n">
        <f aca="false">SUM(D62:I62)</f>
        <v>169</v>
      </c>
      <c r="K62" s="19" t="n">
        <f aca="false">COUNTIF(D62:I62,"&lt;=49")+COUNTIF(D62:I62,"AB")</f>
        <v>5</v>
      </c>
      <c r="L62" s="19" t="n">
        <f aca="false">COUNTIF(E62:J62,"AB")</f>
        <v>0</v>
      </c>
      <c r="M62" s="39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24.75" hidden="false" customHeight="true" outlineLevel="0" collapsed="false">
      <c r="A63" s="42" t="n">
        <v>53</v>
      </c>
      <c r="B63" s="203" t="n">
        <v>511523205055</v>
      </c>
      <c r="C63" s="204" t="s">
        <v>335</v>
      </c>
      <c r="D63" s="27" t="n">
        <v>65</v>
      </c>
      <c r="E63" s="23" t="n">
        <v>73</v>
      </c>
      <c r="F63" s="23" t="n">
        <v>67</v>
      </c>
      <c r="G63" s="23" t="n">
        <v>68</v>
      </c>
      <c r="H63" s="142" t="n">
        <v>82</v>
      </c>
      <c r="I63" s="207" t="n">
        <v>91</v>
      </c>
      <c r="J63" s="19" t="n">
        <f aca="false">SUM(D63:I63)</f>
        <v>446</v>
      </c>
      <c r="K63" s="19" t="n">
        <f aca="false">COUNTIF(D63:I63,"&lt;=49")+COUNTIF(D63:I63,"AB")</f>
        <v>0</v>
      </c>
      <c r="L63" s="19" t="n">
        <f aca="false">COUNTIF(E63:J63,"AB")</f>
        <v>0</v>
      </c>
      <c r="M63" s="39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24.75" hidden="false" customHeight="true" outlineLevel="0" collapsed="false">
      <c r="A64" s="42" t="n">
        <v>54</v>
      </c>
      <c r="B64" s="203" t="n">
        <v>511523205056</v>
      </c>
      <c r="C64" s="204" t="s">
        <v>336</v>
      </c>
      <c r="D64" s="205" t="n">
        <v>30</v>
      </c>
      <c r="E64" s="23" t="n">
        <v>35</v>
      </c>
      <c r="F64" s="23" t="n">
        <v>59</v>
      </c>
      <c r="G64" s="23" t="n">
        <v>37</v>
      </c>
      <c r="H64" s="142" t="n">
        <v>57</v>
      </c>
      <c r="I64" s="207" t="n">
        <v>50</v>
      </c>
      <c r="J64" s="19" t="n">
        <f aca="false">SUM(D64:I64)</f>
        <v>268</v>
      </c>
      <c r="K64" s="19" t="n">
        <f aca="false">COUNTIF(D64:I64,"&lt;=49")+COUNTIF(D64:I64,"AB")</f>
        <v>3</v>
      </c>
      <c r="L64" s="19" t="n">
        <f aca="false">COUNTIF(E64:J64,"AB")</f>
        <v>0</v>
      </c>
      <c r="M64" s="39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24.75" hidden="false" customHeight="true" outlineLevel="0" collapsed="false">
      <c r="A65" s="42" t="n">
        <v>55</v>
      </c>
      <c r="B65" s="203" t="n">
        <v>511523205057</v>
      </c>
      <c r="C65" s="204" t="s">
        <v>337</v>
      </c>
      <c r="D65" s="205" t="n">
        <v>17</v>
      </c>
      <c r="E65" s="23" t="n">
        <v>28</v>
      </c>
      <c r="F65" s="23" t="n">
        <v>56</v>
      </c>
      <c r="G65" s="23" t="n">
        <v>26</v>
      </c>
      <c r="H65" s="142" t="n">
        <v>51</v>
      </c>
      <c r="I65" s="207" t="n">
        <v>51</v>
      </c>
      <c r="J65" s="19" t="n">
        <f aca="false">SUM(D65:I65)</f>
        <v>229</v>
      </c>
      <c r="K65" s="19" t="n">
        <f aca="false">COUNTIF(D65:I65,"&lt;=49")+COUNTIF(D65:I65,"AB")</f>
        <v>3</v>
      </c>
      <c r="L65" s="19" t="n">
        <f aca="false">COUNTIF(E65:J65,"AB")</f>
        <v>0</v>
      </c>
      <c r="M65" s="39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24.75" hidden="false" customHeight="true" outlineLevel="0" collapsed="false">
      <c r="A66" s="42" t="n">
        <v>56</v>
      </c>
      <c r="B66" s="203" t="n">
        <v>511523205058</v>
      </c>
      <c r="C66" s="204" t="s">
        <v>338</v>
      </c>
      <c r="D66" s="205" t="n">
        <v>60</v>
      </c>
      <c r="E66" s="23" t="n">
        <v>16</v>
      </c>
      <c r="F66" s="23" t="n">
        <v>16</v>
      </c>
      <c r="G66" s="23" t="n">
        <v>37</v>
      </c>
      <c r="H66" s="142" t="n">
        <v>37</v>
      </c>
      <c r="I66" s="207" t="n">
        <v>34</v>
      </c>
      <c r="J66" s="19" t="n">
        <f aca="false">SUM(D66:I66)</f>
        <v>200</v>
      </c>
      <c r="K66" s="19" t="n">
        <f aca="false">COUNTIF(D66:I66,"&lt;=49")+COUNTIF(D66:I66,"AB")</f>
        <v>5</v>
      </c>
      <c r="L66" s="19" t="n">
        <f aca="false">COUNTIF(E66:J66,"AB")</f>
        <v>0</v>
      </c>
      <c r="M66" s="39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24.75" hidden="false" customHeight="true" outlineLevel="0" collapsed="false">
      <c r="A67" s="42" t="n">
        <v>57</v>
      </c>
      <c r="B67" s="203" t="n">
        <v>511523205059</v>
      </c>
      <c r="C67" s="204" t="s">
        <v>339</v>
      </c>
      <c r="D67" s="205" t="n">
        <v>8</v>
      </c>
      <c r="E67" s="23" t="n">
        <v>48</v>
      </c>
      <c r="F67" s="23" t="n">
        <v>32</v>
      </c>
      <c r="G67" s="23" t="n">
        <v>44</v>
      </c>
      <c r="H67" s="142" t="n">
        <v>45</v>
      </c>
      <c r="I67" s="207" t="n">
        <v>56</v>
      </c>
      <c r="J67" s="19" t="n">
        <f aca="false">SUM(D67:I67)</f>
        <v>233</v>
      </c>
      <c r="K67" s="19" t="n">
        <f aca="false">COUNTIF(D67:I67,"&lt;=49")+COUNTIF(D67:I67,"AB")</f>
        <v>5</v>
      </c>
      <c r="L67" s="19" t="n">
        <f aca="false">COUNTIF(E67:J67,"AB")</f>
        <v>0</v>
      </c>
      <c r="M67" s="39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24.75" hidden="false" customHeight="true" outlineLevel="0" collapsed="false">
      <c r="A68" s="42" t="n">
        <v>58</v>
      </c>
      <c r="B68" s="203" t="n">
        <v>511523205060</v>
      </c>
      <c r="C68" s="204" t="s">
        <v>340</v>
      </c>
      <c r="D68" s="205" t="n">
        <v>8</v>
      </c>
      <c r="E68" s="23" t="n">
        <v>23</v>
      </c>
      <c r="F68" s="23" t="n">
        <v>36</v>
      </c>
      <c r="G68" s="23" t="n">
        <v>37</v>
      </c>
      <c r="H68" s="142" t="n">
        <v>57</v>
      </c>
      <c r="I68" s="207" t="n">
        <v>45</v>
      </c>
      <c r="J68" s="19" t="n">
        <f aca="false">SUM(D68:I68)</f>
        <v>206</v>
      </c>
      <c r="K68" s="19" t="n">
        <f aca="false">COUNTIF(D68:I68,"&lt;=49")+COUNTIF(D68:I68,"AB")</f>
        <v>5</v>
      </c>
      <c r="L68" s="19" t="n">
        <f aca="false">COUNTIF(E68:J68,"AB")</f>
        <v>0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24.75" hidden="false" customHeight="true" outlineLevel="0" collapsed="false">
      <c r="A69" s="42" t="n">
        <v>59</v>
      </c>
      <c r="B69" s="203" t="n">
        <v>511523205061</v>
      </c>
      <c r="C69" s="204" t="s">
        <v>341</v>
      </c>
      <c r="D69" s="205" t="n">
        <v>35</v>
      </c>
      <c r="E69" s="23" t="n">
        <v>52</v>
      </c>
      <c r="F69" s="23" t="n">
        <v>54</v>
      </c>
      <c r="G69" s="23" t="n">
        <v>51</v>
      </c>
      <c r="H69" s="142" t="n">
        <v>61</v>
      </c>
      <c r="I69" s="207" t="n">
        <v>77</v>
      </c>
      <c r="J69" s="19" t="n">
        <f aca="false">SUM(D69:I69)</f>
        <v>330</v>
      </c>
      <c r="K69" s="19" t="n">
        <f aca="false">COUNTIF(D69:I69,"&lt;=49")+COUNTIF(D69:I69,"AB")</f>
        <v>1</v>
      </c>
      <c r="L69" s="19" t="n">
        <f aca="false">COUNTIF(E69:J69,"AB")</f>
        <v>0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24.75" hidden="false" customHeight="true" outlineLevel="0" collapsed="false">
      <c r="A70" s="42" t="n">
        <v>60</v>
      </c>
      <c r="B70" s="203" t="n">
        <v>511523205062</v>
      </c>
      <c r="C70" s="204" t="s">
        <v>342</v>
      </c>
      <c r="D70" s="205" t="n">
        <v>8</v>
      </c>
      <c r="E70" s="23" t="n">
        <v>4</v>
      </c>
      <c r="F70" s="23" t="n">
        <v>8</v>
      </c>
      <c r="G70" s="23" t="n">
        <v>12</v>
      </c>
      <c r="H70" s="142" t="n">
        <v>18</v>
      </c>
      <c r="I70" s="207" t="n">
        <v>4</v>
      </c>
      <c r="J70" s="19" t="n">
        <f aca="false">SUM(D70:I70)</f>
        <v>54</v>
      </c>
      <c r="K70" s="19" t="n">
        <f aca="false">COUNTIF(D70:I70,"&lt;=49")+COUNTIF(D70:I70,"AB")</f>
        <v>6</v>
      </c>
      <c r="L70" s="19" t="n">
        <f aca="false">COUNTIF(E70:J70,"AB")</f>
        <v>0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24.75" hidden="false" customHeight="true" outlineLevel="0" collapsed="false">
      <c r="A71" s="99" t="n">
        <v>61</v>
      </c>
      <c r="B71" s="203" t="n">
        <v>511523205063</v>
      </c>
      <c r="C71" s="204" t="s">
        <v>343</v>
      </c>
      <c r="D71" s="205" t="n">
        <v>35</v>
      </c>
      <c r="E71" s="23" t="n">
        <v>14</v>
      </c>
      <c r="F71" s="23" t="n">
        <v>28</v>
      </c>
      <c r="G71" s="216" t="n">
        <v>30</v>
      </c>
      <c r="H71" s="217" t="n">
        <v>52</v>
      </c>
      <c r="I71" s="207" t="n">
        <v>31</v>
      </c>
      <c r="J71" s="19" t="n">
        <f aca="false">SUM(D71:I71)</f>
        <v>190</v>
      </c>
      <c r="K71" s="19" t="n">
        <f aca="false">COUNTIF(D71:I71,"&lt;=49")+COUNTIF(D71:I71,"AB")</f>
        <v>5</v>
      </c>
      <c r="L71" s="19" t="n">
        <f aca="false">COUNTIF(E71:J71,"AB")</f>
        <v>0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24.75" hidden="false" customHeight="true" outlineLevel="0" collapsed="false">
      <c r="A72" s="99" t="n">
        <v>62</v>
      </c>
      <c r="B72" s="203" t="n">
        <v>511523205064</v>
      </c>
      <c r="C72" s="204" t="s">
        <v>344</v>
      </c>
      <c r="D72" s="205" t="s">
        <v>24</v>
      </c>
      <c r="E72" s="23" t="n">
        <v>2</v>
      </c>
      <c r="F72" s="216" t="n">
        <v>16</v>
      </c>
      <c r="G72" s="216" t="n">
        <v>47</v>
      </c>
      <c r="H72" s="217" t="n">
        <v>50</v>
      </c>
      <c r="I72" s="207" t="s">
        <v>24</v>
      </c>
      <c r="J72" s="19" t="n">
        <f aca="false">SUM(D72:I72)</f>
        <v>115</v>
      </c>
      <c r="K72" s="19" t="n">
        <f aca="false">COUNTIF(D72:I72,"&lt;=49")+COUNTIF(D72:I72,"AB")</f>
        <v>5</v>
      </c>
      <c r="L72" s="19" t="n">
        <f aca="false">COUNTIF(E72:J72,"AB")</f>
        <v>1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24.75" hidden="false" customHeight="true" outlineLevel="0" collapsed="false">
      <c r="A73" s="99" t="n">
        <v>63</v>
      </c>
      <c r="B73" s="218" t="n">
        <v>511523205301</v>
      </c>
      <c r="C73" s="219" t="s">
        <v>345</v>
      </c>
      <c r="D73" s="200" t="s">
        <v>24</v>
      </c>
      <c r="E73" s="23" t="n">
        <v>26</v>
      </c>
      <c r="F73" s="216" t="n">
        <v>46</v>
      </c>
      <c r="G73" s="216" t="n">
        <v>46</v>
      </c>
      <c r="H73" s="217" t="n">
        <v>52</v>
      </c>
      <c r="I73" s="207" t="n">
        <v>19</v>
      </c>
      <c r="J73" s="19" t="n">
        <f aca="false">SUM(D73:I73)</f>
        <v>189</v>
      </c>
      <c r="K73" s="19" t="n">
        <f aca="false">COUNTIF(D73:I73,"&lt;=49")+COUNTIF(D73:I73,"AB")</f>
        <v>5</v>
      </c>
      <c r="L73" s="19" t="n">
        <f aca="false">COUNTIF(E73:J73,"AB")</f>
        <v>0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24.75" hidden="false" customHeight="true" outlineLevel="0" collapsed="false">
      <c r="A74" s="99" t="n">
        <v>64</v>
      </c>
      <c r="B74" s="218" t="n">
        <v>511523205701</v>
      </c>
      <c r="C74" s="219" t="s">
        <v>346</v>
      </c>
      <c r="D74" s="200" t="s">
        <v>24</v>
      </c>
      <c r="E74" s="215" t="s">
        <v>24</v>
      </c>
      <c r="F74" s="216" t="n">
        <v>18</v>
      </c>
      <c r="G74" s="216" t="s">
        <v>24</v>
      </c>
      <c r="H74" s="217" t="s">
        <v>24</v>
      </c>
      <c r="I74" s="207" t="n">
        <v>10</v>
      </c>
      <c r="J74" s="19" t="n">
        <f aca="false">SUM(D74:I74)</f>
        <v>28</v>
      </c>
      <c r="K74" s="19" t="n">
        <f aca="false">COUNTIF(D74:I74,"&lt;=49")+COUNTIF(D74:I74,"AB")</f>
        <v>6</v>
      </c>
      <c r="L74" s="19" t="n">
        <f aca="false">COUNTIF(E74:J74,"AB")</f>
        <v>3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37.5" hidden="false" customHeight="true" outlineLevel="0" collapsed="false">
      <c r="A75" s="99"/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44" t="s">
        <v>76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24.75" hidden="false" customHeight="true" outlineLevel="0" collapsed="false">
      <c r="A76" s="45" t="s">
        <v>77</v>
      </c>
      <c r="B76" s="45"/>
      <c r="C76" s="45"/>
      <c r="D76" s="24" t="n">
        <v>64</v>
      </c>
      <c r="E76" s="24" t="n">
        <v>64</v>
      </c>
      <c r="F76" s="24" t="n">
        <v>64</v>
      </c>
      <c r="G76" s="24" t="n">
        <v>64</v>
      </c>
      <c r="H76" s="24" t="n">
        <v>64</v>
      </c>
      <c r="I76" s="24" t="n">
        <v>64</v>
      </c>
      <c r="J76" s="46" t="s">
        <v>78</v>
      </c>
      <c r="K76" s="46" t="n">
        <f aca="false">COUNTIF(K11:K70,"1")</f>
        <v>6</v>
      </c>
      <c r="L76" s="47" t="n">
        <f aca="false">COUNTIF(K11:K74,"0")</f>
        <v>7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24.75" hidden="false" customHeight="true" outlineLevel="0" collapsed="false">
      <c r="A77" s="48" t="s">
        <v>79</v>
      </c>
      <c r="B77" s="48"/>
      <c r="C77" s="48"/>
      <c r="D77" s="24" t="n">
        <f aca="false">COUNT(D11:D74,"!AB")</f>
        <v>47</v>
      </c>
      <c r="E77" s="24" t="n">
        <f aca="false">COUNT(E11:E74,"!AB")</f>
        <v>58</v>
      </c>
      <c r="F77" s="24" t="n">
        <f aca="false">COUNT(F11:F74,"!AB")</f>
        <v>57</v>
      </c>
      <c r="G77" s="24" t="n">
        <f aca="false">COUNT(G11:G74,"!AB")</f>
        <v>57</v>
      </c>
      <c r="H77" s="24" t="n">
        <f aca="false">COUNT(H11:H74,"!AB")</f>
        <v>59</v>
      </c>
      <c r="I77" s="24" t="n">
        <f aca="false">COUNT(I11:I74,"!AB")</f>
        <v>57</v>
      </c>
      <c r="J77" s="46" t="s">
        <v>80</v>
      </c>
      <c r="K77" s="46" t="n">
        <f aca="false">COUNTIF(K12:K70,"2")</f>
        <v>3</v>
      </c>
      <c r="L77" s="47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24.75" hidden="false" customHeight="true" outlineLevel="0" collapsed="false">
      <c r="A78" s="48" t="s">
        <v>81</v>
      </c>
      <c r="B78" s="48"/>
      <c r="C78" s="48"/>
      <c r="D78" s="24" t="n">
        <f aca="false">COUNTIF(D11:D70,"AB")</f>
        <v>14</v>
      </c>
      <c r="E78" s="24" t="n">
        <f aca="false">COUNTIF(E11:E74,"AB")</f>
        <v>6</v>
      </c>
      <c r="F78" s="24" t="n">
        <v>3</v>
      </c>
      <c r="G78" s="24" t="n">
        <f aca="false">COUNTIF(G11:G70,"AB")</f>
        <v>6</v>
      </c>
      <c r="H78" s="24" t="n">
        <f aca="false">COUNTIF(H11:H70,"AB")</f>
        <v>4</v>
      </c>
      <c r="I78" s="24" t="n">
        <v>7</v>
      </c>
      <c r="J78" s="46" t="s">
        <v>82</v>
      </c>
      <c r="K78" s="46" t="n">
        <f aca="false">COUNTIF(K13:K70,"3")</f>
        <v>14</v>
      </c>
      <c r="L78" s="47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24.75" hidden="false" customHeight="true" outlineLevel="0" collapsed="false">
      <c r="A79" s="48" t="s">
        <v>83</v>
      </c>
      <c r="B79" s="48"/>
      <c r="C79" s="48"/>
      <c r="D79" s="24" t="n">
        <f aca="false">COUNTIF(D11:D70,"OD")</f>
        <v>0</v>
      </c>
      <c r="E79" s="24" t="n">
        <f aca="false">COUNTIF(E11:E70,"OD")</f>
        <v>0</v>
      </c>
      <c r="F79" s="24" t="n">
        <f aca="false">COUNTIF(F11:F70,"OD")</f>
        <v>0</v>
      </c>
      <c r="G79" s="24" t="n">
        <f aca="false">COUNTIF(G11:G70,"OD")</f>
        <v>0</v>
      </c>
      <c r="H79" s="24" t="n">
        <f aca="false">COUNTIF(H11:H70,"OD")</f>
        <v>0</v>
      </c>
      <c r="I79" s="24" t="n">
        <f aca="false">COUNTIF(I11:I70,"OD")</f>
        <v>0</v>
      </c>
      <c r="J79" s="13" t="s">
        <v>84</v>
      </c>
      <c r="K79" s="46" t="n">
        <f aca="false">COUNTIF(K14:K70,"4")</f>
        <v>12</v>
      </c>
      <c r="L79" s="47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24.75" hidden="false" customHeight="true" outlineLevel="0" collapsed="false">
      <c r="A80" s="48" t="s">
        <v>85</v>
      </c>
      <c r="B80" s="48"/>
      <c r="C80" s="48"/>
      <c r="D80" s="24" t="n">
        <f aca="false">COUNTIF(D11:D70,"&gt;=50")</f>
        <v>10</v>
      </c>
      <c r="E80" s="24" t="n">
        <f aca="false">COUNTIF(E11:E74,"&gt;=50")</f>
        <v>17</v>
      </c>
      <c r="F80" s="24" t="n">
        <f aca="false">COUNTIF(F11:F70,"&gt;=50")</f>
        <v>26</v>
      </c>
      <c r="G80" s="24" t="n">
        <f aca="false">COUNTIF(G11:G70,"&gt;=50")</f>
        <v>22</v>
      </c>
      <c r="H80" s="24" t="n">
        <f aca="false">COUNTIF(H11:H70,"&gt;=50")</f>
        <v>44</v>
      </c>
      <c r="I80" s="24" t="n">
        <v>42</v>
      </c>
      <c r="J80" s="46" t="s">
        <v>86</v>
      </c>
      <c r="K80" s="46" t="n">
        <f aca="false">COUNTIF(K15:K70,"5")</f>
        <v>11</v>
      </c>
      <c r="L80" s="47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24.75" hidden="false" customHeight="true" outlineLevel="0" collapsed="false">
      <c r="A81" s="48" t="s">
        <v>87</v>
      </c>
      <c r="B81" s="48"/>
      <c r="C81" s="48"/>
      <c r="D81" s="24" t="n">
        <f aca="false">COUNTIF(D11:D70,"&lt;=49")</f>
        <v>36</v>
      </c>
      <c r="E81" s="24" t="n">
        <f aca="false">COUNTIF(E11:E74,"&lt;=49")</f>
        <v>41</v>
      </c>
      <c r="F81" s="24" t="n">
        <f aca="false">COUNTIF(F11:F70,"&lt;=49")</f>
        <v>27</v>
      </c>
      <c r="G81" s="24" t="n">
        <f aca="false">COUNTIF(G11:G70,"&lt;=49")</f>
        <v>32</v>
      </c>
      <c r="H81" s="24" t="n">
        <f aca="false">COUNTIF(H11:H70,"&lt;=49")</f>
        <v>12</v>
      </c>
      <c r="I81" s="24" t="n">
        <v>15</v>
      </c>
      <c r="J81" s="49" t="s">
        <v>88</v>
      </c>
      <c r="K81" s="46" t="n">
        <f aca="false">COUNTIF(K16:K70,"6")</f>
        <v>6</v>
      </c>
      <c r="L81" s="47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24.75" hidden="false" customHeight="true" outlineLevel="0" collapsed="false">
      <c r="A82" s="50" t="s">
        <v>89</v>
      </c>
      <c r="B82" s="50"/>
      <c r="C82" s="50"/>
      <c r="D82" s="51" t="n">
        <f aca="false">D80/D77</f>
        <v>0.212765957446809</v>
      </c>
      <c r="E82" s="51" t="n">
        <f aca="false">E80/E77</f>
        <v>0.293103448275862</v>
      </c>
      <c r="F82" s="51" t="n">
        <f aca="false">F80/F77</f>
        <v>0.456140350877193</v>
      </c>
      <c r="G82" s="51" t="n">
        <f aca="false">G80/G77</f>
        <v>0.385964912280702</v>
      </c>
      <c r="H82" s="51" t="n">
        <f aca="false">H80/H77</f>
        <v>0.745762711864407</v>
      </c>
      <c r="I82" s="51" t="n">
        <f aca="false">I80/I77</f>
        <v>0.736842105263158</v>
      </c>
      <c r="J82" s="46" t="s">
        <v>90</v>
      </c>
      <c r="K82" s="220" t="n">
        <f aca="false">L76/64*100</f>
        <v>10.9375</v>
      </c>
      <c r="L82" s="47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56.25" hidden="false" customHeight="true" outlineLevel="0" collapsed="false">
      <c r="B83" s="54" t="s">
        <v>92</v>
      </c>
      <c r="C83" s="55" t="s">
        <v>93</v>
      </c>
      <c r="D83" s="56" t="s">
        <v>94</v>
      </c>
      <c r="E83" s="57"/>
      <c r="F83" s="58" t="s">
        <v>95</v>
      </c>
      <c r="G83" s="56"/>
      <c r="H83" s="57"/>
      <c r="I83" s="60" t="s">
        <v>96</v>
      </c>
      <c r="J83" s="61"/>
      <c r="K83" s="62" t="s">
        <v>97</v>
      </c>
      <c r="L83" s="63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56.25" hidden="false" customHeight="true" outlineLevel="0" collapsed="false">
      <c r="A84" s="64" t="n">
        <v>1</v>
      </c>
      <c r="B84" s="65" t="s">
        <v>98</v>
      </c>
      <c r="C84" s="66" t="s">
        <v>184</v>
      </c>
      <c r="D84" s="67" t="n">
        <f aca="false">D77</f>
        <v>47</v>
      </c>
      <c r="E84" s="71"/>
      <c r="F84" s="69" t="n">
        <f aca="false">D78</f>
        <v>14</v>
      </c>
      <c r="G84" s="67"/>
      <c r="H84" s="71"/>
      <c r="I84" s="69" t="n">
        <f aca="false">D80</f>
        <v>10</v>
      </c>
      <c r="J84" s="71"/>
      <c r="K84" s="72" t="n">
        <f aca="false">I84/D84*100</f>
        <v>21.2765957446809</v>
      </c>
      <c r="L84" s="63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39.75" hidden="false" customHeight="true" outlineLevel="0" collapsed="false">
      <c r="A85" s="64" t="n">
        <v>2</v>
      </c>
      <c r="B85" s="65" t="s">
        <v>100</v>
      </c>
      <c r="C85" s="66" t="s">
        <v>101</v>
      </c>
      <c r="D85" s="73" t="n">
        <f aca="false">E77</f>
        <v>58</v>
      </c>
      <c r="E85" s="71"/>
      <c r="F85" s="69" t="n">
        <f aca="false">E78</f>
        <v>6</v>
      </c>
      <c r="G85" s="67"/>
      <c r="H85" s="71"/>
      <c r="I85" s="69" t="n">
        <f aca="false">E80</f>
        <v>17</v>
      </c>
      <c r="J85" s="71"/>
      <c r="K85" s="72" t="n">
        <f aca="false">I85/D85*100</f>
        <v>29.3103448275862</v>
      </c>
      <c r="L85" s="63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45" hidden="false" customHeight="true" outlineLevel="0" collapsed="false">
      <c r="A86" s="64" t="n">
        <v>3</v>
      </c>
      <c r="B86" s="65" t="s">
        <v>102</v>
      </c>
      <c r="C86" s="66" t="s">
        <v>103</v>
      </c>
      <c r="D86" s="67" t="n">
        <f aca="false">F77</f>
        <v>57</v>
      </c>
      <c r="E86" s="71"/>
      <c r="F86" s="69" t="n">
        <f aca="false">F78</f>
        <v>3</v>
      </c>
      <c r="G86" s="67"/>
      <c r="H86" s="71"/>
      <c r="I86" s="69" t="n">
        <f aca="false">F80</f>
        <v>26</v>
      </c>
      <c r="J86" s="71"/>
      <c r="K86" s="72" t="n">
        <f aca="false">I86/D86*100</f>
        <v>45.6140350877193</v>
      </c>
      <c r="L86" s="63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60.75" hidden="false" customHeight="true" outlineLevel="0" collapsed="false">
      <c r="A87" s="64" t="n">
        <v>4</v>
      </c>
      <c r="B87" s="75" t="s">
        <v>347</v>
      </c>
      <c r="C87" s="66" t="s">
        <v>348</v>
      </c>
      <c r="D87" s="67" t="n">
        <f aca="false">G77</f>
        <v>57</v>
      </c>
      <c r="E87" s="71"/>
      <c r="F87" s="69" t="n">
        <f aca="false">G78</f>
        <v>6</v>
      </c>
      <c r="G87" s="67"/>
      <c r="H87" s="71"/>
      <c r="I87" s="69" t="n">
        <f aca="false">G80</f>
        <v>22</v>
      </c>
      <c r="J87" s="71"/>
      <c r="K87" s="72" t="n">
        <f aca="false">I87/D87*100</f>
        <v>38.5964912280702</v>
      </c>
      <c r="L87" s="63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45" hidden="false" customHeight="true" outlineLevel="0" collapsed="false">
      <c r="A88" s="64" t="n">
        <v>5</v>
      </c>
      <c r="B88" s="65" t="s">
        <v>106</v>
      </c>
      <c r="C88" s="66" t="s">
        <v>349</v>
      </c>
      <c r="D88" s="67" t="n">
        <f aca="false">H77</f>
        <v>59</v>
      </c>
      <c r="E88" s="71"/>
      <c r="F88" s="69" t="n">
        <f aca="false">H78</f>
        <v>4</v>
      </c>
      <c r="G88" s="67"/>
      <c r="H88" s="71"/>
      <c r="I88" s="69" t="n">
        <f aca="false">H80</f>
        <v>44</v>
      </c>
      <c r="J88" s="71"/>
      <c r="K88" s="74" t="n">
        <f aca="false">I88/D88*100</f>
        <v>74.5762711864407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63.75" hidden="false" customHeight="true" outlineLevel="0" collapsed="false">
      <c r="A89" s="76" t="n">
        <v>6</v>
      </c>
      <c r="B89" s="65" t="s">
        <v>108</v>
      </c>
      <c r="C89" s="66" t="s">
        <v>350</v>
      </c>
      <c r="D89" s="69" t="n">
        <f aca="false">I77</f>
        <v>57</v>
      </c>
      <c r="E89" s="221"/>
      <c r="F89" s="69" t="n">
        <f aca="false">I78</f>
        <v>7</v>
      </c>
      <c r="G89" s="67"/>
      <c r="H89" s="221"/>
      <c r="I89" s="69" t="n">
        <f aca="false">I80</f>
        <v>42</v>
      </c>
      <c r="J89" s="221"/>
      <c r="K89" s="74" t="n">
        <f aca="false">I89/D89*100</f>
        <v>73.6842105263158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78"/>
      <c r="C90" s="79"/>
      <c r="D90" s="78"/>
      <c r="E90" s="78"/>
      <c r="F90" s="78"/>
      <c r="G90" s="78"/>
      <c r="H90" s="78"/>
      <c r="I90" s="78"/>
      <c r="J90" s="78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80" t="s">
        <v>110</v>
      </c>
      <c r="C121" s="80"/>
      <c r="D121" s="2"/>
      <c r="E121" s="81" t="s">
        <v>111</v>
      </c>
      <c r="F121" s="81"/>
      <c r="G121" s="81"/>
      <c r="H121" s="81"/>
      <c r="I121" s="81" t="s">
        <v>112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" hidden="false" customHeight="true" outlineLevel="0" collapsed="false">
      <c r="B994" s="2"/>
      <c r="C994" s="3"/>
      <c r="D994" s="2"/>
      <c r="E994" s="2"/>
      <c r="F994" s="2"/>
      <c r="G994" s="2"/>
      <c r="H994" s="2"/>
      <c r="I994" s="2"/>
      <c r="J994" s="2"/>
      <c r="K994" s="2"/>
    </row>
  </sheetData>
  <mergeCells count="17">
    <mergeCell ref="A7:J7"/>
    <mergeCell ref="A9:A10"/>
    <mergeCell ref="B9:B10"/>
    <mergeCell ref="C9:C10"/>
    <mergeCell ref="J9:J10"/>
    <mergeCell ref="K9:K10"/>
    <mergeCell ref="L9:L10"/>
    <mergeCell ref="A75:K75"/>
    <mergeCell ref="A76:C76"/>
    <mergeCell ref="L76:L82"/>
    <mergeCell ref="A77:C77"/>
    <mergeCell ref="A78:C78"/>
    <mergeCell ref="A79:C79"/>
    <mergeCell ref="A80:C80"/>
    <mergeCell ref="A81:C81"/>
    <mergeCell ref="A82:C82"/>
    <mergeCell ref="B121:C121"/>
  </mergeCells>
  <conditionalFormatting sqref="J11:J74 J76:J78 J80:J82">
    <cfRule type="cellIs" priority="2" operator="lessThan" aboveAverage="0" equalAverage="0" bottom="0" percent="0" rank="0" text="" dxfId="2">
      <formula>50</formula>
    </cfRule>
  </conditionalFormatting>
  <conditionalFormatting sqref="J11:J74 J76:J78 J80:J82">
    <cfRule type="cellIs" priority="3" operator="equal" aboveAverage="0" equalAverage="0" bottom="0" percent="0" rank="0" text="" dxfId="2">
      <formula>"AB"</formula>
    </cfRule>
  </conditionalFormatting>
  <printOptions headings="false" gridLines="true" gridLinesSet="true" horizontalCentered="true" verticalCentered="false"/>
  <pageMargins left="0.7" right="0.7" top="0.75" bottom="0.75" header="0.511811023622047" footer="0.511811023622047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X9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9.25"/>
    <col collapsed="false" customWidth="true" hidden="false" outlineLevel="0" max="2" min="2" style="0" width="17.88"/>
    <col collapsed="false" customWidth="true" hidden="false" outlineLevel="0" max="3" min="3" style="0" width="20.51"/>
    <col collapsed="false" customWidth="true" hidden="false" outlineLevel="0" max="5" min="4" style="0" width="14.51"/>
    <col collapsed="false" customWidth="true" hidden="false" outlineLevel="0" max="6" min="6" style="0" width="14"/>
    <col collapsed="false" customWidth="true" hidden="false" outlineLevel="0" max="8" min="7" style="0" width="13.88"/>
    <col collapsed="false" customWidth="true" hidden="false" outlineLevel="0" max="9" min="9" style="0" width="16"/>
    <col collapsed="false" customWidth="true" hidden="false" outlineLevel="0" max="10" min="10" style="0" width="16.12"/>
  </cols>
  <sheetData>
    <row r="1" customFormat="false" ht="15.75" hidden="false" customHeight="true" outlineLevel="0" collapsed="false">
      <c r="A1" s="2"/>
      <c r="B1" s="2"/>
      <c r="C1" s="2"/>
      <c r="D1" s="222"/>
      <c r="E1" s="222"/>
      <c r="F1" s="222"/>
      <c r="G1" s="222"/>
      <c r="H1" s="222"/>
      <c r="I1" s="22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.75" hidden="false" customHeight="true" outlineLevel="0" collapsed="false">
      <c r="A2" s="2"/>
      <c r="B2" s="2"/>
      <c r="C2" s="2"/>
      <c r="D2" s="222"/>
      <c r="E2" s="222"/>
      <c r="F2" s="222"/>
      <c r="G2" s="222"/>
      <c r="H2" s="222"/>
      <c r="I2" s="22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.75" hidden="false" customHeight="true" outlineLevel="0" collapsed="false">
      <c r="A3" s="2"/>
      <c r="B3" s="2"/>
      <c r="C3" s="2"/>
      <c r="D3" s="222"/>
      <c r="E3" s="222"/>
      <c r="F3" s="222"/>
      <c r="G3" s="222"/>
      <c r="H3" s="222"/>
      <c r="I3" s="22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5.75" hidden="false" customHeight="true" outlineLevel="0" collapsed="false">
      <c r="A4" s="2"/>
      <c r="B4" s="2"/>
      <c r="C4" s="2"/>
      <c r="D4" s="222"/>
      <c r="E4" s="222"/>
      <c r="F4" s="222"/>
      <c r="G4" s="222"/>
      <c r="H4" s="222"/>
      <c r="I4" s="22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5.75" hidden="false" customHeight="true" outlineLevel="0" collapsed="false">
      <c r="A5" s="2"/>
      <c r="B5" s="2"/>
      <c r="C5" s="2"/>
      <c r="D5" s="222"/>
      <c r="E5" s="222"/>
      <c r="F5" s="222"/>
      <c r="G5" s="222"/>
      <c r="H5" s="222"/>
      <c r="I5" s="22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5.75" hidden="false" customHeight="true" outlineLevel="0" collapsed="false">
      <c r="A6" s="2"/>
      <c r="B6" s="2"/>
      <c r="C6" s="2"/>
      <c r="D6" s="222"/>
      <c r="E6" s="222"/>
      <c r="F6" s="222"/>
      <c r="G6" s="222"/>
      <c r="H6" s="222"/>
      <c r="I6" s="22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5.75" hidden="false" customHeight="true" outlineLevel="0" collapsed="false">
      <c r="A7" s="4" t="s">
        <v>277</v>
      </c>
      <c r="B7" s="4"/>
      <c r="C7" s="4"/>
      <c r="D7" s="4"/>
      <c r="E7" s="4"/>
      <c r="F7" s="4"/>
      <c r="G7" s="4"/>
      <c r="H7" s="4"/>
      <c r="I7" s="4"/>
      <c r="J7" s="4"/>
      <c r="K7" s="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15.75" hidden="false" customHeight="true" outlineLevel="0" collapsed="false">
      <c r="A8" s="6" t="s">
        <v>1</v>
      </c>
      <c r="B8" s="6"/>
      <c r="C8" s="6"/>
      <c r="D8" s="223"/>
      <c r="E8" s="9" t="s">
        <v>2</v>
      </c>
      <c r="F8" s="224"/>
      <c r="G8" s="224"/>
      <c r="H8" s="224" t="s">
        <v>351</v>
      </c>
      <c r="I8" s="225" t="s">
        <v>352</v>
      </c>
      <c r="J8" s="226"/>
      <c r="K8" s="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21.75" hidden="false" customHeight="true" outlineLevel="0" collapsed="false">
      <c r="A9" s="11" t="s">
        <v>5</v>
      </c>
      <c r="B9" s="11" t="s">
        <v>6</v>
      </c>
      <c r="C9" s="12" t="s">
        <v>7</v>
      </c>
      <c r="D9" s="227"/>
      <c r="E9" s="227"/>
      <c r="F9" s="227"/>
      <c r="G9" s="227"/>
      <c r="H9" s="227"/>
      <c r="I9" s="228"/>
      <c r="J9" s="14" t="s">
        <v>8</v>
      </c>
      <c r="K9" s="15" t="s">
        <v>9</v>
      </c>
      <c r="L9" s="16" t="s">
        <v>10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85.5" hidden="false" customHeight="true" outlineLevel="0" collapsed="false">
      <c r="A10" s="11"/>
      <c r="B10" s="11"/>
      <c r="C10" s="11"/>
      <c r="D10" s="229" t="s">
        <v>353</v>
      </c>
      <c r="E10" s="229" t="s">
        <v>354</v>
      </c>
      <c r="F10" s="229" t="s">
        <v>355</v>
      </c>
      <c r="G10" s="230" t="s">
        <v>356</v>
      </c>
      <c r="H10" s="229" t="s">
        <v>357</v>
      </c>
      <c r="I10" s="229"/>
      <c r="J10" s="14"/>
      <c r="K10" s="14"/>
      <c r="L10" s="14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24.75" hidden="false" customHeight="true" outlineLevel="0" collapsed="false">
      <c r="A11" s="42" t="n">
        <v>1</v>
      </c>
      <c r="B11" s="90" t="n">
        <v>511522205001</v>
      </c>
      <c r="C11" s="90" t="s">
        <v>358</v>
      </c>
      <c r="D11" s="231" t="n">
        <v>21</v>
      </c>
      <c r="E11" s="231" t="n">
        <v>47</v>
      </c>
      <c r="F11" s="231" t="n">
        <v>5</v>
      </c>
      <c r="G11" s="231" t="n">
        <v>28</v>
      </c>
      <c r="H11" s="231"/>
      <c r="I11" s="231"/>
      <c r="J11" s="19" t="n">
        <f aca="false">SUM(D11:I11)</f>
        <v>101</v>
      </c>
      <c r="K11" s="19" t="n">
        <f aca="false">COUNTIF(D11:I11,"&lt;=49")+COUNTIF(D11:I11,"AB")</f>
        <v>4</v>
      </c>
      <c r="L11" s="19" t="n">
        <f aca="false">COUNTIF(C11:J11,"AB")</f>
        <v>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24.75" hidden="false" customHeight="true" outlineLevel="0" collapsed="false">
      <c r="A12" s="42" t="n">
        <v>2</v>
      </c>
      <c r="B12" s="90" t="n">
        <v>511522205002</v>
      </c>
      <c r="C12" s="90" t="s">
        <v>359</v>
      </c>
      <c r="D12" s="232" t="n">
        <v>35</v>
      </c>
      <c r="E12" s="231" t="n">
        <v>70</v>
      </c>
      <c r="F12" s="231" t="n">
        <v>57</v>
      </c>
      <c r="G12" s="231" t="n">
        <v>27</v>
      </c>
      <c r="H12" s="231"/>
      <c r="I12" s="231"/>
      <c r="J12" s="19" t="n">
        <f aca="false">SUM(D12:I12)</f>
        <v>189</v>
      </c>
      <c r="K12" s="19" t="n">
        <f aca="false">COUNTIF(D12:I12,"&lt;=49")+COUNTIF(D12:I12,"AB")</f>
        <v>2</v>
      </c>
      <c r="L12" s="19" t="n">
        <f aca="false">COUNTIF(E12:J12,"AB")</f>
        <v>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24.75" hidden="false" customHeight="true" outlineLevel="0" collapsed="false">
      <c r="A13" s="42" t="n">
        <v>3</v>
      </c>
      <c r="B13" s="90" t="n">
        <v>511522205003</v>
      </c>
      <c r="C13" s="90" t="s">
        <v>360</v>
      </c>
      <c r="D13" s="233" t="n">
        <v>42</v>
      </c>
      <c r="E13" s="231" t="n">
        <v>80</v>
      </c>
      <c r="F13" s="231" t="n">
        <v>63</v>
      </c>
      <c r="G13" s="231" t="n">
        <v>39</v>
      </c>
      <c r="H13" s="231"/>
      <c r="I13" s="231"/>
      <c r="J13" s="19" t="n">
        <f aca="false">SUM(D13:I13)</f>
        <v>224</v>
      </c>
      <c r="K13" s="19" t="n">
        <f aca="false">COUNTIF(D13:I13,"&lt;=49")+COUNTIF(D13:I13,"AB")</f>
        <v>2</v>
      </c>
      <c r="L13" s="19" t="n">
        <f aca="false">COUNTIF(E13:J13,"AB")</f>
        <v>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24.75" hidden="false" customHeight="true" outlineLevel="0" collapsed="false">
      <c r="A14" s="42" t="n">
        <v>4</v>
      </c>
      <c r="B14" s="90" t="n">
        <v>511522205004</v>
      </c>
      <c r="C14" s="90" t="s">
        <v>361</v>
      </c>
      <c r="D14" s="233" t="s">
        <v>362</v>
      </c>
      <c r="E14" s="231" t="s">
        <v>24</v>
      </c>
      <c r="F14" s="231" t="s">
        <v>24</v>
      </c>
      <c r="G14" s="231" t="s">
        <v>24</v>
      </c>
      <c r="H14" s="231"/>
      <c r="I14" s="231"/>
      <c r="J14" s="19" t="n">
        <f aca="false">SUM(D14:I14)</f>
        <v>0</v>
      </c>
      <c r="K14" s="19" t="n">
        <f aca="false">COUNTIF(D14:I14,"&lt;=49")+COUNTIF(D14:I14,"AB")</f>
        <v>4</v>
      </c>
      <c r="L14" s="19" t="n">
        <f aca="false">COUNTIF(E14:J14,"AB")</f>
        <v>3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24.75" hidden="false" customHeight="true" outlineLevel="0" collapsed="false">
      <c r="A15" s="42" t="n">
        <v>5</v>
      </c>
      <c r="B15" s="90" t="n">
        <v>511522205006</v>
      </c>
      <c r="C15" s="90" t="s">
        <v>363</v>
      </c>
      <c r="D15" s="233" t="n">
        <v>29</v>
      </c>
      <c r="E15" s="231" t="n">
        <v>35</v>
      </c>
      <c r="F15" s="231" t="n">
        <v>14</v>
      </c>
      <c r="G15" s="231" t="n">
        <v>27</v>
      </c>
      <c r="H15" s="231"/>
      <c r="I15" s="231"/>
      <c r="J15" s="19" t="n">
        <f aca="false">SUM(D15:I15)</f>
        <v>105</v>
      </c>
      <c r="K15" s="19" t="n">
        <f aca="false">COUNTIF(D15:I15,"&lt;=49")+COUNTIF(D15:I15,"AB")</f>
        <v>4</v>
      </c>
      <c r="L15" s="19" t="n">
        <f aca="false">COUNTIF(E15:J15,"AB")</f>
        <v>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Format="false" ht="33.75" hidden="false" customHeight="true" outlineLevel="0" collapsed="false">
      <c r="A16" s="42" t="n">
        <v>6</v>
      </c>
      <c r="B16" s="90" t="n">
        <v>511522205007</v>
      </c>
      <c r="C16" s="90" t="s">
        <v>364</v>
      </c>
      <c r="D16" s="233" t="n">
        <v>20</v>
      </c>
      <c r="E16" s="231" t="n">
        <v>52</v>
      </c>
      <c r="F16" s="231" t="n">
        <v>10</v>
      </c>
      <c r="G16" s="231" t="n">
        <v>23</v>
      </c>
      <c r="H16" s="231"/>
      <c r="I16" s="231"/>
      <c r="J16" s="19" t="n">
        <f aca="false">SUM(D16:I16)</f>
        <v>105</v>
      </c>
      <c r="K16" s="19" t="n">
        <f aca="false">COUNTIF(D16:I16,"&lt;=49")+COUNTIF(D16:I16,"AB")</f>
        <v>3</v>
      </c>
      <c r="L16" s="19" t="n">
        <f aca="false">COUNTIF(E16:J16,"AB")</f>
        <v>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Format="false" ht="24.75" hidden="false" customHeight="true" outlineLevel="0" collapsed="false">
      <c r="A17" s="42" t="n">
        <v>7</v>
      </c>
      <c r="B17" s="90" t="n">
        <v>511522205008</v>
      </c>
      <c r="C17" s="90" t="s">
        <v>365</v>
      </c>
      <c r="D17" s="233" t="n">
        <v>14</v>
      </c>
      <c r="E17" s="231" t="n">
        <v>50</v>
      </c>
      <c r="F17" s="231" t="n">
        <v>22</v>
      </c>
      <c r="G17" s="231" t="n">
        <v>29</v>
      </c>
      <c r="H17" s="231"/>
      <c r="I17" s="231"/>
      <c r="J17" s="19" t="n">
        <f aca="false">SUM(D17:I17)</f>
        <v>115</v>
      </c>
      <c r="K17" s="19" t="n">
        <f aca="false">COUNTIF(D17:I17,"&lt;=49")+COUNTIF(D17:I17,"AB")</f>
        <v>3</v>
      </c>
      <c r="L17" s="19" t="n">
        <f aca="false">COUNTIF(E17:J17,"AB")</f>
        <v>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24.75" hidden="false" customHeight="true" outlineLevel="0" collapsed="false">
      <c r="A18" s="42" t="n">
        <v>8</v>
      </c>
      <c r="B18" s="90" t="n">
        <v>511522205009</v>
      </c>
      <c r="C18" s="90" t="s">
        <v>366</v>
      </c>
      <c r="D18" s="233" t="n">
        <v>77</v>
      </c>
      <c r="E18" s="231" t="n">
        <v>80</v>
      </c>
      <c r="F18" s="231" t="n">
        <v>56</v>
      </c>
      <c r="G18" s="231" t="n">
        <v>50</v>
      </c>
      <c r="H18" s="231"/>
      <c r="I18" s="231"/>
      <c r="J18" s="19" t="n">
        <f aca="false">SUM(D18:I18)</f>
        <v>263</v>
      </c>
      <c r="K18" s="19" t="n">
        <f aca="false">COUNTIF(D18:I18,"&lt;=49")+COUNTIF(D18:I18,"AB")</f>
        <v>0</v>
      </c>
      <c r="L18" s="19" t="n">
        <f aca="false">COUNTIF(E18:J18,"AB")</f>
        <v>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Format="false" ht="24.75" hidden="false" customHeight="true" outlineLevel="0" collapsed="false">
      <c r="A19" s="42" t="n">
        <v>9</v>
      </c>
      <c r="B19" s="90" t="n">
        <v>511522205010</v>
      </c>
      <c r="C19" s="90" t="s">
        <v>367</v>
      </c>
      <c r="D19" s="233" t="n">
        <v>38</v>
      </c>
      <c r="E19" s="231" t="n">
        <v>65</v>
      </c>
      <c r="F19" s="231" t="n">
        <v>29</v>
      </c>
      <c r="G19" s="231" t="n">
        <v>51</v>
      </c>
      <c r="H19" s="231"/>
      <c r="I19" s="231"/>
      <c r="J19" s="19" t="n">
        <f aca="false">SUM(D19:I19)</f>
        <v>183</v>
      </c>
      <c r="K19" s="19" t="n">
        <f aca="false">COUNTIF(D19:I19,"&lt;=49")+COUNTIF(D19:I19,"AB")</f>
        <v>2</v>
      </c>
      <c r="L19" s="19" t="n">
        <f aca="false">COUNTIF(E19:J19,"AB")</f>
        <v>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Format="false" ht="24.75" hidden="false" customHeight="true" outlineLevel="0" collapsed="false">
      <c r="A20" s="42" t="n">
        <v>10</v>
      </c>
      <c r="B20" s="90" t="n">
        <v>511522205011</v>
      </c>
      <c r="C20" s="90" t="s">
        <v>368</v>
      </c>
      <c r="D20" s="233" t="n">
        <v>84</v>
      </c>
      <c r="E20" s="231" t="n">
        <v>80</v>
      </c>
      <c r="F20" s="231" t="n">
        <v>67</v>
      </c>
      <c r="G20" s="231" t="n">
        <v>53</v>
      </c>
      <c r="H20" s="231"/>
      <c r="I20" s="231"/>
      <c r="J20" s="19" t="n">
        <f aca="false">SUM(D20:I20)</f>
        <v>284</v>
      </c>
      <c r="K20" s="19" t="n">
        <f aca="false">COUNTIF(D20:I20,"&lt;=49")+COUNTIF(D20:I20,"AB")</f>
        <v>0</v>
      </c>
      <c r="L20" s="19" t="n">
        <f aca="false">COUNTIF(E20:J20,"AB")</f>
        <v>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Format="false" ht="24.75" hidden="false" customHeight="true" outlineLevel="0" collapsed="false">
      <c r="A21" s="42" t="n">
        <v>11</v>
      </c>
      <c r="B21" s="90" t="n">
        <v>511522205012</v>
      </c>
      <c r="C21" s="90" t="s">
        <v>369</v>
      </c>
      <c r="D21" s="233" t="n">
        <v>79</v>
      </c>
      <c r="E21" s="231" t="n">
        <v>75</v>
      </c>
      <c r="F21" s="231" t="n">
        <v>63</v>
      </c>
      <c r="G21" s="231" t="n">
        <v>62</v>
      </c>
      <c r="H21" s="231"/>
      <c r="I21" s="231"/>
      <c r="J21" s="19" t="n">
        <f aca="false">SUM(D21:I21)</f>
        <v>279</v>
      </c>
      <c r="K21" s="19" t="n">
        <f aca="false">COUNTIF(D21:I21,"&lt;=49")+COUNTIF(D21:I21,"AB")</f>
        <v>0</v>
      </c>
      <c r="L21" s="19" t="n">
        <f aca="false">COUNTIF(E21:J21,"AB")</f>
        <v>0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customFormat="false" ht="24.75" hidden="false" customHeight="true" outlineLevel="0" collapsed="false">
      <c r="A22" s="42" t="n">
        <v>12</v>
      </c>
      <c r="B22" s="90" t="n">
        <v>511522205013</v>
      </c>
      <c r="C22" s="90" t="s">
        <v>370</v>
      </c>
      <c r="D22" s="233" t="n">
        <v>27</v>
      </c>
      <c r="E22" s="231" t="s">
        <v>24</v>
      </c>
      <c r="F22" s="231" t="n">
        <v>6</v>
      </c>
      <c r="G22" s="231" t="n">
        <v>29</v>
      </c>
      <c r="H22" s="231"/>
      <c r="I22" s="231"/>
      <c r="J22" s="19" t="n">
        <f aca="false">SUM(D22:I22)</f>
        <v>62</v>
      </c>
      <c r="K22" s="19" t="n">
        <f aca="false">COUNTIF(D22:I22,"&lt;=49")+COUNTIF(D22:I22,"AB")</f>
        <v>4</v>
      </c>
      <c r="L22" s="19" t="n">
        <f aca="false">COUNTIF(E22:J22,"AB")</f>
        <v>1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Format="false" ht="24.75" hidden="false" customHeight="true" outlineLevel="0" collapsed="false">
      <c r="A23" s="42" t="n">
        <v>13</v>
      </c>
      <c r="B23" s="90" t="n">
        <v>511522205014</v>
      </c>
      <c r="C23" s="90" t="s">
        <v>371</v>
      </c>
      <c r="D23" s="233" t="n">
        <v>64</v>
      </c>
      <c r="E23" s="231" t="n">
        <v>66</v>
      </c>
      <c r="F23" s="231" t="n">
        <v>42</v>
      </c>
      <c r="G23" s="231" t="n">
        <v>60</v>
      </c>
      <c r="H23" s="231"/>
      <c r="I23" s="231"/>
      <c r="J23" s="19" t="n">
        <f aca="false">SUM(D23:I23)</f>
        <v>232</v>
      </c>
      <c r="K23" s="19" t="n">
        <f aca="false">COUNTIF(D23:I23,"&lt;=49")+COUNTIF(D23:I23,"AB")</f>
        <v>1</v>
      </c>
      <c r="L23" s="19" t="n">
        <f aca="false">COUNTIF(E23:J23,"AB")</f>
        <v>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Format="false" ht="24.75" hidden="false" customHeight="true" outlineLevel="0" collapsed="false">
      <c r="A24" s="42" t="n">
        <v>14</v>
      </c>
      <c r="B24" s="90" t="n">
        <v>511522205015</v>
      </c>
      <c r="C24" s="90" t="s">
        <v>372</v>
      </c>
      <c r="D24" s="233" t="n">
        <v>60</v>
      </c>
      <c r="E24" s="231" t="n">
        <v>55</v>
      </c>
      <c r="F24" s="231" t="n">
        <v>50</v>
      </c>
      <c r="G24" s="231" t="n">
        <v>33</v>
      </c>
      <c r="H24" s="231"/>
      <c r="I24" s="231"/>
      <c r="J24" s="19" t="n">
        <f aca="false">SUM(D24:I24)</f>
        <v>198</v>
      </c>
      <c r="K24" s="19" t="n">
        <f aca="false">COUNTIF(D24:I24,"&lt;=49")+COUNTIF(D24:I24,"AB")</f>
        <v>1</v>
      </c>
      <c r="L24" s="19" t="n">
        <f aca="false">COUNTIF(E24:J24,"AB")</f>
        <v>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Format="false" ht="24.75" hidden="false" customHeight="true" outlineLevel="0" collapsed="false">
      <c r="A25" s="42" t="n">
        <v>15</v>
      </c>
      <c r="B25" s="90" t="n">
        <v>511522205016</v>
      </c>
      <c r="C25" s="90" t="s">
        <v>373</v>
      </c>
      <c r="D25" s="233" t="n">
        <v>65</v>
      </c>
      <c r="E25" s="231" t="n">
        <v>50</v>
      </c>
      <c r="F25" s="231" t="n">
        <v>50</v>
      </c>
      <c r="G25" s="231" t="n">
        <v>31</v>
      </c>
      <c r="H25" s="231"/>
      <c r="I25" s="231"/>
      <c r="J25" s="19" t="n">
        <f aca="false">SUM(D25:I25)</f>
        <v>196</v>
      </c>
      <c r="K25" s="19" t="n">
        <f aca="false">COUNTIF(D25:I25,"&lt;=49")+COUNTIF(D25:I25,"AB")</f>
        <v>1</v>
      </c>
      <c r="L25" s="19" t="n">
        <f aca="false">COUNTIF(E25:J25,"AB")</f>
        <v>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24.75" hidden="false" customHeight="true" outlineLevel="0" collapsed="false">
      <c r="A26" s="42" t="n">
        <v>16</v>
      </c>
      <c r="B26" s="90" t="n">
        <v>511522205017</v>
      </c>
      <c r="C26" s="90" t="s">
        <v>374</v>
      </c>
      <c r="D26" s="233" t="n">
        <v>3</v>
      </c>
      <c r="E26" s="231" t="s">
        <v>24</v>
      </c>
      <c r="F26" s="231" t="n">
        <v>18</v>
      </c>
      <c r="G26" s="231" t="n">
        <v>12</v>
      </c>
      <c r="H26" s="231"/>
      <c r="I26" s="231"/>
      <c r="J26" s="19" t="n">
        <f aca="false">SUM(D26:I26)</f>
        <v>33</v>
      </c>
      <c r="K26" s="19" t="n">
        <f aca="false">COUNTIF(D26:I26,"&lt;=49")+COUNTIF(D26:I26,"AB")</f>
        <v>4</v>
      </c>
      <c r="L26" s="19" t="n">
        <f aca="false">COUNTIF(E26:J26,"AB")</f>
        <v>1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Format="false" ht="24.75" hidden="false" customHeight="true" outlineLevel="0" collapsed="false">
      <c r="A27" s="42" t="n">
        <v>17</v>
      </c>
      <c r="B27" s="90" t="n">
        <v>511522205018</v>
      </c>
      <c r="C27" s="90" t="s">
        <v>375</v>
      </c>
      <c r="D27" s="233" t="n">
        <v>0</v>
      </c>
      <c r="E27" s="231" t="n">
        <v>36</v>
      </c>
      <c r="F27" s="231" t="n">
        <v>22</v>
      </c>
      <c r="G27" s="231" t="n">
        <v>32</v>
      </c>
      <c r="H27" s="231"/>
      <c r="I27" s="231"/>
      <c r="J27" s="19" t="n">
        <f aca="false">SUM(D27:I27)</f>
        <v>90</v>
      </c>
      <c r="K27" s="19" t="n">
        <f aca="false">COUNTIF(D27:I27,"&lt;=49")+COUNTIF(D27:I27,"AB")</f>
        <v>4</v>
      </c>
      <c r="L27" s="19" t="n">
        <f aca="false">COUNTIF(E27:J27,"AB")</f>
        <v>0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Format="false" ht="24.75" hidden="false" customHeight="true" outlineLevel="0" collapsed="false">
      <c r="A28" s="42" t="n">
        <v>18</v>
      </c>
      <c r="B28" s="90" t="n">
        <v>511522205019</v>
      </c>
      <c r="C28" s="90" t="s">
        <v>376</v>
      </c>
      <c r="D28" s="233" t="n">
        <v>60</v>
      </c>
      <c r="E28" s="231" t="n">
        <v>70</v>
      </c>
      <c r="F28" s="231" t="n">
        <v>59</v>
      </c>
      <c r="G28" s="231" t="n">
        <v>70</v>
      </c>
      <c r="H28" s="231"/>
      <c r="I28" s="231"/>
      <c r="J28" s="19" t="n">
        <f aca="false">SUM(D28:I28)</f>
        <v>259</v>
      </c>
      <c r="K28" s="19" t="n">
        <f aca="false">COUNTIF(D28:I28,"&lt;=49")+COUNTIF(D28:I28,"AB")</f>
        <v>0</v>
      </c>
      <c r="L28" s="19" t="n">
        <f aca="false">COUNTIF(E28:J28,"AB")</f>
        <v>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Format="false" ht="24.75" hidden="false" customHeight="true" outlineLevel="0" collapsed="false">
      <c r="A29" s="42" t="n">
        <v>19</v>
      </c>
      <c r="B29" s="90" t="n">
        <v>511522205020</v>
      </c>
      <c r="C29" s="90" t="s">
        <v>377</v>
      </c>
      <c r="D29" s="233" t="n">
        <v>69</v>
      </c>
      <c r="E29" s="231" t="n">
        <v>65</v>
      </c>
      <c r="F29" s="231" t="n">
        <v>58</v>
      </c>
      <c r="G29" s="231" t="n">
        <v>55</v>
      </c>
      <c r="H29" s="231"/>
      <c r="I29" s="231"/>
      <c r="J29" s="19" t="n">
        <f aca="false">SUM(D29:I29)</f>
        <v>247</v>
      </c>
      <c r="K29" s="19" t="n">
        <f aca="false">COUNTIF(D29:I29,"&lt;=49")+COUNTIF(D29:I29,"AB")</f>
        <v>0</v>
      </c>
      <c r="L29" s="19" t="n">
        <f aca="false">COUNTIF(E29:J29,"AB")</f>
        <v>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Format="false" ht="24.75" hidden="false" customHeight="true" outlineLevel="0" collapsed="false">
      <c r="A30" s="42" t="n">
        <v>20</v>
      </c>
      <c r="B30" s="90" t="n">
        <v>511522205021</v>
      </c>
      <c r="C30" s="90" t="s">
        <v>378</v>
      </c>
      <c r="D30" s="233" t="n">
        <v>12</v>
      </c>
      <c r="E30" s="231" t="n">
        <v>60</v>
      </c>
      <c r="F30" s="231" t="n">
        <v>35</v>
      </c>
      <c r="G30" s="231" t="n">
        <v>31</v>
      </c>
      <c r="H30" s="231"/>
      <c r="I30" s="231"/>
      <c r="J30" s="19" t="n">
        <f aca="false">SUM(D30:I30)</f>
        <v>138</v>
      </c>
      <c r="K30" s="19" t="n">
        <f aca="false">COUNTIF(D30:I30,"&lt;=49")+COUNTIF(D30:I30,"AB")</f>
        <v>3</v>
      </c>
      <c r="L30" s="19" t="n">
        <f aca="false">COUNTIF(E30:J30,"AB")</f>
        <v>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Format="false" ht="24.75" hidden="false" customHeight="true" outlineLevel="0" collapsed="false">
      <c r="A31" s="42" t="n">
        <v>21</v>
      </c>
      <c r="B31" s="90" t="n">
        <v>511522205022</v>
      </c>
      <c r="C31" s="90" t="s">
        <v>379</v>
      </c>
      <c r="D31" s="233" t="n">
        <v>53</v>
      </c>
      <c r="E31" s="231" t="n">
        <v>55</v>
      </c>
      <c r="F31" s="231" t="n">
        <v>54</v>
      </c>
      <c r="G31" s="231" t="n">
        <v>36</v>
      </c>
      <c r="H31" s="231"/>
      <c r="I31" s="231"/>
      <c r="J31" s="19" t="n">
        <f aca="false">SUM(D31:I31)</f>
        <v>198</v>
      </c>
      <c r="K31" s="19" t="n">
        <f aca="false">COUNTIF(D31:I31,"&lt;=49")+COUNTIF(D31:I31,"AB")</f>
        <v>1</v>
      </c>
      <c r="L31" s="19" t="n">
        <f aca="false">COUNTIF(E31:J31,"AB")</f>
        <v>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Format="false" ht="24.75" hidden="false" customHeight="true" outlineLevel="0" collapsed="false">
      <c r="A32" s="42" t="n">
        <v>22</v>
      </c>
      <c r="B32" s="90" t="n">
        <v>511522205024</v>
      </c>
      <c r="C32" s="90" t="s">
        <v>380</v>
      </c>
      <c r="D32" s="233" t="n">
        <v>6</v>
      </c>
      <c r="E32" s="231" t="n">
        <v>39</v>
      </c>
      <c r="F32" s="231" t="n">
        <v>31</v>
      </c>
      <c r="G32" s="231" t="n">
        <v>27</v>
      </c>
      <c r="H32" s="231"/>
      <c r="I32" s="231"/>
      <c r="J32" s="19" t="n">
        <f aca="false">SUM(D32:I32)</f>
        <v>103</v>
      </c>
      <c r="K32" s="19" t="n">
        <f aca="false">COUNTIF(D32:I32,"&lt;=49")+COUNTIF(D32:I32,"AB")</f>
        <v>4</v>
      </c>
      <c r="L32" s="19" t="n">
        <f aca="false">COUNTIF(E32:J32,"AB")</f>
        <v>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Format="false" ht="24.75" hidden="false" customHeight="true" outlineLevel="0" collapsed="false">
      <c r="A33" s="42" t="n">
        <v>23</v>
      </c>
      <c r="B33" s="90" t="n">
        <v>511522205025</v>
      </c>
      <c r="C33" s="90" t="s">
        <v>381</v>
      </c>
      <c r="D33" s="233" t="n">
        <v>81</v>
      </c>
      <c r="E33" s="231" t="n">
        <v>70</v>
      </c>
      <c r="F33" s="231" t="n">
        <v>70</v>
      </c>
      <c r="G33" s="231" t="n">
        <v>60</v>
      </c>
      <c r="H33" s="231"/>
      <c r="I33" s="231"/>
      <c r="J33" s="19" t="n">
        <f aca="false">SUM(D33:I33)</f>
        <v>281</v>
      </c>
      <c r="K33" s="19" t="n">
        <f aca="false">COUNTIF(D33:I33,"&lt;=49")+COUNTIF(D33:I33,"AB")</f>
        <v>0</v>
      </c>
      <c r="L33" s="19" t="n">
        <f aca="false">COUNTIF(E33:J33,"AB")</f>
        <v>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Format="false" ht="24.75" hidden="false" customHeight="true" outlineLevel="0" collapsed="false">
      <c r="A34" s="42" t="n">
        <v>24</v>
      </c>
      <c r="B34" s="90" t="n">
        <v>511522205026</v>
      </c>
      <c r="C34" s="90" t="s">
        <v>382</v>
      </c>
      <c r="D34" s="233" t="n">
        <v>14</v>
      </c>
      <c r="E34" s="231" t="n">
        <v>54</v>
      </c>
      <c r="F34" s="231" t="n">
        <v>23</v>
      </c>
      <c r="G34" s="231" t="n">
        <v>31</v>
      </c>
      <c r="H34" s="231"/>
      <c r="I34" s="231"/>
      <c r="J34" s="19" t="n">
        <f aca="false">SUM(D34:I34)</f>
        <v>122</v>
      </c>
      <c r="K34" s="19" t="n">
        <f aca="false">COUNTIF(D34:I34,"&lt;=49")+COUNTIF(D34:I34,"AB")</f>
        <v>3</v>
      </c>
      <c r="L34" s="19" t="n">
        <f aca="false">COUNTIF(E34:J34,"AB")</f>
        <v>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Format="false" ht="24.75" hidden="false" customHeight="true" outlineLevel="0" collapsed="false">
      <c r="A35" s="42" t="n">
        <v>25</v>
      </c>
      <c r="B35" s="90" t="n">
        <v>511522205027</v>
      </c>
      <c r="C35" s="90" t="s">
        <v>383</v>
      </c>
      <c r="D35" s="233" t="n">
        <v>75</v>
      </c>
      <c r="E35" s="231" t="n">
        <v>64</v>
      </c>
      <c r="F35" s="231" t="n">
        <v>45</v>
      </c>
      <c r="G35" s="231" t="n">
        <v>45</v>
      </c>
      <c r="H35" s="231"/>
      <c r="I35" s="231"/>
      <c r="J35" s="19" t="n">
        <f aca="false">SUM(D35:I35)</f>
        <v>229</v>
      </c>
      <c r="K35" s="19" t="n">
        <f aca="false">COUNTIF(D35:I35,"&lt;=49")+COUNTIF(D35:I35,"AB")</f>
        <v>2</v>
      </c>
      <c r="L35" s="19" t="n">
        <f aca="false">COUNTIF(E35:J35,"AB")</f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Format="false" ht="24.75" hidden="false" customHeight="true" outlineLevel="0" collapsed="false">
      <c r="A36" s="42" t="n">
        <v>26</v>
      </c>
      <c r="B36" s="90" t="n">
        <v>511522205028</v>
      </c>
      <c r="C36" s="90" t="s">
        <v>384</v>
      </c>
      <c r="D36" s="233" t="n">
        <v>30</v>
      </c>
      <c r="E36" s="231" t="n">
        <v>45</v>
      </c>
      <c r="F36" s="231" t="n">
        <v>7</v>
      </c>
      <c r="G36" s="231" t="n">
        <v>52</v>
      </c>
      <c r="H36" s="231"/>
      <c r="I36" s="231"/>
      <c r="J36" s="19" t="n">
        <f aca="false">SUM(D36:I36)</f>
        <v>134</v>
      </c>
      <c r="K36" s="19" t="n">
        <f aca="false">COUNTIF(D36:I36,"&lt;=49")+COUNTIF(D36:I36,"AB")</f>
        <v>3</v>
      </c>
      <c r="L36" s="19" t="n">
        <f aca="false">COUNTIF(E36:J36,"AB")</f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Format="false" ht="24.75" hidden="false" customHeight="true" outlineLevel="0" collapsed="false">
      <c r="A37" s="42" t="n">
        <v>27</v>
      </c>
      <c r="B37" s="90" t="n">
        <v>511522205029</v>
      </c>
      <c r="C37" s="90" t="s">
        <v>385</v>
      </c>
      <c r="D37" s="233" t="s">
        <v>386</v>
      </c>
      <c r="E37" s="231" t="n">
        <v>70</v>
      </c>
      <c r="F37" s="231" t="n">
        <v>35</v>
      </c>
      <c r="G37" s="231" t="n">
        <v>32</v>
      </c>
      <c r="H37" s="231"/>
      <c r="I37" s="231"/>
      <c r="J37" s="19" t="n">
        <f aca="false">SUM(D37:I37)</f>
        <v>137</v>
      </c>
      <c r="K37" s="19" t="n">
        <f aca="false">COUNTIF(D37:I37,"&lt;=49")+COUNTIF(D37:I37,"AB")</f>
        <v>3</v>
      </c>
      <c r="L37" s="19" t="n">
        <f aca="false">COUNTIF(E37:J37,"AB")</f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Format="false" ht="24.75" hidden="false" customHeight="true" outlineLevel="0" collapsed="false">
      <c r="A38" s="42" t="n">
        <v>28</v>
      </c>
      <c r="B38" s="90" t="n">
        <v>511522205030</v>
      </c>
      <c r="C38" s="90" t="s">
        <v>387</v>
      </c>
      <c r="D38" s="233" t="n">
        <v>37</v>
      </c>
      <c r="E38" s="231" t="n">
        <v>73</v>
      </c>
      <c r="F38" s="231" t="n">
        <v>59</v>
      </c>
      <c r="G38" s="231" t="n">
        <v>40</v>
      </c>
      <c r="H38" s="231"/>
      <c r="I38" s="231"/>
      <c r="J38" s="19" t="n">
        <f aca="false">SUM(D38:I38)</f>
        <v>209</v>
      </c>
      <c r="K38" s="19" t="n">
        <f aca="false">COUNTIF(D38:I38,"&lt;=49")+COUNTIF(D38:I38,"AB")</f>
        <v>2</v>
      </c>
      <c r="L38" s="19" t="n">
        <f aca="false">COUNTIF(E38:J38,"AB")</f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Format="false" ht="24.75" hidden="false" customHeight="true" outlineLevel="0" collapsed="false">
      <c r="A39" s="42" t="n">
        <v>29</v>
      </c>
      <c r="B39" s="90" t="n">
        <v>511522205031</v>
      </c>
      <c r="C39" s="90" t="s">
        <v>388</v>
      </c>
      <c r="D39" s="233" t="n">
        <v>4</v>
      </c>
      <c r="E39" s="231" t="s">
        <v>24</v>
      </c>
      <c r="F39" s="231" t="n">
        <v>28</v>
      </c>
      <c r="G39" s="231" t="n">
        <v>17</v>
      </c>
      <c r="H39" s="231"/>
      <c r="I39" s="231"/>
      <c r="J39" s="19" t="n">
        <f aca="false">SUM(D39:I39)</f>
        <v>49</v>
      </c>
      <c r="K39" s="19" t="n">
        <f aca="false">COUNTIF(D39:I39,"&lt;=49")+COUNTIF(D39:I39,"AB")</f>
        <v>4</v>
      </c>
      <c r="L39" s="19" t="n">
        <f aca="false">COUNTIF(E39:J39,"AB")</f>
        <v>1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Format="false" ht="24.75" hidden="false" customHeight="true" outlineLevel="0" collapsed="false">
      <c r="A40" s="42" t="n">
        <v>30</v>
      </c>
      <c r="B40" s="90" t="n">
        <v>511522205032</v>
      </c>
      <c r="C40" s="90" t="s">
        <v>389</v>
      </c>
      <c r="D40" s="233" t="n">
        <v>15</v>
      </c>
      <c r="E40" s="231" t="n">
        <v>53</v>
      </c>
      <c r="F40" s="231" t="n">
        <v>40</v>
      </c>
      <c r="G40" s="231" t="n">
        <v>28</v>
      </c>
      <c r="H40" s="231"/>
      <c r="I40" s="231"/>
      <c r="J40" s="19" t="n">
        <f aca="false">SUM(D40:I40)</f>
        <v>136</v>
      </c>
      <c r="K40" s="19" t="n">
        <f aca="false">COUNTIF(D40:I40,"&lt;=49")+COUNTIF(D40:I40,"AB")</f>
        <v>3</v>
      </c>
      <c r="L40" s="19" t="n">
        <f aca="false">COUNTIF(E40:J40,"AB")</f>
        <v>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Format="false" ht="24.75" hidden="false" customHeight="true" outlineLevel="0" collapsed="false">
      <c r="A41" s="42" t="n">
        <v>31</v>
      </c>
      <c r="B41" s="90" t="n">
        <v>511522205033</v>
      </c>
      <c r="C41" s="90" t="s">
        <v>390</v>
      </c>
      <c r="D41" s="233" t="n">
        <v>0</v>
      </c>
      <c r="E41" s="231" t="n">
        <v>45</v>
      </c>
      <c r="F41" s="231" t="n">
        <v>40</v>
      </c>
      <c r="G41" s="231" t="n">
        <v>17</v>
      </c>
      <c r="H41" s="231"/>
      <c r="I41" s="231"/>
      <c r="J41" s="19" t="n">
        <f aca="false">SUM(D41:I41)</f>
        <v>102</v>
      </c>
      <c r="K41" s="19" t="n">
        <f aca="false">COUNTIF(D41:I41,"&lt;=49")+COUNTIF(D41:I41,"AB")</f>
        <v>4</v>
      </c>
      <c r="L41" s="19" t="n">
        <f aca="false">COUNTIF(E41:J41,"AB")</f>
        <v>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24.75" hidden="false" customHeight="true" outlineLevel="0" collapsed="false">
      <c r="A42" s="42" t="n">
        <v>32</v>
      </c>
      <c r="B42" s="90" t="n">
        <v>511522205034</v>
      </c>
      <c r="C42" s="90" t="s">
        <v>391</v>
      </c>
      <c r="D42" s="233" t="n">
        <v>5</v>
      </c>
      <c r="E42" s="231" t="n">
        <v>23</v>
      </c>
      <c r="F42" s="231" t="n">
        <v>13</v>
      </c>
      <c r="G42" s="231" t="n">
        <v>23</v>
      </c>
      <c r="H42" s="231"/>
      <c r="I42" s="231"/>
      <c r="J42" s="19" t="n">
        <f aca="false">SUM(D42:I42)</f>
        <v>64</v>
      </c>
      <c r="K42" s="19" t="n">
        <f aca="false">COUNTIF(D42:I42,"&lt;=49")+COUNTIF(D42:I42,"AB")</f>
        <v>4</v>
      </c>
      <c r="L42" s="19" t="n">
        <f aca="false">COUNTIF(E42:J42,"AB")</f>
        <v>0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24.75" hidden="false" customHeight="true" outlineLevel="0" collapsed="false">
      <c r="A43" s="42" t="n">
        <v>33</v>
      </c>
      <c r="B43" s="90" t="n">
        <v>511522205035</v>
      </c>
      <c r="C43" s="90" t="s">
        <v>392</v>
      </c>
      <c r="D43" s="233" t="n">
        <v>37</v>
      </c>
      <c r="E43" s="231" t="n">
        <v>59</v>
      </c>
      <c r="F43" s="231" t="n">
        <v>40</v>
      </c>
      <c r="G43" s="231" t="n">
        <v>51</v>
      </c>
      <c r="H43" s="231"/>
      <c r="I43" s="231"/>
      <c r="J43" s="19" t="n">
        <f aca="false">SUM(D43:I43)</f>
        <v>187</v>
      </c>
      <c r="K43" s="19" t="n">
        <f aca="false">COUNTIF(D43:I43,"&lt;=49")+COUNTIF(D43:I43,"AB")</f>
        <v>2</v>
      </c>
      <c r="L43" s="19" t="n">
        <f aca="false">COUNTIF(E43:J43,"AB")</f>
        <v>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24.75" hidden="false" customHeight="true" outlineLevel="0" collapsed="false">
      <c r="A44" s="42" t="n">
        <v>34</v>
      </c>
      <c r="B44" s="90" t="n">
        <v>511522205036</v>
      </c>
      <c r="C44" s="90" t="s">
        <v>393</v>
      </c>
      <c r="D44" s="233" t="n">
        <v>56</v>
      </c>
      <c r="E44" s="231" t="n">
        <v>66</v>
      </c>
      <c r="F44" s="231" t="n">
        <v>39</v>
      </c>
      <c r="G44" s="231" t="n">
        <v>40</v>
      </c>
      <c r="H44" s="231"/>
      <c r="I44" s="231"/>
      <c r="J44" s="19" t="n">
        <f aca="false">SUM(D44:I44)</f>
        <v>201</v>
      </c>
      <c r="K44" s="19" t="n">
        <f aca="false">COUNTIF(D44:I44,"&lt;=49")+COUNTIF(D44:I44,"AB")</f>
        <v>2</v>
      </c>
      <c r="L44" s="19" t="n">
        <f aca="false">COUNTIF(E44:J44,"AB")</f>
        <v>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24.75" hidden="false" customHeight="true" outlineLevel="0" collapsed="false">
      <c r="A45" s="42" t="n">
        <v>35</v>
      </c>
      <c r="B45" s="90" t="n">
        <v>511522205037</v>
      </c>
      <c r="C45" s="90" t="s">
        <v>394</v>
      </c>
      <c r="D45" s="233" t="n">
        <v>31</v>
      </c>
      <c r="E45" s="231" t="n">
        <v>41</v>
      </c>
      <c r="F45" s="231" t="n">
        <v>50</v>
      </c>
      <c r="G45" s="231" t="s">
        <v>24</v>
      </c>
      <c r="H45" s="231"/>
      <c r="I45" s="231"/>
      <c r="J45" s="19" t="n">
        <f aca="false">SUM(D45:I45)</f>
        <v>122</v>
      </c>
      <c r="K45" s="19" t="n">
        <f aca="false">COUNTIF(D45:I45,"&lt;=49")+COUNTIF(D45:I45,"AB")</f>
        <v>3</v>
      </c>
      <c r="L45" s="19" t="n">
        <f aca="false">COUNTIF(E45:J45,"AB")</f>
        <v>1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Format="false" ht="24.75" hidden="false" customHeight="true" outlineLevel="0" collapsed="false">
      <c r="A46" s="42" t="n">
        <v>36</v>
      </c>
      <c r="B46" s="90" t="n">
        <v>511522205038</v>
      </c>
      <c r="C46" s="90" t="s">
        <v>395</v>
      </c>
      <c r="D46" s="233" t="n">
        <v>30</v>
      </c>
      <c r="E46" s="231" t="n">
        <v>36</v>
      </c>
      <c r="F46" s="231" t="n">
        <v>38</v>
      </c>
      <c r="G46" s="231" t="n">
        <v>43</v>
      </c>
      <c r="H46" s="231"/>
      <c r="I46" s="231"/>
      <c r="J46" s="19" t="n">
        <f aca="false">SUM(D46:I46)</f>
        <v>147</v>
      </c>
      <c r="K46" s="19" t="n">
        <f aca="false">COUNTIF(D46:I46,"&lt;=49")+COUNTIF(D46:I46,"AB")</f>
        <v>4</v>
      </c>
      <c r="L46" s="19" t="n">
        <f aca="false">COUNTIF(E46:J46,"AB")</f>
        <v>0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Format="false" ht="24.75" hidden="false" customHeight="true" outlineLevel="0" collapsed="false">
      <c r="A47" s="42" t="n">
        <v>37</v>
      </c>
      <c r="B47" s="90" t="n">
        <v>511522205039</v>
      </c>
      <c r="C47" s="90" t="s">
        <v>396</v>
      </c>
      <c r="D47" s="233" t="n">
        <v>27</v>
      </c>
      <c r="E47" s="231" t="n">
        <v>48</v>
      </c>
      <c r="F47" s="231" t="n">
        <v>43</v>
      </c>
      <c r="G47" s="231" t="n">
        <v>31</v>
      </c>
      <c r="H47" s="231"/>
      <c r="I47" s="231"/>
      <c r="J47" s="19" t="n">
        <f aca="false">SUM(D47:I47)</f>
        <v>149</v>
      </c>
      <c r="K47" s="19" t="n">
        <f aca="false">COUNTIF(D47:I47,"&lt;=49")+COUNTIF(D47:I47,"AB")</f>
        <v>4</v>
      </c>
      <c r="L47" s="19" t="n">
        <f aca="false">COUNTIF(E47:J47,"AB")</f>
        <v>0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Format="false" ht="24.75" hidden="false" customHeight="true" outlineLevel="0" collapsed="false">
      <c r="A48" s="42" t="n">
        <v>38</v>
      </c>
      <c r="B48" s="90" t="n">
        <v>511522205040</v>
      </c>
      <c r="C48" s="90" t="s">
        <v>397</v>
      </c>
      <c r="D48" s="233" t="n">
        <v>70</v>
      </c>
      <c r="E48" s="231" t="n">
        <v>70</v>
      </c>
      <c r="F48" s="231" t="n">
        <v>35</v>
      </c>
      <c r="G48" s="231" t="n">
        <v>51</v>
      </c>
      <c r="H48" s="231"/>
      <c r="I48" s="231"/>
      <c r="J48" s="19" t="n">
        <f aca="false">SUM(D48:I48)</f>
        <v>226</v>
      </c>
      <c r="K48" s="19" t="n">
        <f aca="false">COUNTIF(D48:I48,"&lt;=49")+COUNTIF(D48:I48,"AB")</f>
        <v>1</v>
      </c>
      <c r="L48" s="19" t="n">
        <f aca="false">COUNTIF(E48:J48,"AB")</f>
        <v>0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Format="false" ht="24.75" hidden="false" customHeight="true" outlineLevel="0" collapsed="false">
      <c r="A49" s="42" t="n">
        <v>39</v>
      </c>
      <c r="B49" s="90" t="n">
        <v>511522205041</v>
      </c>
      <c r="C49" s="90" t="s">
        <v>398</v>
      </c>
      <c r="D49" s="233" t="n">
        <v>39</v>
      </c>
      <c r="E49" s="231" t="n">
        <v>34</v>
      </c>
      <c r="F49" s="231" t="n">
        <v>17</v>
      </c>
      <c r="G49" s="231" t="s">
        <v>24</v>
      </c>
      <c r="H49" s="231"/>
      <c r="I49" s="231"/>
      <c r="J49" s="19" t="n">
        <f aca="false">SUM(D49:I49)</f>
        <v>90</v>
      </c>
      <c r="K49" s="19" t="n">
        <f aca="false">COUNTIF(D49:I49,"&lt;=49")+COUNTIF(D49:I49,"AB")</f>
        <v>4</v>
      </c>
      <c r="L49" s="19" t="n">
        <f aca="false">COUNTIF(E49:J49,"AB")</f>
        <v>1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Format="false" ht="24.75" hidden="false" customHeight="true" outlineLevel="0" collapsed="false">
      <c r="A50" s="42" t="n">
        <v>40</v>
      </c>
      <c r="B50" s="90" t="n">
        <v>511522205042</v>
      </c>
      <c r="C50" s="90" t="s">
        <v>399</v>
      </c>
      <c r="D50" s="233" t="n">
        <v>22</v>
      </c>
      <c r="E50" s="231" t="n">
        <v>38</v>
      </c>
      <c r="F50" s="231" t="n">
        <v>23</v>
      </c>
      <c r="G50" s="231" t="n">
        <v>15</v>
      </c>
      <c r="H50" s="231"/>
      <c r="I50" s="231"/>
      <c r="J50" s="19" t="n">
        <f aca="false">SUM(D50:I50)</f>
        <v>98</v>
      </c>
      <c r="K50" s="19" t="n">
        <f aca="false">COUNTIF(D50:I50,"&lt;=49")+COUNTIF(D50:I50,"AB")</f>
        <v>4</v>
      </c>
      <c r="L50" s="19" t="n">
        <f aca="false">COUNTIF(E50:J50,"AB")</f>
        <v>0</v>
      </c>
      <c r="M50" s="37"/>
      <c r="N50" s="37"/>
      <c r="O50" s="37"/>
      <c r="P50" s="37"/>
      <c r="Q50" s="37"/>
      <c r="R50" s="2"/>
      <c r="S50" s="2"/>
      <c r="T50" s="2"/>
      <c r="U50" s="2"/>
      <c r="V50" s="2"/>
      <c r="W50" s="2"/>
      <c r="X50" s="2"/>
    </row>
    <row r="51" customFormat="false" ht="24.75" hidden="false" customHeight="true" outlineLevel="0" collapsed="false">
      <c r="A51" s="42" t="n">
        <v>41</v>
      </c>
      <c r="B51" s="90" t="n">
        <v>511522205043</v>
      </c>
      <c r="C51" s="90" t="s">
        <v>400</v>
      </c>
      <c r="D51" s="233" t="n">
        <v>49</v>
      </c>
      <c r="E51" s="231" t="n">
        <v>24</v>
      </c>
      <c r="F51" s="231" t="n">
        <v>8</v>
      </c>
      <c r="G51" s="231" t="n">
        <v>10</v>
      </c>
      <c r="H51" s="231"/>
      <c r="I51" s="231"/>
      <c r="J51" s="19" t="n">
        <f aca="false">SUM(D51:I51)</f>
        <v>91</v>
      </c>
      <c r="K51" s="19" t="n">
        <f aca="false">COUNTIF(D51:I51,"&lt;=49")+COUNTIF(D51:I51,"AB")</f>
        <v>4</v>
      </c>
      <c r="L51" s="19" t="n">
        <f aca="false">COUNTIF(E51:J51,"AB")</f>
        <v>0</v>
      </c>
      <c r="M51" s="38"/>
      <c r="N51" s="38"/>
      <c r="O51" s="38"/>
      <c r="P51" s="38"/>
      <c r="Q51" s="38"/>
      <c r="R51" s="2"/>
      <c r="S51" s="2"/>
      <c r="T51" s="2"/>
      <c r="U51" s="2"/>
      <c r="V51" s="2"/>
      <c r="W51" s="2"/>
      <c r="X51" s="2"/>
    </row>
    <row r="52" customFormat="false" ht="24.75" hidden="false" customHeight="true" outlineLevel="0" collapsed="false">
      <c r="A52" s="42" t="n">
        <v>42</v>
      </c>
      <c r="B52" s="90" t="n">
        <v>511522205045</v>
      </c>
      <c r="C52" s="90" t="s">
        <v>333</v>
      </c>
      <c r="D52" s="233" t="n">
        <v>12</v>
      </c>
      <c r="E52" s="231" t="n">
        <v>73</v>
      </c>
      <c r="F52" s="231" t="n">
        <v>31</v>
      </c>
      <c r="G52" s="231" t="n">
        <v>27</v>
      </c>
      <c r="H52" s="231"/>
      <c r="I52" s="231"/>
      <c r="J52" s="19" t="n">
        <f aca="false">SUM(D52:I52)</f>
        <v>143</v>
      </c>
      <c r="K52" s="19" t="n">
        <f aca="false">COUNTIF(D52:I52,"&lt;=49")+COUNTIF(D52:I52,"AB")</f>
        <v>3</v>
      </c>
      <c r="L52" s="19" t="n">
        <f aca="false">COUNTIF(E52:J52,"AB")</f>
        <v>0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Format="false" ht="24.75" hidden="false" customHeight="true" outlineLevel="0" collapsed="false">
      <c r="A53" s="42" t="n">
        <v>43</v>
      </c>
      <c r="B53" s="90" t="n">
        <v>511522205047</v>
      </c>
      <c r="C53" s="90" t="s">
        <v>401</v>
      </c>
      <c r="D53" s="233" t="n">
        <v>13</v>
      </c>
      <c r="E53" s="231" t="s">
        <v>24</v>
      </c>
      <c r="F53" s="231" t="n">
        <v>11</v>
      </c>
      <c r="G53" s="231" t="n">
        <v>12</v>
      </c>
      <c r="H53" s="231"/>
      <c r="I53" s="231"/>
      <c r="J53" s="19" t="n">
        <f aca="false">SUM(D53:I53)</f>
        <v>36</v>
      </c>
      <c r="K53" s="19" t="n">
        <f aca="false">COUNTIF(D53:I53,"&lt;=49")+COUNTIF(D53:I53,"AB")</f>
        <v>4</v>
      </c>
      <c r="L53" s="19" t="n">
        <f aca="false">COUNTIF(E53:J53,"AB")</f>
        <v>1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Format="false" ht="24.75" hidden="false" customHeight="true" outlineLevel="0" collapsed="false">
      <c r="A54" s="42" t="n">
        <v>44</v>
      </c>
      <c r="B54" s="90" t="n">
        <v>511522205048</v>
      </c>
      <c r="C54" s="90" t="s">
        <v>402</v>
      </c>
      <c r="D54" s="233" t="n">
        <v>27</v>
      </c>
      <c r="E54" s="231" t="n">
        <v>66</v>
      </c>
      <c r="F54" s="231" t="n">
        <v>24</v>
      </c>
      <c r="G54" s="231" t="s">
        <v>24</v>
      </c>
      <c r="H54" s="231"/>
      <c r="I54" s="231"/>
      <c r="J54" s="19" t="n">
        <f aca="false">SUM(D54:I54)</f>
        <v>117</v>
      </c>
      <c r="K54" s="19" t="n">
        <f aca="false">COUNTIF(D54:I54,"&lt;=49")+COUNTIF(D54:I54,"AB")</f>
        <v>3</v>
      </c>
      <c r="L54" s="19" t="n">
        <f aca="false">COUNTIF(E54:J54,"AB")</f>
        <v>1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Format="false" ht="24.75" hidden="false" customHeight="true" outlineLevel="0" collapsed="false">
      <c r="A55" s="42" t="n">
        <v>45</v>
      </c>
      <c r="B55" s="90" t="n">
        <v>511522205049</v>
      </c>
      <c r="C55" s="90" t="s">
        <v>403</v>
      </c>
      <c r="D55" s="233" t="n">
        <v>60</v>
      </c>
      <c r="E55" s="231" t="n">
        <v>53</v>
      </c>
      <c r="F55" s="231" t="n">
        <v>25</v>
      </c>
      <c r="G55" s="231" t="n">
        <v>51</v>
      </c>
      <c r="H55" s="231"/>
      <c r="I55" s="231"/>
      <c r="J55" s="19" t="n">
        <f aca="false">SUM(D55:I55)</f>
        <v>189</v>
      </c>
      <c r="K55" s="19" t="n">
        <f aca="false">COUNTIF(D55:I55,"&lt;=49")+COUNTIF(D55:I55,"AB")</f>
        <v>1</v>
      </c>
      <c r="L55" s="19" t="n">
        <f aca="false">COUNTIF(E55:J55,"AB")</f>
        <v>0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Format="false" ht="24.75" hidden="false" customHeight="true" outlineLevel="0" collapsed="false">
      <c r="A56" s="42" t="n">
        <v>46</v>
      </c>
      <c r="B56" s="90" t="n">
        <v>511522205050</v>
      </c>
      <c r="C56" s="90" t="s">
        <v>404</v>
      </c>
      <c r="D56" s="233" t="n">
        <v>29</v>
      </c>
      <c r="E56" s="231" t="n">
        <v>64</v>
      </c>
      <c r="F56" s="231" t="n">
        <v>28</v>
      </c>
      <c r="G56" s="231" t="n">
        <v>51</v>
      </c>
      <c r="H56" s="231"/>
      <c r="I56" s="231"/>
      <c r="J56" s="19" t="n">
        <f aca="false">SUM(D56:I56)</f>
        <v>172</v>
      </c>
      <c r="K56" s="19" t="n">
        <f aca="false">COUNTIF(D56:I56,"&lt;=49")+COUNTIF(D56:I56,"AB")</f>
        <v>2</v>
      </c>
      <c r="L56" s="19" t="n">
        <f aca="false">COUNTIF(E56:J56,"AB")</f>
        <v>0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Format="false" ht="24.75" hidden="false" customHeight="true" outlineLevel="0" collapsed="false">
      <c r="A57" s="42" t="n">
        <v>47</v>
      </c>
      <c r="B57" s="90" t="n">
        <v>511522205051</v>
      </c>
      <c r="C57" s="90" t="s">
        <v>405</v>
      </c>
      <c r="D57" s="233" t="n">
        <v>39</v>
      </c>
      <c r="E57" s="231" t="n">
        <v>56</v>
      </c>
      <c r="F57" s="231" t="n">
        <v>45</v>
      </c>
      <c r="G57" s="231" t="n">
        <v>36</v>
      </c>
      <c r="H57" s="231"/>
      <c r="I57" s="231"/>
      <c r="J57" s="19" t="n">
        <f aca="false">SUM(D57:I57)</f>
        <v>176</v>
      </c>
      <c r="K57" s="19" t="n">
        <f aca="false">COUNTIF(D57:I57,"&lt;=49")+COUNTIF(D57:I57,"AB")</f>
        <v>3</v>
      </c>
      <c r="L57" s="19" t="n">
        <f aca="false">COUNTIF(E57:J57,"AB")</f>
        <v>0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Format="false" ht="24.75" hidden="false" customHeight="true" outlineLevel="0" collapsed="false">
      <c r="A58" s="42" t="n">
        <v>48</v>
      </c>
      <c r="B58" s="90" t="n">
        <v>511522205052</v>
      </c>
      <c r="C58" s="90" t="s">
        <v>406</v>
      </c>
      <c r="D58" s="233" t="n">
        <v>68</v>
      </c>
      <c r="E58" s="231" t="n">
        <v>70</v>
      </c>
      <c r="F58" s="231" t="n">
        <v>67</v>
      </c>
      <c r="G58" s="231" t="n">
        <v>39</v>
      </c>
      <c r="H58" s="231"/>
      <c r="I58" s="231"/>
      <c r="J58" s="19" t="n">
        <f aca="false">SUM(D58:I58)</f>
        <v>244</v>
      </c>
      <c r="K58" s="19" t="n">
        <f aca="false">COUNTIF(D58:I58,"&lt;=49")+COUNTIF(D58:I58,"AB")</f>
        <v>1</v>
      </c>
      <c r="L58" s="19" t="n">
        <f aca="false">COUNTIF(E58:J58,"AB")</f>
        <v>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Format="false" ht="24.75" hidden="false" customHeight="true" outlineLevel="0" collapsed="false">
      <c r="A59" s="42" t="n">
        <v>49</v>
      </c>
      <c r="B59" s="90" t="n">
        <v>511522205053</v>
      </c>
      <c r="C59" s="90" t="s">
        <v>407</v>
      </c>
      <c r="D59" s="233" t="n">
        <v>58</v>
      </c>
      <c r="E59" s="231" t="n">
        <v>62</v>
      </c>
      <c r="F59" s="231" t="n">
        <v>50</v>
      </c>
      <c r="G59" s="231" t="s">
        <v>24</v>
      </c>
      <c r="H59" s="231"/>
      <c r="I59" s="231"/>
      <c r="J59" s="19" t="n">
        <f aca="false">SUM(D59:I59)</f>
        <v>170</v>
      </c>
      <c r="K59" s="19" t="n">
        <f aca="false">COUNTIF(D59:I59,"&lt;=49")+COUNTIF(D59:I59,"AB")</f>
        <v>1</v>
      </c>
      <c r="L59" s="19" t="n">
        <f aca="false">COUNTIF(E59:J59,"AB")</f>
        <v>1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Format="false" ht="24.75" hidden="false" customHeight="true" outlineLevel="0" collapsed="false">
      <c r="A60" s="42" t="n">
        <v>50</v>
      </c>
      <c r="B60" s="90" t="n">
        <v>511522205054</v>
      </c>
      <c r="C60" s="90" t="s">
        <v>408</v>
      </c>
      <c r="D60" s="233" t="n">
        <v>84</v>
      </c>
      <c r="E60" s="231" t="n">
        <v>70</v>
      </c>
      <c r="F60" s="231" t="n">
        <v>73</v>
      </c>
      <c r="G60" s="231" t="n">
        <v>69</v>
      </c>
      <c r="H60" s="231"/>
      <c r="I60" s="231"/>
      <c r="J60" s="19" t="n">
        <f aca="false">SUM(D60:I60)</f>
        <v>296</v>
      </c>
      <c r="K60" s="19" t="n">
        <f aca="false">COUNTIF(D60:I60,"&lt;=49")+COUNTIF(D60:I60,"AB")</f>
        <v>0</v>
      </c>
      <c r="L60" s="19" t="n">
        <f aca="false">COUNTIF(E60:J60,"AB")</f>
        <v>0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Format="false" ht="24.75" hidden="false" customHeight="true" outlineLevel="0" collapsed="false">
      <c r="A61" s="42" t="n">
        <v>51</v>
      </c>
      <c r="B61" s="90" t="n">
        <v>511522205055</v>
      </c>
      <c r="C61" s="90" t="s">
        <v>409</v>
      </c>
      <c r="D61" s="233" t="n">
        <v>7</v>
      </c>
      <c r="E61" s="231" t="n">
        <v>46</v>
      </c>
      <c r="F61" s="231" t="n">
        <v>10</v>
      </c>
      <c r="G61" s="231" t="n">
        <v>15</v>
      </c>
      <c r="H61" s="231"/>
      <c r="I61" s="231"/>
      <c r="J61" s="19" t="n">
        <f aca="false">SUM(D61:I61)</f>
        <v>78</v>
      </c>
      <c r="K61" s="19" t="n">
        <f aca="false">COUNTIF(D61:I61,"&lt;=49")+COUNTIF(D61:I61,"AB")</f>
        <v>4</v>
      </c>
      <c r="L61" s="19" t="n">
        <f aca="false">COUNTIF(E61:J61,"AB")</f>
        <v>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Format="false" ht="24.75" hidden="false" customHeight="true" outlineLevel="0" collapsed="false">
      <c r="A62" s="42" t="n">
        <v>52</v>
      </c>
      <c r="B62" s="90" t="n">
        <v>511522205056</v>
      </c>
      <c r="C62" s="90" t="s">
        <v>410</v>
      </c>
      <c r="D62" s="233" t="n">
        <v>18</v>
      </c>
      <c r="E62" s="231" t="n">
        <v>45</v>
      </c>
      <c r="F62" s="231" t="n">
        <v>9</v>
      </c>
      <c r="G62" s="231" t="n">
        <v>7</v>
      </c>
      <c r="H62" s="231"/>
      <c r="I62" s="231"/>
      <c r="J62" s="19" t="n">
        <f aca="false">SUM(D62:I62)</f>
        <v>79</v>
      </c>
      <c r="K62" s="19" t="n">
        <f aca="false">COUNTIF(D62:I62,"&lt;=49")+COUNTIF(D62:I62,"AB")</f>
        <v>4</v>
      </c>
      <c r="L62" s="19" t="n">
        <f aca="false">COUNTIF(E62:J62,"AB")</f>
        <v>0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Format="false" ht="24.75" hidden="false" customHeight="true" outlineLevel="0" collapsed="false">
      <c r="A63" s="42" t="n">
        <v>53</v>
      </c>
      <c r="B63" s="90" t="n">
        <v>511522205057</v>
      </c>
      <c r="C63" s="90" t="s">
        <v>411</v>
      </c>
      <c r="D63" s="233" t="n">
        <v>1</v>
      </c>
      <c r="E63" s="231" t="n">
        <v>32</v>
      </c>
      <c r="F63" s="231" t="n">
        <v>3</v>
      </c>
      <c r="G63" s="231" t="n">
        <v>4</v>
      </c>
      <c r="H63" s="231"/>
      <c r="I63" s="231"/>
      <c r="J63" s="19" t="n">
        <f aca="false">SUM(D63:I63)</f>
        <v>40</v>
      </c>
      <c r="K63" s="19" t="n">
        <f aca="false">COUNTIF(D63:I63,"&lt;=49")+COUNTIF(D63:I63,"AB")</f>
        <v>4</v>
      </c>
      <c r="L63" s="19" t="n">
        <f aca="false">COUNTIF(E63:J63,"AB")</f>
        <v>0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Format="false" ht="24.75" hidden="false" customHeight="true" outlineLevel="0" collapsed="false">
      <c r="A64" s="42" t="n">
        <v>54</v>
      </c>
      <c r="B64" s="90" t="n">
        <v>511522205058</v>
      </c>
      <c r="C64" s="90" t="s">
        <v>412</v>
      </c>
      <c r="D64" s="233" t="n">
        <v>49</v>
      </c>
      <c r="E64" s="231" t="n">
        <v>54</v>
      </c>
      <c r="F64" s="231" t="n">
        <v>29</v>
      </c>
      <c r="G64" s="231" t="n">
        <v>44</v>
      </c>
      <c r="H64" s="231"/>
      <c r="I64" s="231"/>
      <c r="J64" s="19" t="n">
        <f aca="false">SUM(D64:I64)</f>
        <v>176</v>
      </c>
      <c r="K64" s="19" t="n">
        <f aca="false">COUNTIF(D64:I64,"&lt;=49")+COUNTIF(D64:I64,"AB")</f>
        <v>3</v>
      </c>
      <c r="L64" s="19" t="n">
        <f aca="false">COUNTIF(E64:J64,"AB")</f>
        <v>0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Format="false" ht="24.75" hidden="false" customHeight="true" outlineLevel="0" collapsed="false">
      <c r="A65" s="42" t="n">
        <v>55</v>
      </c>
      <c r="B65" s="234" t="n">
        <v>511522205301</v>
      </c>
      <c r="C65" s="235" t="s">
        <v>413</v>
      </c>
      <c r="D65" s="233" t="n">
        <v>63</v>
      </c>
      <c r="E65" s="231" t="n">
        <v>54</v>
      </c>
      <c r="F65" s="231" t="n">
        <v>50</v>
      </c>
      <c r="G65" s="231" t="n">
        <v>37</v>
      </c>
      <c r="H65" s="231"/>
      <c r="I65" s="231"/>
      <c r="J65" s="19" t="n">
        <f aca="false">SUM(D65:I65)</f>
        <v>204</v>
      </c>
      <c r="K65" s="19" t="n">
        <f aca="false">COUNTIF(D65:I65,"&lt;=49")+COUNTIF(D65:I65,"AB")</f>
        <v>1</v>
      </c>
      <c r="L65" s="19" t="n">
        <f aca="false">COUNTIF(E65:J65,"AB")</f>
        <v>0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Format="false" ht="24.75" hidden="false" customHeight="true" outlineLevel="0" collapsed="false">
      <c r="A66" s="42" t="n">
        <v>56</v>
      </c>
      <c r="B66" s="234" t="n">
        <v>511522205302</v>
      </c>
      <c r="C66" s="235" t="s">
        <v>414</v>
      </c>
      <c r="D66" s="233" t="s">
        <v>362</v>
      </c>
      <c r="E66" s="231" t="s">
        <v>24</v>
      </c>
      <c r="F66" s="231" t="s">
        <v>24</v>
      </c>
      <c r="G66" s="231" t="s">
        <v>24</v>
      </c>
      <c r="H66" s="231"/>
      <c r="I66" s="231"/>
      <c r="J66" s="19" t="n">
        <f aca="false">SUM(D66:I66)</f>
        <v>0</v>
      </c>
      <c r="K66" s="19" t="n">
        <f aca="false">COUNTIF(D66:I66,"&lt;=49")+COUNTIF(D66:I66,"AB")</f>
        <v>4</v>
      </c>
      <c r="L66" s="19" t="n">
        <f aca="false">COUNTIF(E66:J66,"AB")</f>
        <v>3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Format="false" ht="24.75" hidden="false" customHeight="true" outlineLevel="0" collapsed="false">
      <c r="A67" s="42" t="n">
        <v>57</v>
      </c>
      <c r="B67" s="234" t="n">
        <v>511522205303</v>
      </c>
      <c r="C67" s="235" t="s">
        <v>415</v>
      </c>
      <c r="D67" s="233" t="n">
        <v>63</v>
      </c>
      <c r="E67" s="231" t="n">
        <v>64</v>
      </c>
      <c r="F67" s="231" t="n">
        <v>60</v>
      </c>
      <c r="G67" s="231" t="n">
        <v>51</v>
      </c>
      <c r="H67" s="231"/>
      <c r="I67" s="231"/>
      <c r="J67" s="19" t="n">
        <f aca="false">SUM(D67:I67)</f>
        <v>238</v>
      </c>
      <c r="K67" s="19" t="n">
        <f aca="false">COUNTIF(D67:I67,"&lt;=49")+COUNTIF(D67:I67,"AB")</f>
        <v>0</v>
      </c>
      <c r="L67" s="19" t="n">
        <f aca="false">COUNTIF(E67:J67,"AB")</f>
        <v>0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Format="false" ht="24.75" hidden="false" customHeight="true" outlineLevel="0" collapsed="false">
      <c r="A68" s="42" t="n">
        <v>58</v>
      </c>
      <c r="B68" s="234" t="n">
        <v>511522205304</v>
      </c>
      <c r="C68" s="235" t="s">
        <v>416</v>
      </c>
      <c r="D68" s="233" t="s">
        <v>362</v>
      </c>
      <c r="E68" s="231"/>
      <c r="F68" s="231" t="s">
        <v>24</v>
      </c>
      <c r="G68" s="231" t="s">
        <v>24</v>
      </c>
      <c r="H68" s="231"/>
      <c r="I68" s="231"/>
      <c r="J68" s="19" t="n">
        <f aca="false">SUM(D68:I68)</f>
        <v>0</v>
      </c>
      <c r="K68" s="19" t="n">
        <f aca="false">COUNTIF(D68:I68,"&lt;=49")+COUNTIF(D68:I68,"AB")</f>
        <v>3</v>
      </c>
      <c r="L68" s="19" t="n">
        <f aca="false">COUNTIF(E68:J68,"AB")</f>
        <v>2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Format="false" ht="37.5" hidden="false" customHeight="true" outlineLevel="0" collapsed="false">
      <c r="A69" s="42"/>
      <c r="B69" s="43"/>
      <c r="C69" s="43"/>
      <c r="D69" s="236"/>
      <c r="E69" s="237"/>
      <c r="F69" s="237"/>
      <c r="G69" s="237"/>
      <c r="H69" s="237"/>
      <c r="I69" s="237"/>
      <c r="J69" s="43"/>
      <c r="K69" s="43"/>
      <c r="L69" s="44" t="s">
        <v>76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Format="false" ht="24.75" hidden="false" customHeight="true" outlineLevel="0" collapsed="false">
      <c r="A70" s="45" t="s">
        <v>77</v>
      </c>
      <c r="B70" s="45"/>
      <c r="C70" s="45"/>
      <c r="D70" s="231" t="n">
        <v>58</v>
      </c>
      <c r="E70" s="231" t="n">
        <v>58</v>
      </c>
      <c r="F70" s="231" t="n">
        <v>58</v>
      </c>
      <c r="G70" s="231" t="n">
        <v>58</v>
      </c>
      <c r="H70" s="231" t="n">
        <v>58</v>
      </c>
      <c r="I70" s="231"/>
      <c r="J70" s="238" t="s">
        <v>417</v>
      </c>
      <c r="K70" s="46" t="n">
        <f aca="false">COUNTIF(K11:K68,"1")</f>
        <v>9</v>
      </c>
      <c r="L70" s="47" t="n">
        <f aca="false">COUNTIF(K11:K68,"0")</f>
        <v>8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Format="false" ht="24.75" hidden="false" customHeight="true" outlineLevel="0" collapsed="false">
      <c r="A71" s="48" t="s">
        <v>79</v>
      </c>
      <c r="B71" s="48"/>
      <c r="C71" s="48"/>
      <c r="D71" s="231" t="n">
        <f aca="false">COUNT(D11:D68,"!AB")</f>
        <v>54</v>
      </c>
      <c r="E71" s="231" t="n">
        <f aca="false">COUNT(E11:E68,"!AB")</f>
        <v>51</v>
      </c>
      <c r="F71" s="231" t="n">
        <f aca="false">COUNT(F11:F68,"!AB")</f>
        <v>55</v>
      </c>
      <c r="G71" s="231" t="n">
        <f aca="false">COUNT(G11:G68,"!AB")</f>
        <v>51</v>
      </c>
      <c r="H71" s="231" t="n">
        <f aca="false">COUNT(H11:H68,"!AB")</f>
        <v>0</v>
      </c>
      <c r="I71" s="231"/>
      <c r="J71" s="46" t="s">
        <v>80</v>
      </c>
      <c r="K71" s="46" t="n">
        <f aca="false">COUNTIF(K12:K68,"2")</f>
        <v>8</v>
      </c>
      <c r="L71" s="47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Format="false" ht="24.75" hidden="false" customHeight="true" outlineLevel="0" collapsed="false">
      <c r="A72" s="48" t="s">
        <v>81</v>
      </c>
      <c r="B72" s="48"/>
      <c r="C72" s="48"/>
      <c r="D72" s="231" t="n">
        <f aca="false">COUNTIF(D11:D68,"AB")</f>
        <v>4</v>
      </c>
      <c r="E72" s="231" t="n">
        <f aca="false">COUNTIF(E11:E68,"AB")</f>
        <v>6</v>
      </c>
      <c r="F72" s="231" t="n">
        <f aca="false">COUNTIF(F11:F68,"AB")</f>
        <v>3</v>
      </c>
      <c r="G72" s="231" t="n">
        <f aca="false">COUNTIF(G11:G68,"AB")</f>
        <v>7</v>
      </c>
      <c r="H72" s="231" t="n">
        <f aca="false">COUNTIF(H11:H68,"AB")</f>
        <v>0</v>
      </c>
      <c r="I72" s="231"/>
      <c r="J72" s="46" t="s">
        <v>82</v>
      </c>
      <c r="K72" s="46" t="n">
        <f aca="false">COUNTIF(K13:K68,"3")</f>
        <v>13</v>
      </c>
      <c r="L72" s="47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Format="false" ht="24.75" hidden="false" customHeight="true" outlineLevel="0" collapsed="false">
      <c r="A73" s="48" t="s">
        <v>83</v>
      </c>
      <c r="B73" s="48"/>
      <c r="C73" s="48"/>
      <c r="D73" s="231" t="n">
        <f aca="false">COUNTIF(D11:D68,"OD")</f>
        <v>0</v>
      </c>
      <c r="E73" s="231" t="n">
        <f aca="false">COUNTIF(E11:E68,"OD")</f>
        <v>0</v>
      </c>
      <c r="F73" s="231" t="n">
        <f aca="false">COUNTIF(F11:F68,"OD")</f>
        <v>0</v>
      </c>
      <c r="G73" s="231" t="n">
        <f aca="false">COUNTIF(G11:G68,"OD")</f>
        <v>0</v>
      </c>
      <c r="H73" s="231" t="n">
        <f aca="false">COUNTIF(H11:H68,"OD")</f>
        <v>0</v>
      </c>
      <c r="I73" s="231"/>
      <c r="J73" s="13" t="s">
        <v>84</v>
      </c>
      <c r="K73" s="46" t="n">
        <f aca="false">COUNTIF(K14:K68,"4")</f>
        <v>19</v>
      </c>
      <c r="L73" s="47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Format="false" ht="24.75" hidden="false" customHeight="true" outlineLevel="0" collapsed="false">
      <c r="A74" s="48" t="s">
        <v>85</v>
      </c>
      <c r="B74" s="48"/>
      <c r="C74" s="48"/>
      <c r="D74" s="231" t="n">
        <f aca="false">COUNTIF(D11:D68,"&gt;=50")</f>
        <v>19</v>
      </c>
      <c r="E74" s="231" t="n">
        <f aca="false">COUNTIF(E11:E68,"&gt;=50")</f>
        <v>35</v>
      </c>
      <c r="F74" s="231" t="n">
        <f aca="false">COUNTIF(F11:F68,"&gt;=50")</f>
        <v>18</v>
      </c>
      <c r="G74" s="231" t="n">
        <f aca="false">COUNTIF(G11:G68,"&gt;=50")</f>
        <v>15</v>
      </c>
      <c r="H74" s="231" t="n">
        <f aca="false">COUNTIF(H11:H68,"&gt;=50")</f>
        <v>0</v>
      </c>
      <c r="I74" s="231"/>
      <c r="J74" s="46" t="s">
        <v>86</v>
      </c>
      <c r="K74" s="46" t="n">
        <f aca="false">COUNTIF(K15:K68,"5")</f>
        <v>0</v>
      </c>
      <c r="L74" s="47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Format="false" ht="24.75" hidden="false" customHeight="true" outlineLevel="0" collapsed="false">
      <c r="A75" s="48" t="s">
        <v>87</v>
      </c>
      <c r="B75" s="48"/>
      <c r="C75" s="48"/>
      <c r="D75" s="231" t="n">
        <f aca="false">COUNTIF(D11:D68,"&lt;=49")</f>
        <v>35</v>
      </c>
      <c r="E75" s="231" t="n">
        <f aca="false">COUNTIF(E11:E68,"&lt;=49")</f>
        <v>16</v>
      </c>
      <c r="F75" s="231" t="n">
        <f aca="false">COUNTIF(F11:F68,"&lt;=49")</f>
        <v>37</v>
      </c>
      <c r="G75" s="231" t="n">
        <f aca="false">COUNTIF(G11:G68,"&lt;=49")</f>
        <v>36</v>
      </c>
      <c r="H75" s="231" t="n">
        <f aca="false">COUNTIF(H11:H68,"&lt;=49")</f>
        <v>0</v>
      </c>
      <c r="I75" s="231"/>
      <c r="J75" s="49" t="s">
        <v>88</v>
      </c>
      <c r="K75" s="46" t="n">
        <f aca="false">COUNTIF(K16:K68,"6")</f>
        <v>0</v>
      </c>
      <c r="L75" s="47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Format="false" ht="24.75" hidden="false" customHeight="true" outlineLevel="0" collapsed="false">
      <c r="A76" s="50" t="s">
        <v>89</v>
      </c>
      <c r="B76" s="50"/>
      <c r="C76" s="50"/>
      <c r="D76" s="239" t="n">
        <f aca="false">D74/D71</f>
        <v>0.351851851851852</v>
      </c>
      <c r="E76" s="239" t="n">
        <f aca="false">E74/E71</f>
        <v>0.686274509803922</v>
      </c>
      <c r="F76" s="239" t="n">
        <f aca="false">F74/F71</f>
        <v>0.327272727272727</v>
      </c>
      <c r="G76" s="239" t="n">
        <f aca="false">G74/G71</f>
        <v>0.294117647058824</v>
      </c>
      <c r="H76" s="239" t="e">
        <f aca="false">H74/H71</f>
        <v>#DIV/0!</v>
      </c>
      <c r="I76" s="239"/>
      <c r="J76" s="101"/>
      <c r="K76" s="240"/>
      <c r="L76" s="47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Format="false" ht="9.75" hidden="false" customHeight="true" outlineLevel="0" collapsed="false">
      <c r="A77" s="241"/>
      <c r="B77" s="56"/>
      <c r="C77" s="58"/>
      <c r="D77" s="242"/>
      <c r="E77" s="58"/>
      <c r="F77" s="60"/>
      <c r="G77" s="62"/>
      <c r="H77" s="243"/>
      <c r="I77" s="222"/>
      <c r="J77" s="222"/>
      <c r="K77" s="222"/>
      <c r="L77" s="222"/>
      <c r="M77" s="222"/>
      <c r="N77" s="222"/>
      <c r="O77" s="222"/>
      <c r="P77" s="222"/>
      <c r="Q77" s="222"/>
      <c r="R77" s="222"/>
      <c r="S77" s="222"/>
      <c r="T77" s="222"/>
    </row>
    <row r="78" customFormat="false" ht="39.75" hidden="false" customHeight="true" outlineLevel="0" collapsed="false">
      <c r="A78" s="244" t="s">
        <v>91</v>
      </c>
      <c r="B78" s="54" t="s">
        <v>92</v>
      </c>
      <c r="C78" s="54"/>
      <c r="D78" s="54"/>
      <c r="E78" s="245" t="s">
        <v>93</v>
      </c>
      <c r="F78" s="245"/>
      <c r="G78" s="245" t="s">
        <v>94</v>
      </c>
      <c r="H78" s="58" t="s">
        <v>95</v>
      </c>
      <c r="I78" s="60" t="s">
        <v>96</v>
      </c>
      <c r="J78" s="62" t="s">
        <v>97</v>
      </c>
      <c r="K78" s="222"/>
      <c r="L78" s="222"/>
      <c r="M78" s="222"/>
      <c r="N78" s="222"/>
      <c r="O78" s="222"/>
      <c r="P78" s="222"/>
      <c r="Q78" s="222"/>
      <c r="R78" s="222"/>
      <c r="S78" s="222"/>
      <c r="T78" s="222"/>
    </row>
    <row r="79" customFormat="false" ht="22.5" hidden="false" customHeight="true" outlineLevel="0" collapsed="false">
      <c r="A79" s="241" t="n">
        <v>1</v>
      </c>
      <c r="B79" s="65" t="s">
        <v>183</v>
      </c>
      <c r="C79" s="65"/>
      <c r="D79" s="65"/>
      <c r="E79" s="111" t="s">
        <v>418</v>
      </c>
      <c r="F79" s="111"/>
      <c r="G79" s="67" t="n">
        <f aca="false">D71</f>
        <v>54</v>
      </c>
      <c r="H79" s="69" t="n">
        <f aca="false">D72</f>
        <v>4</v>
      </c>
      <c r="I79" s="69" t="n">
        <f aca="false">D74</f>
        <v>19</v>
      </c>
      <c r="J79" s="72" t="n">
        <f aca="false">I79/G79*100</f>
        <v>35.1851851851852</v>
      </c>
      <c r="K79" s="222"/>
      <c r="L79" s="222"/>
      <c r="M79" s="222"/>
      <c r="N79" s="222"/>
      <c r="O79" s="222"/>
      <c r="P79" s="222"/>
      <c r="Q79" s="222"/>
      <c r="R79" s="222"/>
      <c r="S79" s="222"/>
      <c r="T79" s="222"/>
    </row>
    <row r="80" customFormat="false" ht="22.5" hidden="false" customHeight="true" outlineLevel="0" collapsed="false">
      <c r="A80" s="241" t="n">
        <v>2</v>
      </c>
      <c r="B80" s="65" t="s">
        <v>419</v>
      </c>
      <c r="C80" s="65"/>
      <c r="D80" s="65"/>
      <c r="E80" s="111" t="s">
        <v>420</v>
      </c>
      <c r="F80" s="111"/>
      <c r="G80" s="67" t="n">
        <f aca="false">E71</f>
        <v>51</v>
      </c>
      <c r="H80" s="69" t="n">
        <f aca="false">E72</f>
        <v>6</v>
      </c>
      <c r="I80" s="69" t="n">
        <f aca="false">E74</f>
        <v>35</v>
      </c>
      <c r="J80" s="74" t="n">
        <f aca="false">I80/G80*100</f>
        <v>68.6274509803922</v>
      </c>
      <c r="K80" s="222"/>
      <c r="L80" s="222"/>
      <c r="M80" s="222"/>
      <c r="N80" s="222"/>
      <c r="O80" s="222"/>
      <c r="P80" s="222"/>
      <c r="Q80" s="222"/>
      <c r="R80" s="222"/>
      <c r="S80" s="222"/>
      <c r="T80" s="222"/>
    </row>
    <row r="81" customFormat="false" ht="22.5" hidden="false" customHeight="true" outlineLevel="0" collapsed="false">
      <c r="A81" s="241" t="n">
        <v>3</v>
      </c>
      <c r="B81" s="65" t="s">
        <v>193</v>
      </c>
      <c r="C81" s="65"/>
      <c r="D81" s="65"/>
      <c r="E81" s="111" t="s">
        <v>421</v>
      </c>
      <c r="F81" s="111"/>
      <c r="G81" s="67" t="n">
        <f aca="false">F71</f>
        <v>55</v>
      </c>
      <c r="H81" s="69" t="n">
        <f aca="false">F72</f>
        <v>3</v>
      </c>
      <c r="I81" s="69" t="n">
        <f aca="false">F74</f>
        <v>18</v>
      </c>
      <c r="J81" s="74" t="n">
        <f aca="false">I81/G81*100</f>
        <v>32.7272727272727</v>
      </c>
      <c r="K81" s="222"/>
      <c r="L81" s="222"/>
      <c r="M81" s="222"/>
      <c r="N81" s="222"/>
      <c r="O81" s="222"/>
      <c r="P81" s="222"/>
      <c r="Q81" s="222"/>
      <c r="R81" s="222"/>
      <c r="S81" s="222"/>
      <c r="T81" s="222"/>
    </row>
    <row r="82" customFormat="false" ht="22.5" hidden="false" customHeight="true" outlineLevel="0" collapsed="false">
      <c r="A82" s="244" t="n">
        <v>4</v>
      </c>
      <c r="B82" s="246" t="s">
        <v>191</v>
      </c>
      <c r="C82" s="246"/>
      <c r="D82" s="246"/>
      <c r="E82" s="111" t="s">
        <v>349</v>
      </c>
      <c r="F82" s="111"/>
      <c r="G82" s="67" t="n">
        <f aca="false">G71</f>
        <v>51</v>
      </c>
      <c r="H82" s="69" t="n">
        <f aca="false">G72</f>
        <v>7</v>
      </c>
      <c r="I82" s="69" t="n">
        <f aca="false">G74</f>
        <v>15</v>
      </c>
      <c r="J82" s="74" t="n">
        <f aca="false">I82/G82*100</f>
        <v>29.4117647058824</v>
      </c>
      <c r="K82" s="222"/>
      <c r="L82" s="222"/>
      <c r="M82" s="222"/>
      <c r="N82" s="222"/>
      <c r="O82" s="222"/>
      <c r="P82" s="222"/>
      <c r="Q82" s="222"/>
      <c r="R82" s="222"/>
      <c r="S82" s="222"/>
      <c r="T82" s="222"/>
    </row>
    <row r="83" customFormat="false" ht="22.5" hidden="false" customHeight="true" outlineLevel="0" collapsed="false">
      <c r="A83" s="241" t="n">
        <v>5</v>
      </c>
      <c r="B83" s="65" t="s">
        <v>189</v>
      </c>
      <c r="C83" s="65"/>
      <c r="D83" s="65"/>
      <c r="E83" s="111" t="s">
        <v>190</v>
      </c>
      <c r="F83" s="111"/>
      <c r="G83" s="67" t="n">
        <f aca="false">H71</f>
        <v>0</v>
      </c>
      <c r="H83" s="69" t="n">
        <f aca="false">H72</f>
        <v>0</v>
      </c>
      <c r="I83" s="69" t="n">
        <f aca="false">H74</f>
        <v>0</v>
      </c>
      <c r="J83" s="74" t="e">
        <f aca="false">I83/G83*100</f>
        <v>#DIV/0!</v>
      </c>
      <c r="K83" s="222"/>
      <c r="L83" s="222"/>
      <c r="M83" s="222"/>
      <c r="N83" s="222"/>
      <c r="O83" s="222"/>
      <c r="P83" s="222"/>
      <c r="Q83" s="222"/>
      <c r="R83" s="222"/>
      <c r="S83" s="222"/>
      <c r="T83" s="222"/>
    </row>
    <row r="84" customFormat="false" ht="24.75" hidden="false" customHeight="true" outlineLevel="0" collapsed="false">
      <c r="A84" s="8"/>
      <c r="B84" s="113" t="s">
        <v>195</v>
      </c>
      <c r="C84" s="113"/>
      <c r="D84" s="113"/>
      <c r="E84" s="113"/>
      <c r="F84" s="113"/>
      <c r="G84" s="113"/>
      <c r="H84" s="113"/>
      <c r="I84" s="113"/>
      <c r="J84" s="8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Format="false" ht="24.75" hidden="false" customHeight="true" outlineLevel="0" collapsed="false">
      <c r="A85" s="8"/>
      <c r="B85" s="192" t="s">
        <v>196</v>
      </c>
      <c r="C85" s="192" t="s">
        <v>197</v>
      </c>
      <c r="D85" s="247" t="s">
        <v>198</v>
      </c>
      <c r="E85" s="247"/>
      <c r="F85" s="247"/>
      <c r="G85" s="247"/>
      <c r="H85" s="247"/>
      <c r="I85" s="247"/>
      <c r="J85" s="8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Format="false" ht="24.75" hidden="false" customHeight="true" outlineLevel="0" collapsed="false">
      <c r="A86" s="8"/>
      <c r="B86" s="192"/>
      <c r="C86" s="194"/>
      <c r="D86" s="244" t="s">
        <v>199</v>
      </c>
      <c r="E86" s="166" t="s">
        <v>200</v>
      </c>
      <c r="F86" s="166" t="s">
        <v>201</v>
      </c>
      <c r="G86" s="166" t="s">
        <v>202</v>
      </c>
      <c r="H86" s="166" t="s">
        <v>203</v>
      </c>
      <c r="I86" s="166" t="s">
        <v>422</v>
      </c>
      <c r="J86" s="8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Format="false" ht="24.75" hidden="false" customHeight="true" outlineLevel="0" collapsed="false">
      <c r="A87" s="8"/>
      <c r="B87" s="248" t="s">
        <v>423</v>
      </c>
      <c r="C87" s="116" t="n">
        <v>0</v>
      </c>
      <c r="D87" s="244" t="n">
        <f aca="false">K70</f>
        <v>9</v>
      </c>
      <c r="E87" s="166" t="n">
        <f aca="false">K71</f>
        <v>8</v>
      </c>
      <c r="F87" s="166" t="n">
        <f aca="false">K72</f>
        <v>13</v>
      </c>
      <c r="G87" s="166" t="n">
        <f aca="false">K73</f>
        <v>19</v>
      </c>
      <c r="H87" s="166" t="n">
        <f aca="false">K74</f>
        <v>0</v>
      </c>
      <c r="I87" s="166" t="n">
        <f aca="false">K75</f>
        <v>0</v>
      </c>
      <c r="J87" s="8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Format="false" ht="15.75" hidden="false" customHeight="true" outlineLevel="0" collapsed="false">
      <c r="A88" s="8"/>
      <c r="B88" s="248"/>
      <c r="C88" s="249" t="n">
        <f aca="false">C86/58*100</f>
        <v>0</v>
      </c>
      <c r="D88" s="250"/>
      <c r="E88" s="251"/>
      <c r="F88" s="251"/>
      <c r="G88" s="251"/>
      <c r="H88" s="251"/>
      <c r="I88" s="251"/>
      <c r="J88" s="8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Format="false" ht="15.75" hidden="false" customHeight="true" outlineLevel="0" collapsed="false">
      <c r="A89" s="2"/>
      <c r="B89" s="78"/>
      <c r="C89" s="78"/>
      <c r="D89" s="252"/>
      <c r="E89" s="253"/>
      <c r="F89" s="253"/>
      <c r="G89" s="253"/>
      <c r="H89" s="253"/>
      <c r="I89" s="253"/>
      <c r="J89" s="78"/>
      <c r="K89" s="8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Format="false" ht="15.75" hidden="false" customHeight="true" outlineLevel="0" collapsed="false">
      <c r="A90" s="2"/>
      <c r="B90" s="78"/>
      <c r="C90" s="78"/>
      <c r="D90" s="252"/>
      <c r="E90" s="253"/>
      <c r="F90" s="253"/>
      <c r="G90" s="253"/>
      <c r="H90" s="253"/>
      <c r="I90" s="253"/>
      <c r="J90" s="78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Format="false" ht="15.75" hidden="false" customHeight="true" outlineLevel="0" collapsed="false">
      <c r="A91" s="2"/>
      <c r="B91" s="2"/>
      <c r="C91" s="2"/>
      <c r="D91" s="222"/>
      <c r="E91" s="222"/>
      <c r="F91" s="222"/>
      <c r="G91" s="222"/>
      <c r="H91" s="222"/>
      <c r="I91" s="22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Format="false" ht="15.75" hidden="false" customHeight="true" outlineLevel="0" collapsed="false">
      <c r="A92" s="2"/>
      <c r="D92" s="112"/>
      <c r="E92" s="112"/>
      <c r="F92" s="112"/>
      <c r="G92" s="112"/>
      <c r="H92" s="112"/>
      <c r="I92" s="254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Format="false" ht="15.75" hidden="false" customHeight="true" outlineLevel="0" collapsed="false">
      <c r="A93" s="2"/>
      <c r="B93" s="2"/>
      <c r="C93" s="2"/>
      <c r="D93" s="222"/>
      <c r="E93" s="222"/>
      <c r="F93" s="222"/>
      <c r="G93" s="222"/>
      <c r="H93" s="222"/>
      <c r="I93" s="22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Format="false" ht="15.75" hidden="false" customHeight="true" outlineLevel="0" collapsed="false">
      <c r="A94" s="2"/>
      <c r="B94" s="2"/>
      <c r="C94" s="2"/>
      <c r="D94" s="222"/>
      <c r="E94" s="222"/>
      <c r="F94" s="222"/>
      <c r="G94" s="222"/>
      <c r="H94" s="222"/>
      <c r="I94" s="22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Format="false" ht="15.75" hidden="false" customHeight="true" outlineLevel="0" collapsed="false">
      <c r="A95" s="2"/>
      <c r="B95" s="2"/>
      <c r="C95" s="2"/>
      <c r="D95" s="222"/>
      <c r="E95" s="222"/>
      <c r="F95" s="222"/>
      <c r="G95" s="222"/>
      <c r="H95" s="222"/>
      <c r="I95" s="22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Format="false" ht="15.75" hidden="false" customHeight="true" outlineLevel="0" collapsed="false">
      <c r="A96" s="2"/>
      <c r="B96" s="2"/>
      <c r="C96" s="2"/>
      <c r="D96" s="222"/>
      <c r="E96" s="222"/>
      <c r="F96" s="222"/>
      <c r="G96" s="222"/>
      <c r="H96" s="222"/>
      <c r="I96" s="22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Format="false" ht="15.75" hidden="false" customHeight="true" outlineLevel="0" collapsed="false">
      <c r="A97" s="2"/>
      <c r="B97" s="2"/>
      <c r="C97" s="2"/>
      <c r="D97" s="222"/>
      <c r="E97" s="222"/>
      <c r="F97" s="222"/>
      <c r="G97" s="222"/>
      <c r="H97" s="222"/>
      <c r="I97" s="22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Format="false" ht="15.75" hidden="false" customHeight="true" outlineLevel="0" collapsed="false">
      <c r="A98" s="2"/>
      <c r="B98" s="2"/>
      <c r="C98" s="2"/>
      <c r="D98" s="222"/>
      <c r="E98" s="222"/>
      <c r="F98" s="222"/>
      <c r="G98" s="222"/>
      <c r="H98" s="222"/>
      <c r="I98" s="22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Format="false" ht="15.75" hidden="false" customHeight="true" outlineLevel="0" collapsed="false">
      <c r="A99" s="2"/>
      <c r="B99" s="2"/>
      <c r="C99" s="2"/>
      <c r="D99" s="222"/>
      <c r="E99" s="222"/>
      <c r="F99" s="222"/>
      <c r="G99" s="222"/>
      <c r="H99" s="222"/>
      <c r="I99" s="22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Format="false" ht="15.75" hidden="false" customHeight="true" outlineLevel="0" collapsed="false">
      <c r="A100" s="2"/>
      <c r="B100" s="2"/>
      <c r="C100" s="2"/>
      <c r="D100" s="222"/>
      <c r="E100" s="222"/>
      <c r="F100" s="222"/>
      <c r="G100" s="222"/>
      <c r="H100" s="222"/>
      <c r="I100" s="22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Format="false" ht="15.75" hidden="false" customHeight="true" outlineLevel="0" collapsed="false">
      <c r="A101" s="2"/>
      <c r="B101" s="2"/>
      <c r="C101" s="2"/>
      <c r="D101" s="222"/>
      <c r="E101" s="222"/>
      <c r="F101" s="222"/>
      <c r="G101" s="222"/>
      <c r="H101" s="222"/>
      <c r="I101" s="22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Format="false" ht="15.75" hidden="false" customHeight="true" outlineLevel="0" collapsed="false">
      <c r="A102" s="2"/>
      <c r="B102" s="2"/>
      <c r="C102" s="2"/>
      <c r="D102" s="222"/>
      <c r="E102" s="222"/>
      <c r="F102" s="255"/>
      <c r="G102" s="222"/>
      <c r="H102" s="222"/>
      <c r="I102" s="22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Format="false" ht="15.75" hidden="false" customHeight="true" outlineLevel="0" collapsed="false">
      <c r="A103" s="2"/>
      <c r="B103" s="2"/>
      <c r="C103" s="2"/>
      <c r="D103" s="222"/>
      <c r="E103" s="222"/>
      <c r="F103" s="222"/>
      <c r="G103" s="222"/>
      <c r="H103" s="222"/>
      <c r="I103" s="22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Format="false" ht="15.75" hidden="false" customHeight="true" outlineLevel="0" collapsed="false">
      <c r="A104" s="2"/>
      <c r="B104" s="2"/>
      <c r="C104" s="102"/>
      <c r="D104" s="256"/>
      <c r="E104" s="257"/>
      <c r="F104" s="258"/>
      <c r="G104" s="258"/>
      <c r="H104" s="258"/>
      <c r="I104" s="109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Format="false" ht="15.75" hidden="false" customHeight="true" outlineLevel="0" collapsed="false">
      <c r="A105" s="2"/>
      <c r="B105" s="2"/>
      <c r="C105" s="102"/>
      <c r="D105" s="259"/>
      <c r="E105" s="259"/>
      <c r="F105" s="260"/>
      <c r="G105" s="260"/>
      <c r="H105" s="260"/>
      <c r="I105" s="26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Format="false" ht="15.75" hidden="false" customHeight="true" outlineLevel="0" collapsed="false">
      <c r="A106" s="2"/>
      <c r="B106" s="2"/>
      <c r="C106" s="102"/>
      <c r="D106" s="259"/>
      <c r="E106" s="259"/>
      <c r="F106" s="260"/>
      <c r="G106" s="260"/>
      <c r="H106" s="260"/>
      <c r="I106" s="26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Format="false" ht="15.75" hidden="false" customHeight="true" outlineLevel="0" collapsed="false">
      <c r="A107" s="2"/>
      <c r="B107" s="2"/>
      <c r="C107" s="102"/>
      <c r="D107" s="259"/>
      <c r="E107" s="259"/>
      <c r="F107" s="260"/>
      <c r="G107" s="260"/>
      <c r="H107" s="260"/>
      <c r="I107" s="26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Format="false" ht="15.75" hidden="false" customHeight="true" outlineLevel="0" collapsed="false">
      <c r="A108" s="2"/>
      <c r="B108" s="2"/>
      <c r="C108" s="102"/>
      <c r="D108" s="259"/>
      <c r="E108" s="259"/>
      <c r="F108" s="260"/>
      <c r="G108" s="260"/>
      <c r="H108" s="260"/>
      <c r="I108" s="26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Format="false" ht="15.75" hidden="false" customHeight="true" outlineLevel="0" collapsed="false">
      <c r="A109" s="2"/>
      <c r="B109" s="2"/>
      <c r="C109" s="102"/>
      <c r="D109" s="259"/>
      <c r="E109" s="259"/>
      <c r="F109" s="260"/>
      <c r="G109" s="260"/>
      <c r="H109" s="260"/>
      <c r="I109" s="26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Format="false" ht="15.75" hidden="false" customHeight="true" outlineLevel="0" collapsed="false">
      <c r="A110" s="2"/>
      <c r="B110" s="2"/>
      <c r="C110" s="102"/>
      <c r="D110" s="259"/>
      <c r="E110" s="259"/>
      <c r="F110" s="260"/>
      <c r="G110" s="260"/>
      <c r="H110" s="260"/>
      <c r="I110" s="26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Format="false" ht="15.75" hidden="false" customHeight="true" outlineLevel="0" collapsed="false">
      <c r="A111" s="2"/>
      <c r="B111" s="2"/>
      <c r="C111" s="102"/>
      <c r="D111" s="259"/>
      <c r="E111" s="259"/>
      <c r="F111" s="260"/>
      <c r="G111" s="260"/>
      <c r="H111" s="260"/>
      <c r="I111" s="26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Format="false" ht="15.75" hidden="false" customHeight="true" outlineLevel="0" collapsed="false">
      <c r="A112" s="2"/>
      <c r="B112" s="2"/>
      <c r="C112" s="102"/>
      <c r="D112" s="259"/>
      <c r="E112" s="259"/>
      <c r="F112" s="260"/>
      <c r="G112" s="260"/>
      <c r="H112" s="260"/>
      <c r="I112" s="26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Format="false" ht="15.75" hidden="false" customHeight="true" outlineLevel="0" collapsed="false">
      <c r="A113" s="2"/>
      <c r="B113" s="2"/>
      <c r="C113" s="102"/>
      <c r="D113" s="259"/>
      <c r="E113" s="259"/>
      <c r="F113" s="260"/>
      <c r="G113" s="260"/>
      <c r="H113" s="260"/>
      <c r="I113" s="26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Format="false" ht="15.75" hidden="false" customHeight="true" outlineLevel="0" collapsed="false">
      <c r="A114" s="2"/>
      <c r="B114" s="2"/>
      <c r="C114" s="102"/>
      <c r="D114" s="259"/>
      <c r="E114" s="259"/>
      <c r="F114" s="260"/>
      <c r="G114" s="260"/>
      <c r="H114" s="260"/>
      <c r="I114" s="26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Format="false" ht="15.75" hidden="false" customHeight="true" outlineLevel="0" collapsed="false">
      <c r="A115" s="2"/>
      <c r="B115" s="2"/>
      <c r="C115" s="102"/>
      <c r="D115" s="259"/>
      <c r="E115" s="259"/>
      <c r="F115" s="260"/>
      <c r="G115" s="260"/>
      <c r="H115" s="260"/>
      <c r="I115" s="26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Format="false" ht="15.75" hidden="false" customHeight="true" outlineLevel="0" collapsed="false">
      <c r="A116" s="2"/>
      <c r="B116" s="80" t="s">
        <v>110</v>
      </c>
      <c r="C116" s="80"/>
      <c r="D116" s="222"/>
      <c r="E116" s="254" t="s">
        <v>111</v>
      </c>
      <c r="F116" s="254"/>
      <c r="G116" s="254"/>
      <c r="H116" s="254" t="s">
        <v>112</v>
      </c>
      <c r="I116" s="22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Format="false" ht="15.75" hidden="false" customHeight="true" outlineLevel="0" collapsed="false">
      <c r="A117" s="2"/>
      <c r="B117" s="2"/>
      <c r="C117" s="2"/>
      <c r="D117" s="222"/>
      <c r="E117" s="222"/>
      <c r="F117" s="222"/>
      <c r="G117" s="222"/>
      <c r="H117" s="222"/>
      <c r="I117" s="22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Format="false" ht="15.75" hidden="false" customHeight="true" outlineLevel="0" collapsed="false">
      <c r="A118" s="2"/>
      <c r="B118" s="2"/>
      <c r="C118" s="2"/>
      <c r="D118" s="222"/>
      <c r="E118" s="222"/>
      <c r="F118" s="222"/>
      <c r="G118" s="222"/>
      <c r="H118" s="222"/>
      <c r="I118" s="22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Format="false" ht="15.75" hidden="false" customHeight="true" outlineLevel="0" collapsed="false">
      <c r="A119" s="2"/>
      <c r="B119" s="2"/>
      <c r="C119" s="2"/>
      <c r="D119" s="222"/>
      <c r="E119" s="222"/>
      <c r="F119" s="222"/>
      <c r="G119" s="222"/>
      <c r="H119" s="222"/>
      <c r="I119" s="22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customFormat="false" ht="15.75" hidden="false" customHeight="true" outlineLevel="0" collapsed="false">
      <c r="A120" s="2"/>
      <c r="B120" s="2"/>
      <c r="C120" s="2"/>
      <c r="D120" s="222"/>
      <c r="E120" s="222"/>
      <c r="F120" s="222"/>
      <c r="G120" s="222"/>
      <c r="H120" s="222"/>
      <c r="I120" s="22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customFormat="false" ht="15.75" hidden="false" customHeight="true" outlineLevel="0" collapsed="false">
      <c r="A121" s="2"/>
      <c r="B121" s="2"/>
      <c r="C121" s="2"/>
      <c r="D121" s="222"/>
      <c r="E121" s="222"/>
      <c r="F121" s="222"/>
      <c r="G121" s="222"/>
      <c r="H121" s="222"/>
      <c r="I121" s="22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customFormat="false" ht="15.75" hidden="false" customHeight="true" outlineLevel="0" collapsed="false">
      <c r="A122" s="2"/>
      <c r="B122" s="2"/>
      <c r="C122" s="2"/>
      <c r="D122" s="222"/>
      <c r="E122" s="222"/>
      <c r="F122" s="222"/>
      <c r="G122" s="222"/>
      <c r="H122" s="222"/>
      <c r="I122" s="22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customFormat="false" ht="15.75" hidden="false" customHeight="true" outlineLevel="0" collapsed="false">
      <c r="A123" s="2"/>
      <c r="B123" s="2"/>
      <c r="C123" s="2"/>
      <c r="D123" s="222"/>
      <c r="E123" s="222"/>
      <c r="F123" s="222"/>
      <c r="G123" s="222"/>
      <c r="H123" s="222"/>
      <c r="I123" s="22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customFormat="false" ht="15.75" hidden="false" customHeight="true" outlineLevel="0" collapsed="false">
      <c r="A124" s="2"/>
      <c r="B124" s="2"/>
      <c r="C124" s="2"/>
      <c r="D124" s="222"/>
      <c r="E124" s="222"/>
      <c r="F124" s="222"/>
      <c r="G124" s="222"/>
      <c r="H124" s="222"/>
      <c r="I124" s="22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customFormat="false" ht="15.75" hidden="false" customHeight="true" outlineLevel="0" collapsed="false">
      <c r="A125" s="2"/>
      <c r="B125" s="2"/>
      <c r="C125" s="2"/>
      <c r="D125" s="222"/>
      <c r="E125" s="222"/>
      <c r="F125" s="222"/>
      <c r="G125" s="222"/>
      <c r="H125" s="222"/>
      <c r="I125" s="22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customFormat="false" ht="15.75" hidden="false" customHeight="true" outlineLevel="0" collapsed="false">
      <c r="A126" s="2"/>
      <c r="B126" s="2"/>
      <c r="C126" s="2"/>
      <c r="D126" s="222"/>
      <c r="E126" s="222"/>
      <c r="F126" s="222"/>
      <c r="G126" s="222"/>
      <c r="H126" s="222"/>
      <c r="I126" s="22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customFormat="false" ht="15.75" hidden="false" customHeight="true" outlineLevel="0" collapsed="false">
      <c r="A127" s="2"/>
      <c r="B127" s="2"/>
      <c r="C127" s="2"/>
      <c r="D127" s="222"/>
      <c r="E127" s="222"/>
      <c r="F127" s="222"/>
      <c r="G127" s="222"/>
      <c r="H127" s="222"/>
      <c r="I127" s="22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customFormat="false" ht="15.75" hidden="false" customHeight="true" outlineLevel="0" collapsed="false">
      <c r="A128" s="2"/>
      <c r="B128" s="2"/>
      <c r="C128" s="2"/>
      <c r="D128" s="222"/>
      <c r="E128" s="222"/>
      <c r="F128" s="222"/>
      <c r="G128" s="222"/>
      <c r="H128" s="222"/>
      <c r="I128" s="22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customFormat="false" ht="15.75" hidden="false" customHeight="true" outlineLevel="0" collapsed="false">
      <c r="A129" s="2"/>
      <c r="B129" s="2"/>
      <c r="C129" s="2"/>
      <c r="D129" s="222"/>
      <c r="E129" s="222"/>
      <c r="F129" s="222"/>
      <c r="G129" s="222"/>
      <c r="H129" s="222"/>
      <c r="I129" s="22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customFormat="false" ht="15.75" hidden="false" customHeight="true" outlineLevel="0" collapsed="false">
      <c r="A130" s="2"/>
      <c r="B130" s="2"/>
      <c r="C130" s="2"/>
      <c r="D130" s="222"/>
      <c r="E130" s="222"/>
      <c r="F130" s="222"/>
      <c r="G130" s="222"/>
      <c r="H130" s="222"/>
      <c r="I130" s="22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customFormat="false" ht="15.75" hidden="false" customHeight="true" outlineLevel="0" collapsed="false">
      <c r="A131" s="2"/>
      <c r="B131" s="2"/>
      <c r="C131" s="2"/>
      <c r="D131" s="222"/>
      <c r="E131" s="222"/>
      <c r="F131" s="222"/>
      <c r="G131" s="222"/>
      <c r="H131" s="222"/>
      <c r="I131" s="22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customFormat="false" ht="15.75" hidden="false" customHeight="true" outlineLevel="0" collapsed="false">
      <c r="A132" s="2"/>
      <c r="B132" s="2"/>
      <c r="C132" s="2"/>
      <c r="D132" s="222"/>
      <c r="E132" s="222"/>
      <c r="F132" s="222"/>
      <c r="G132" s="222"/>
      <c r="H132" s="222"/>
      <c r="I132" s="22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customFormat="false" ht="15.75" hidden="false" customHeight="true" outlineLevel="0" collapsed="false">
      <c r="A133" s="2"/>
      <c r="B133" s="2"/>
      <c r="C133" s="2"/>
      <c r="D133" s="222"/>
      <c r="E133" s="222"/>
      <c r="F133" s="222"/>
      <c r="G133" s="222"/>
      <c r="H133" s="222"/>
      <c r="I133" s="22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customFormat="false" ht="15.75" hidden="false" customHeight="true" outlineLevel="0" collapsed="false">
      <c r="A134" s="2"/>
      <c r="B134" s="2"/>
      <c r="C134" s="2"/>
      <c r="D134" s="222"/>
      <c r="E134" s="222"/>
      <c r="F134" s="222"/>
      <c r="G134" s="222"/>
      <c r="H134" s="222"/>
      <c r="I134" s="22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customFormat="false" ht="15.75" hidden="false" customHeight="true" outlineLevel="0" collapsed="false">
      <c r="A135" s="2"/>
      <c r="B135" s="2"/>
      <c r="C135" s="2"/>
      <c r="D135" s="222"/>
      <c r="E135" s="222"/>
      <c r="F135" s="222"/>
      <c r="G135" s="222"/>
      <c r="H135" s="222"/>
      <c r="I135" s="22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customFormat="false" ht="15.75" hidden="false" customHeight="true" outlineLevel="0" collapsed="false">
      <c r="A136" s="2"/>
      <c r="B136" s="2"/>
      <c r="C136" s="2"/>
      <c r="D136" s="222"/>
      <c r="E136" s="222"/>
      <c r="F136" s="222"/>
      <c r="G136" s="222"/>
      <c r="H136" s="222"/>
      <c r="I136" s="22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customFormat="false" ht="15.75" hidden="false" customHeight="true" outlineLevel="0" collapsed="false">
      <c r="A137" s="2"/>
      <c r="B137" s="2"/>
      <c r="C137" s="2"/>
      <c r="D137" s="222"/>
      <c r="E137" s="222"/>
      <c r="F137" s="222"/>
      <c r="G137" s="222"/>
      <c r="H137" s="222"/>
      <c r="I137" s="22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customFormat="false" ht="15.75" hidden="false" customHeight="true" outlineLevel="0" collapsed="false">
      <c r="A138" s="2"/>
      <c r="B138" s="2"/>
      <c r="C138" s="2"/>
      <c r="D138" s="222"/>
      <c r="E138" s="222"/>
      <c r="F138" s="222"/>
      <c r="G138" s="222"/>
      <c r="H138" s="222"/>
      <c r="I138" s="22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customFormat="false" ht="15.75" hidden="false" customHeight="true" outlineLevel="0" collapsed="false">
      <c r="A139" s="2"/>
      <c r="B139" s="2"/>
      <c r="C139" s="2"/>
      <c r="D139" s="222"/>
      <c r="E139" s="222"/>
      <c r="F139" s="222"/>
      <c r="G139" s="222"/>
      <c r="H139" s="222"/>
      <c r="I139" s="22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customFormat="false" ht="15.75" hidden="false" customHeight="true" outlineLevel="0" collapsed="false">
      <c r="A140" s="2"/>
      <c r="B140" s="2"/>
      <c r="C140" s="2"/>
      <c r="D140" s="222"/>
      <c r="E140" s="222"/>
      <c r="F140" s="222"/>
      <c r="G140" s="222"/>
      <c r="H140" s="222"/>
      <c r="I140" s="22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customFormat="false" ht="15.75" hidden="false" customHeight="true" outlineLevel="0" collapsed="false">
      <c r="A141" s="2"/>
      <c r="B141" s="2"/>
      <c r="C141" s="2"/>
      <c r="D141" s="222"/>
      <c r="E141" s="222"/>
      <c r="F141" s="222"/>
      <c r="G141" s="222"/>
      <c r="H141" s="222"/>
      <c r="I141" s="22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customFormat="false" ht="15.75" hidden="false" customHeight="true" outlineLevel="0" collapsed="false">
      <c r="A142" s="2"/>
      <c r="B142" s="2"/>
      <c r="C142" s="2"/>
      <c r="D142" s="222"/>
      <c r="E142" s="222"/>
      <c r="F142" s="222"/>
      <c r="G142" s="222"/>
      <c r="H142" s="222"/>
      <c r="I142" s="22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customFormat="false" ht="15.75" hidden="false" customHeight="true" outlineLevel="0" collapsed="false">
      <c r="A143" s="2"/>
      <c r="B143" s="2"/>
      <c r="C143" s="2"/>
      <c r="D143" s="222"/>
      <c r="E143" s="222"/>
      <c r="F143" s="222"/>
      <c r="G143" s="222"/>
      <c r="H143" s="222"/>
      <c r="I143" s="22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customFormat="false" ht="15.75" hidden="false" customHeight="true" outlineLevel="0" collapsed="false">
      <c r="A144" s="2"/>
      <c r="B144" s="2"/>
      <c r="C144" s="2"/>
      <c r="D144" s="222"/>
      <c r="E144" s="222"/>
      <c r="F144" s="222"/>
      <c r="G144" s="222"/>
      <c r="H144" s="222"/>
      <c r="I144" s="22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customFormat="false" ht="15.75" hidden="false" customHeight="true" outlineLevel="0" collapsed="false">
      <c r="A145" s="2"/>
      <c r="B145" s="2"/>
      <c r="C145" s="2"/>
      <c r="D145" s="222"/>
      <c r="E145" s="222"/>
      <c r="F145" s="222"/>
      <c r="G145" s="222"/>
      <c r="H145" s="222"/>
      <c r="I145" s="22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customFormat="false" ht="15.75" hidden="false" customHeight="true" outlineLevel="0" collapsed="false">
      <c r="A146" s="2"/>
      <c r="B146" s="2"/>
      <c r="C146" s="2"/>
      <c r="D146" s="222"/>
      <c r="E146" s="222"/>
      <c r="F146" s="222"/>
      <c r="G146" s="222"/>
      <c r="H146" s="222"/>
      <c r="I146" s="22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customFormat="false" ht="15.75" hidden="false" customHeight="true" outlineLevel="0" collapsed="false">
      <c r="A147" s="2"/>
      <c r="B147" s="2"/>
      <c r="C147" s="2"/>
      <c r="D147" s="222"/>
      <c r="E147" s="222"/>
      <c r="F147" s="222"/>
      <c r="G147" s="222"/>
      <c r="H147" s="222"/>
      <c r="I147" s="22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customFormat="false" ht="15.75" hidden="false" customHeight="true" outlineLevel="0" collapsed="false">
      <c r="A148" s="2"/>
      <c r="B148" s="2"/>
      <c r="C148" s="2"/>
      <c r="D148" s="222"/>
      <c r="E148" s="222"/>
      <c r="F148" s="222"/>
      <c r="G148" s="222"/>
      <c r="H148" s="222"/>
      <c r="I148" s="22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customFormat="false" ht="15.75" hidden="false" customHeight="true" outlineLevel="0" collapsed="false">
      <c r="A149" s="2"/>
      <c r="B149" s="2"/>
      <c r="C149" s="2"/>
      <c r="D149" s="222"/>
      <c r="E149" s="222"/>
      <c r="F149" s="222"/>
      <c r="G149" s="222"/>
      <c r="H149" s="222"/>
      <c r="I149" s="22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customFormat="false" ht="15.75" hidden="false" customHeight="true" outlineLevel="0" collapsed="false">
      <c r="A150" s="2"/>
      <c r="B150" s="2"/>
      <c r="C150" s="2"/>
      <c r="D150" s="222"/>
      <c r="E150" s="222"/>
      <c r="F150" s="222"/>
      <c r="G150" s="222"/>
      <c r="H150" s="222"/>
      <c r="I150" s="22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customFormat="false" ht="15.75" hidden="false" customHeight="true" outlineLevel="0" collapsed="false">
      <c r="A151" s="2"/>
      <c r="B151" s="2"/>
      <c r="C151" s="2"/>
      <c r="D151" s="222"/>
      <c r="E151" s="222"/>
      <c r="F151" s="222"/>
      <c r="G151" s="222"/>
      <c r="H151" s="222"/>
      <c r="I151" s="22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customFormat="false" ht="15.75" hidden="false" customHeight="true" outlineLevel="0" collapsed="false">
      <c r="A152" s="2"/>
      <c r="B152" s="2"/>
      <c r="C152" s="2"/>
      <c r="D152" s="222"/>
      <c r="E152" s="222"/>
      <c r="F152" s="222"/>
      <c r="G152" s="222"/>
      <c r="H152" s="222"/>
      <c r="I152" s="22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customFormat="false" ht="15.75" hidden="false" customHeight="true" outlineLevel="0" collapsed="false">
      <c r="A153" s="2"/>
      <c r="B153" s="2"/>
      <c r="C153" s="2"/>
      <c r="D153" s="222"/>
      <c r="E153" s="222"/>
      <c r="F153" s="222"/>
      <c r="G153" s="222"/>
      <c r="H153" s="222"/>
      <c r="I153" s="22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ustomFormat="false" ht="15.75" hidden="false" customHeight="true" outlineLevel="0" collapsed="false">
      <c r="A154" s="2"/>
      <c r="B154" s="2"/>
      <c r="C154" s="2"/>
      <c r="D154" s="222"/>
      <c r="E154" s="222"/>
      <c r="F154" s="222"/>
      <c r="G154" s="222"/>
      <c r="H154" s="222"/>
      <c r="I154" s="22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customFormat="false" ht="15.75" hidden="false" customHeight="true" outlineLevel="0" collapsed="false">
      <c r="A155" s="2"/>
      <c r="B155" s="2"/>
      <c r="C155" s="2"/>
      <c r="D155" s="222"/>
      <c r="E155" s="222"/>
      <c r="F155" s="222"/>
      <c r="G155" s="222"/>
      <c r="H155" s="222"/>
      <c r="I155" s="22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customFormat="false" ht="15.75" hidden="false" customHeight="true" outlineLevel="0" collapsed="false">
      <c r="A156" s="2"/>
      <c r="B156" s="2"/>
      <c r="C156" s="2"/>
      <c r="D156" s="222"/>
      <c r="E156" s="222"/>
      <c r="F156" s="222"/>
      <c r="G156" s="222"/>
      <c r="H156" s="222"/>
      <c r="I156" s="22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customFormat="false" ht="15.75" hidden="false" customHeight="true" outlineLevel="0" collapsed="false">
      <c r="A157" s="2"/>
      <c r="B157" s="2"/>
      <c r="C157" s="2"/>
      <c r="D157" s="222"/>
      <c r="E157" s="222"/>
      <c r="F157" s="222"/>
      <c r="G157" s="222"/>
      <c r="H157" s="222"/>
      <c r="I157" s="22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customFormat="false" ht="15.75" hidden="false" customHeight="true" outlineLevel="0" collapsed="false">
      <c r="A158" s="2"/>
      <c r="B158" s="2"/>
      <c r="C158" s="2"/>
      <c r="D158" s="222"/>
      <c r="E158" s="222"/>
      <c r="F158" s="222"/>
      <c r="G158" s="222"/>
      <c r="H158" s="222"/>
      <c r="I158" s="22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customFormat="false" ht="15.75" hidden="false" customHeight="true" outlineLevel="0" collapsed="false">
      <c r="A159" s="2"/>
      <c r="B159" s="2"/>
      <c r="C159" s="2"/>
      <c r="D159" s="222"/>
      <c r="E159" s="222"/>
      <c r="F159" s="222"/>
      <c r="G159" s="222"/>
      <c r="H159" s="222"/>
      <c r="I159" s="22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customFormat="false" ht="15.75" hidden="false" customHeight="true" outlineLevel="0" collapsed="false">
      <c r="A160" s="2"/>
      <c r="B160" s="2"/>
      <c r="C160" s="2"/>
      <c r="D160" s="222"/>
      <c r="E160" s="222"/>
      <c r="F160" s="222"/>
      <c r="G160" s="222"/>
      <c r="H160" s="222"/>
      <c r="I160" s="22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customFormat="false" ht="15.75" hidden="false" customHeight="true" outlineLevel="0" collapsed="false">
      <c r="A161" s="2"/>
      <c r="B161" s="2"/>
      <c r="C161" s="2"/>
      <c r="D161" s="222"/>
      <c r="E161" s="222"/>
      <c r="F161" s="222"/>
      <c r="G161" s="222"/>
      <c r="H161" s="222"/>
      <c r="I161" s="22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customFormat="false" ht="15.75" hidden="false" customHeight="true" outlineLevel="0" collapsed="false">
      <c r="A162" s="2"/>
      <c r="B162" s="2"/>
      <c r="C162" s="2"/>
      <c r="D162" s="222"/>
      <c r="E162" s="222"/>
      <c r="F162" s="222"/>
      <c r="G162" s="222"/>
      <c r="H162" s="222"/>
      <c r="I162" s="22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customFormat="false" ht="15.75" hidden="false" customHeight="true" outlineLevel="0" collapsed="false">
      <c r="A163" s="2"/>
      <c r="B163" s="2"/>
      <c r="C163" s="2"/>
      <c r="D163" s="222"/>
      <c r="E163" s="222"/>
      <c r="F163" s="222"/>
      <c r="G163" s="222"/>
      <c r="H163" s="222"/>
      <c r="I163" s="22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customFormat="false" ht="15.75" hidden="false" customHeight="true" outlineLevel="0" collapsed="false">
      <c r="A164" s="2"/>
      <c r="B164" s="2"/>
      <c r="C164" s="2"/>
      <c r="D164" s="222"/>
      <c r="E164" s="222"/>
      <c r="F164" s="222"/>
      <c r="G164" s="222"/>
      <c r="H164" s="222"/>
      <c r="I164" s="22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customFormat="false" ht="15.75" hidden="false" customHeight="true" outlineLevel="0" collapsed="false">
      <c r="A165" s="2"/>
      <c r="B165" s="2"/>
      <c r="C165" s="2"/>
      <c r="D165" s="222"/>
      <c r="E165" s="222"/>
      <c r="F165" s="222"/>
      <c r="G165" s="222"/>
      <c r="H165" s="222"/>
      <c r="I165" s="22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customFormat="false" ht="15.75" hidden="false" customHeight="true" outlineLevel="0" collapsed="false">
      <c r="A166" s="2"/>
      <c r="B166" s="2"/>
      <c r="C166" s="2"/>
      <c r="D166" s="222"/>
      <c r="E166" s="222"/>
      <c r="F166" s="222"/>
      <c r="G166" s="222"/>
      <c r="H166" s="222"/>
      <c r="I166" s="22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customFormat="false" ht="15.75" hidden="false" customHeight="true" outlineLevel="0" collapsed="false">
      <c r="A167" s="2"/>
      <c r="B167" s="2"/>
      <c r="C167" s="2"/>
      <c r="D167" s="222"/>
      <c r="E167" s="222"/>
      <c r="F167" s="222"/>
      <c r="G167" s="222"/>
      <c r="H167" s="222"/>
      <c r="I167" s="22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customFormat="false" ht="15.75" hidden="false" customHeight="true" outlineLevel="0" collapsed="false">
      <c r="A168" s="2"/>
      <c r="B168" s="2"/>
      <c r="C168" s="2"/>
      <c r="D168" s="222"/>
      <c r="E168" s="222"/>
      <c r="F168" s="222"/>
      <c r="G168" s="222"/>
      <c r="H168" s="222"/>
      <c r="I168" s="22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customFormat="false" ht="15.75" hidden="false" customHeight="true" outlineLevel="0" collapsed="false">
      <c r="A169" s="2"/>
      <c r="B169" s="2"/>
      <c r="C169" s="2"/>
      <c r="D169" s="222"/>
      <c r="E169" s="222"/>
      <c r="F169" s="222"/>
      <c r="G169" s="222"/>
      <c r="H169" s="222"/>
      <c r="I169" s="22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customFormat="false" ht="15.75" hidden="false" customHeight="true" outlineLevel="0" collapsed="false">
      <c r="A170" s="2"/>
      <c r="B170" s="2"/>
      <c r="C170" s="2"/>
      <c r="D170" s="222"/>
      <c r="E170" s="222"/>
      <c r="F170" s="222"/>
      <c r="G170" s="222"/>
      <c r="H170" s="222"/>
      <c r="I170" s="22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customFormat="false" ht="15.75" hidden="false" customHeight="true" outlineLevel="0" collapsed="false">
      <c r="A171" s="2"/>
      <c r="B171" s="2"/>
      <c r="C171" s="2"/>
      <c r="D171" s="222"/>
      <c r="E171" s="222"/>
      <c r="F171" s="222"/>
      <c r="G171" s="222"/>
      <c r="H171" s="222"/>
      <c r="I171" s="22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customFormat="false" ht="15.75" hidden="false" customHeight="true" outlineLevel="0" collapsed="false">
      <c r="A172" s="2"/>
      <c r="B172" s="2"/>
      <c r="C172" s="2"/>
      <c r="D172" s="222"/>
      <c r="E172" s="222"/>
      <c r="F172" s="222"/>
      <c r="G172" s="222"/>
      <c r="H172" s="222"/>
      <c r="I172" s="22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customFormat="false" ht="15.75" hidden="false" customHeight="true" outlineLevel="0" collapsed="false">
      <c r="A173" s="2"/>
      <c r="B173" s="2"/>
      <c r="C173" s="2"/>
      <c r="D173" s="222"/>
      <c r="E173" s="222"/>
      <c r="F173" s="222"/>
      <c r="G173" s="222"/>
      <c r="H173" s="222"/>
      <c r="I173" s="22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customFormat="false" ht="15.75" hidden="false" customHeight="true" outlineLevel="0" collapsed="false">
      <c r="A174" s="2"/>
      <c r="B174" s="2"/>
      <c r="C174" s="2"/>
      <c r="D174" s="222"/>
      <c r="E174" s="222"/>
      <c r="F174" s="222"/>
      <c r="G174" s="222"/>
      <c r="H174" s="222"/>
      <c r="I174" s="22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customFormat="false" ht="15.75" hidden="false" customHeight="true" outlineLevel="0" collapsed="false">
      <c r="A175" s="2"/>
      <c r="B175" s="2"/>
      <c r="C175" s="2"/>
      <c r="D175" s="222"/>
      <c r="E175" s="222"/>
      <c r="F175" s="222"/>
      <c r="G175" s="222"/>
      <c r="H175" s="222"/>
      <c r="I175" s="22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customFormat="false" ht="15.75" hidden="false" customHeight="true" outlineLevel="0" collapsed="false">
      <c r="A176" s="2"/>
      <c r="B176" s="2"/>
      <c r="C176" s="2"/>
      <c r="D176" s="222"/>
      <c r="E176" s="222"/>
      <c r="F176" s="222"/>
      <c r="G176" s="222"/>
      <c r="H176" s="222"/>
      <c r="I176" s="22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customFormat="false" ht="15.75" hidden="false" customHeight="true" outlineLevel="0" collapsed="false">
      <c r="A177" s="2"/>
      <c r="B177" s="2"/>
      <c r="C177" s="2"/>
      <c r="D177" s="222"/>
      <c r="E177" s="222"/>
      <c r="F177" s="222"/>
      <c r="G177" s="222"/>
      <c r="H177" s="222"/>
      <c r="I177" s="22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customFormat="false" ht="15.75" hidden="false" customHeight="true" outlineLevel="0" collapsed="false">
      <c r="A178" s="2"/>
      <c r="B178" s="2"/>
      <c r="C178" s="2"/>
      <c r="D178" s="222"/>
      <c r="E178" s="222"/>
      <c r="F178" s="222"/>
      <c r="G178" s="222"/>
      <c r="H178" s="222"/>
      <c r="I178" s="22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customFormat="false" ht="15.75" hidden="false" customHeight="true" outlineLevel="0" collapsed="false">
      <c r="A179" s="2"/>
      <c r="B179" s="2"/>
      <c r="C179" s="2"/>
      <c r="D179" s="222"/>
      <c r="E179" s="222"/>
      <c r="F179" s="222"/>
      <c r="G179" s="222"/>
      <c r="H179" s="222"/>
      <c r="I179" s="22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customFormat="false" ht="15.75" hidden="false" customHeight="true" outlineLevel="0" collapsed="false">
      <c r="A180" s="2"/>
      <c r="B180" s="2"/>
      <c r="C180" s="2"/>
      <c r="D180" s="222"/>
      <c r="E180" s="222"/>
      <c r="F180" s="222"/>
      <c r="G180" s="222"/>
      <c r="H180" s="222"/>
      <c r="I180" s="22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customFormat="false" ht="15.75" hidden="false" customHeight="true" outlineLevel="0" collapsed="false">
      <c r="A181" s="2"/>
      <c r="B181" s="2"/>
      <c r="C181" s="2"/>
      <c r="D181" s="222"/>
      <c r="E181" s="222"/>
      <c r="F181" s="222"/>
      <c r="G181" s="222"/>
      <c r="H181" s="222"/>
      <c r="I181" s="22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customFormat="false" ht="15.75" hidden="false" customHeight="true" outlineLevel="0" collapsed="false">
      <c r="A182" s="2"/>
      <c r="B182" s="2"/>
      <c r="C182" s="2"/>
      <c r="D182" s="222"/>
      <c r="E182" s="222"/>
      <c r="F182" s="222"/>
      <c r="G182" s="222"/>
      <c r="H182" s="222"/>
      <c r="I182" s="22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customFormat="false" ht="15.75" hidden="false" customHeight="true" outlineLevel="0" collapsed="false">
      <c r="A183" s="2"/>
      <c r="B183" s="2"/>
      <c r="C183" s="2"/>
      <c r="D183" s="222"/>
      <c r="E183" s="222"/>
      <c r="F183" s="222"/>
      <c r="G183" s="222"/>
      <c r="H183" s="222"/>
      <c r="I183" s="22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customFormat="false" ht="15.75" hidden="false" customHeight="true" outlineLevel="0" collapsed="false">
      <c r="A184" s="2"/>
      <c r="B184" s="2"/>
      <c r="C184" s="2"/>
      <c r="D184" s="222"/>
      <c r="E184" s="222"/>
      <c r="F184" s="222"/>
      <c r="G184" s="222"/>
      <c r="H184" s="222"/>
      <c r="I184" s="22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customFormat="false" ht="15.75" hidden="false" customHeight="true" outlineLevel="0" collapsed="false">
      <c r="A185" s="2"/>
      <c r="B185" s="2"/>
      <c r="C185" s="2"/>
      <c r="D185" s="222"/>
      <c r="E185" s="222"/>
      <c r="F185" s="222"/>
      <c r="G185" s="222"/>
      <c r="H185" s="222"/>
      <c r="I185" s="22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customFormat="false" ht="15.75" hidden="false" customHeight="true" outlineLevel="0" collapsed="false">
      <c r="A186" s="2"/>
      <c r="B186" s="2"/>
      <c r="C186" s="2"/>
      <c r="D186" s="222"/>
      <c r="E186" s="222"/>
      <c r="F186" s="222"/>
      <c r="G186" s="222"/>
      <c r="H186" s="222"/>
      <c r="I186" s="22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customFormat="false" ht="15.75" hidden="false" customHeight="true" outlineLevel="0" collapsed="false">
      <c r="A187" s="2"/>
      <c r="B187" s="2"/>
      <c r="C187" s="2"/>
      <c r="D187" s="222"/>
      <c r="E187" s="222"/>
      <c r="F187" s="222"/>
      <c r="G187" s="222"/>
      <c r="H187" s="222"/>
      <c r="I187" s="22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customFormat="false" ht="15.75" hidden="false" customHeight="true" outlineLevel="0" collapsed="false">
      <c r="A188" s="2"/>
      <c r="B188" s="2"/>
      <c r="C188" s="2"/>
      <c r="D188" s="222"/>
      <c r="E188" s="222"/>
      <c r="F188" s="222"/>
      <c r="G188" s="222"/>
      <c r="H188" s="222"/>
      <c r="I188" s="22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customFormat="false" ht="15.75" hidden="false" customHeight="true" outlineLevel="0" collapsed="false">
      <c r="A189" s="2"/>
      <c r="B189" s="2"/>
      <c r="C189" s="2"/>
      <c r="D189" s="222"/>
      <c r="E189" s="222"/>
      <c r="F189" s="222"/>
      <c r="G189" s="222"/>
      <c r="H189" s="222"/>
      <c r="I189" s="22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customFormat="false" ht="15.75" hidden="false" customHeight="true" outlineLevel="0" collapsed="false">
      <c r="A190" s="2"/>
      <c r="B190" s="2"/>
      <c r="C190" s="2"/>
      <c r="D190" s="222"/>
      <c r="E190" s="222"/>
      <c r="F190" s="222"/>
      <c r="G190" s="222"/>
      <c r="H190" s="222"/>
      <c r="I190" s="22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customFormat="false" ht="15.75" hidden="false" customHeight="true" outlineLevel="0" collapsed="false">
      <c r="A191" s="2"/>
      <c r="B191" s="2"/>
      <c r="C191" s="2"/>
      <c r="D191" s="222"/>
      <c r="E191" s="222"/>
      <c r="F191" s="222"/>
      <c r="G191" s="222"/>
      <c r="H191" s="222"/>
      <c r="I191" s="22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customFormat="false" ht="15.75" hidden="false" customHeight="true" outlineLevel="0" collapsed="false">
      <c r="A192" s="2"/>
      <c r="B192" s="2"/>
      <c r="C192" s="2"/>
      <c r="D192" s="222"/>
      <c r="E192" s="222"/>
      <c r="F192" s="222"/>
      <c r="G192" s="222"/>
      <c r="H192" s="222"/>
      <c r="I192" s="22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customFormat="false" ht="15.75" hidden="false" customHeight="true" outlineLevel="0" collapsed="false">
      <c r="A193" s="2"/>
      <c r="B193" s="2"/>
      <c r="C193" s="2"/>
      <c r="D193" s="222"/>
      <c r="E193" s="222"/>
      <c r="F193" s="222"/>
      <c r="G193" s="222"/>
      <c r="H193" s="222"/>
      <c r="I193" s="22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customFormat="false" ht="15.75" hidden="false" customHeight="true" outlineLevel="0" collapsed="false">
      <c r="A194" s="2"/>
      <c r="B194" s="2"/>
      <c r="C194" s="2"/>
      <c r="D194" s="222"/>
      <c r="E194" s="222"/>
      <c r="F194" s="222"/>
      <c r="G194" s="222"/>
      <c r="H194" s="222"/>
      <c r="I194" s="22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customFormat="false" ht="15.75" hidden="false" customHeight="true" outlineLevel="0" collapsed="false">
      <c r="A195" s="2"/>
      <c r="B195" s="2"/>
      <c r="C195" s="2"/>
      <c r="D195" s="222"/>
      <c r="E195" s="222"/>
      <c r="F195" s="222"/>
      <c r="G195" s="222"/>
      <c r="H195" s="222"/>
      <c r="I195" s="22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customFormat="false" ht="15.75" hidden="false" customHeight="true" outlineLevel="0" collapsed="false">
      <c r="A196" s="2"/>
      <c r="B196" s="2"/>
      <c r="C196" s="2"/>
      <c r="D196" s="222"/>
      <c r="E196" s="222"/>
      <c r="F196" s="222"/>
      <c r="G196" s="222"/>
      <c r="H196" s="222"/>
      <c r="I196" s="22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Format="false" ht="15.75" hidden="false" customHeight="true" outlineLevel="0" collapsed="false">
      <c r="A197" s="2"/>
      <c r="B197" s="2"/>
      <c r="C197" s="2"/>
      <c r="D197" s="222"/>
      <c r="E197" s="222"/>
      <c r="F197" s="222"/>
      <c r="G197" s="222"/>
      <c r="H197" s="222"/>
      <c r="I197" s="22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customFormat="false" ht="15.75" hidden="false" customHeight="true" outlineLevel="0" collapsed="false">
      <c r="A198" s="2"/>
      <c r="B198" s="2"/>
      <c r="C198" s="2"/>
      <c r="D198" s="222"/>
      <c r="E198" s="222"/>
      <c r="F198" s="222"/>
      <c r="G198" s="222"/>
      <c r="H198" s="222"/>
      <c r="I198" s="22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customFormat="false" ht="15.75" hidden="false" customHeight="true" outlineLevel="0" collapsed="false">
      <c r="A199" s="2"/>
      <c r="B199" s="2"/>
      <c r="C199" s="2"/>
      <c r="D199" s="222"/>
      <c r="E199" s="222"/>
      <c r="F199" s="222"/>
      <c r="G199" s="222"/>
      <c r="H199" s="222"/>
      <c r="I199" s="22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customFormat="false" ht="15.75" hidden="false" customHeight="true" outlineLevel="0" collapsed="false">
      <c r="A200" s="2"/>
      <c r="B200" s="2"/>
      <c r="C200" s="2"/>
      <c r="D200" s="222"/>
      <c r="E200" s="222"/>
      <c r="F200" s="222"/>
      <c r="G200" s="222"/>
      <c r="H200" s="222"/>
      <c r="I200" s="22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customFormat="false" ht="15.75" hidden="false" customHeight="true" outlineLevel="0" collapsed="false">
      <c r="A201" s="2"/>
      <c r="B201" s="2"/>
      <c r="C201" s="2"/>
      <c r="D201" s="222"/>
      <c r="E201" s="222"/>
      <c r="F201" s="222"/>
      <c r="G201" s="222"/>
      <c r="H201" s="222"/>
      <c r="I201" s="22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customFormat="false" ht="15.75" hidden="false" customHeight="true" outlineLevel="0" collapsed="false">
      <c r="A202" s="2"/>
      <c r="B202" s="2"/>
      <c r="C202" s="2"/>
      <c r="D202" s="222"/>
      <c r="E202" s="222"/>
      <c r="F202" s="222"/>
      <c r="G202" s="222"/>
      <c r="H202" s="222"/>
      <c r="I202" s="22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customFormat="false" ht="15.75" hidden="false" customHeight="true" outlineLevel="0" collapsed="false">
      <c r="A203" s="2"/>
      <c r="B203" s="2"/>
      <c r="C203" s="2"/>
      <c r="D203" s="222"/>
      <c r="E203" s="222"/>
      <c r="F203" s="222"/>
      <c r="G203" s="222"/>
      <c r="H203" s="222"/>
      <c r="I203" s="22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customFormat="false" ht="15.75" hidden="false" customHeight="true" outlineLevel="0" collapsed="false">
      <c r="A204" s="2"/>
      <c r="B204" s="2"/>
      <c r="C204" s="2"/>
      <c r="D204" s="222"/>
      <c r="E204" s="222"/>
      <c r="F204" s="222"/>
      <c r="G204" s="222"/>
      <c r="H204" s="222"/>
      <c r="I204" s="22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customFormat="false" ht="15.75" hidden="false" customHeight="true" outlineLevel="0" collapsed="false">
      <c r="A205" s="2"/>
      <c r="B205" s="2"/>
      <c r="C205" s="2"/>
      <c r="D205" s="222"/>
      <c r="E205" s="222"/>
      <c r="F205" s="222"/>
      <c r="G205" s="222"/>
      <c r="H205" s="222"/>
      <c r="I205" s="22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customFormat="false" ht="15.75" hidden="false" customHeight="true" outlineLevel="0" collapsed="false">
      <c r="A206" s="2"/>
      <c r="B206" s="2"/>
      <c r="C206" s="2"/>
      <c r="D206" s="222"/>
      <c r="E206" s="222"/>
      <c r="F206" s="222"/>
      <c r="G206" s="222"/>
      <c r="H206" s="222"/>
      <c r="I206" s="22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customFormat="false" ht="15.75" hidden="false" customHeight="true" outlineLevel="0" collapsed="false">
      <c r="A207" s="2"/>
      <c r="B207" s="2"/>
      <c r="C207" s="2"/>
      <c r="D207" s="222"/>
      <c r="E207" s="222"/>
      <c r="F207" s="222"/>
      <c r="G207" s="222"/>
      <c r="H207" s="222"/>
      <c r="I207" s="22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customFormat="false" ht="15.75" hidden="false" customHeight="true" outlineLevel="0" collapsed="false">
      <c r="A208" s="2"/>
      <c r="B208" s="2"/>
      <c r="C208" s="2"/>
      <c r="D208" s="222"/>
      <c r="E208" s="222"/>
      <c r="F208" s="222"/>
      <c r="G208" s="222"/>
      <c r="H208" s="222"/>
      <c r="I208" s="22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customFormat="false" ht="15.75" hidden="false" customHeight="true" outlineLevel="0" collapsed="false">
      <c r="A209" s="2"/>
      <c r="B209" s="2"/>
      <c r="C209" s="2"/>
      <c r="D209" s="222"/>
      <c r="E209" s="222"/>
      <c r="F209" s="222"/>
      <c r="G209" s="222"/>
      <c r="H209" s="222"/>
      <c r="I209" s="22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customFormat="false" ht="15.75" hidden="false" customHeight="true" outlineLevel="0" collapsed="false">
      <c r="A210" s="2"/>
      <c r="B210" s="2"/>
      <c r="C210" s="2"/>
      <c r="D210" s="222"/>
      <c r="E210" s="222"/>
      <c r="F210" s="222"/>
      <c r="G210" s="222"/>
      <c r="H210" s="222"/>
      <c r="I210" s="22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customFormat="false" ht="15.75" hidden="false" customHeight="true" outlineLevel="0" collapsed="false">
      <c r="A211" s="2"/>
      <c r="B211" s="2"/>
      <c r="C211" s="2"/>
      <c r="D211" s="222"/>
      <c r="E211" s="222"/>
      <c r="F211" s="222"/>
      <c r="G211" s="222"/>
      <c r="H211" s="222"/>
      <c r="I211" s="22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customFormat="false" ht="15.75" hidden="false" customHeight="true" outlineLevel="0" collapsed="false">
      <c r="A212" s="2"/>
      <c r="B212" s="2"/>
      <c r="C212" s="2"/>
      <c r="D212" s="222"/>
      <c r="E212" s="222"/>
      <c r="F212" s="222"/>
      <c r="G212" s="222"/>
      <c r="H212" s="222"/>
      <c r="I212" s="22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customFormat="false" ht="15.75" hidden="false" customHeight="true" outlineLevel="0" collapsed="false">
      <c r="A213" s="2"/>
      <c r="B213" s="2"/>
      <c r="C213" s="2"/>
      <c r="D213" s="222"/>
      <c r="E213" s="222"/>
      <c r="F213" s="222"/>
      <c r="G213" s="222"/>
      <c r="H213" s="222"/>
      <c r="I213" s="22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customFormat="false" ht="15.75" hidden="false" customHeight="true" outlineLevel="0" collapsed="false">
      <c r="A214" s="2"/>
      <c r="B214" s="2"/>
      <c r="C214" s="2"/>
      <c r="D214" s="222"/>
      <c r="E214" s="222"/>
      <c r="F214" s="222"/>
      <c r="G214" s="222"/>
      <c r="H214" s="222"/>
      <c r="I214" s="22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customFormat="false" ht="15.75" hidden="false" customHeight="true" outlineLevel="0" collapsed="false">
      <c r="A215" s="2"/>
      <c r="B215" s="2"/>
      <c r="C215" s="2"/>
      <c r="D215" s="222"/>
      <c r="E215" s="222"/>
      <c r="F215" s="222"/>
      <c r="G215" s="222"/>
      <c r="H215" s="222"/>
      <c r="I215" s="22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customFormat="false" ht="15.75" hidden="false" customHeight="true" outlineLevel="0" collapsed="false">
      <c r="A216" s="2"/>
      <c r="B216" s="2"/>
      <c r="C216" s="2"/>
      <c r="D216" s="222"/>
      <c r="E216" s="222"/>
      <c r="F216" s="222"/>
      <c r="G216" s="222"/>
      <c r="H216" s="222"/>
      <c r="I216" s="22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customFormat="false" ht="15.75" hidden="false" customHeight="true" outlineLevel="0" collapsed="false">
      <c r="A217" s="2"/>
      <c r="B217" s="2"/>
      <c r="C217" s="2"/>
      <c r="D217" s="222"/>
      <c r="E217" s="222"/>
      <c r="F217" s="222"/>
      <c r="G217" s="222"/>
      <c r="H217" s="222"/>
      <c r="I217" s="22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customFormat="false" ht="15.75" hidden="false" customHeight="true" outlineLevel="0" collapsed="false">
      <c r="A218" s="2"/>
      <c r="B218" s="2"/>
      <c r="C218" s="2"/>
      <c r="D218" s="222"/>
      <c r="E218" s="222"/>
      <c r="F218" s="222"/>
      <c r="G218" s="222"/>
      <c r="H218" s="222"/>
      <c r="I218" s="22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customFormat="false" ht="15.75" hidden="false" customHeight="true" outlineLevel="0" collapsed="false">
      <c r="A219" s="2"/>
      <c r="B219" s="2"/>
      <c r="C219" s="2"/>
      <c r="D219" s="222"/>
      <c r="E219" s="222"/>
      <c r="F219" s="222"/>
      <c r="G219" s="222"/>
      <c r="H219" s="222"/>
      <c r="I219" s="22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customFormat="false" ht="15.75" hidden="false" customHeight="true" outlineLevel="0" collapsed="false">
      <c r="A220" s="2"/>
      <c r="B220" s="2"/>
      <c r="C220" s="2"/>
      <c r="D220" s="222"/>
      <c r="E220" s="222"/>
      <c r="F220" s="222"/>
      <c r="G220" s="222"/>
      <c r="H220" s="222"/>
      <c r="I220" s="22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customFormat="false" ht="15.75" hidden="false" customHeight="true" outlineLevel="0" collapsed="false">
      <c r="A221" s="2"/>
      <c r="B221" s="2"/>
      <c r="C221" s="2"/>
      <c r="D221" s="222"/>
      <c r="E221" s="222"/>
      <c r="F221" s="222"/>
      <c r="G221" s="222"/>
      <c r="H221" s="222"/>
      <c r="I221" s="22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customFormat="false" ht="15.75" hidden="false" customHeight="true" outlineLevel="0" collapsed="false">
      <c r="A222" s="2"/>
      <c r="B222" s="2"/>
      <c r="C222" s="2"/>
      <c r="D222" s="222"/>
      <c r="E222" s="222"/>
      <c r="F222" s="222"/>
      <c r="G222" s="222"/>
      <c r="H222" s="222"/>
      <c r="I222" s="22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customFormat="false" ht="15.75" hidden="false" customHeight="true" outlineLevel="0" collapsed="false">
      <c r="A223" s="2"/>
      <c r="B223" s="2"/>
      <c r="C223" s="2"/>
      <c r="D223" s="222"/>
      <c r="E223" s="222"/>
      <c r="F223" s="222"/>
      <c r="G223" s="222"/>
      <c r="H223" s="222"/>
      <c r="I223" s="22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customFormat="false" ht="15.75" hidden="false" customHeight="true" outlineLevel="0" collapsed="false">
      <c r="A224" s="2"/>
      <c r="B224" s="2"/>
      <c r="C224" s="2"/>
      <c r="D224" s="222"/>
      <c r="E224" s="222"/>
      <c r="F224" s="222"/>
      <c r="G224" s="222"/>
      <c r="H224" s="222"/>
      <c r="I224" s="22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customFormat="false" ht="15.75" hidden="false" customHeight="true" outlineLevel="0" collapsed="false">
      <c r="A225" s="2"/>
      <c r="B225" s="2"/>
      <c r="C225" s="2"/>
      <c r="D225" s="222"/>
      <c r="E225" s="222"/>
      <c r="F225" s="222"/>
      <c r="G225" s="222"/>
      <c r="H225" s="222"/>
      <c r="I225" s="22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customFormat="false" ht="15.75" hidden="false" customHeight="true" outlineLevel="0" collapsed="false">
      <c r="A226" s="2"/>
      <c r="B226" s="2"/>
      <c r="C226" s="2"/>
      <c r="D226" s="222"/>
      <c r="E226" s="222"/>
      <c r="F226" s="222"/>
      <c r="G226" s="222"/>
      <c r="H226" s="222"/>
      <c r="I226" s="22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customFormat="false" ht="15.75" hidden="false" customHeight="true" outlineLevel="0" collapsed="false">
      <c r="A227" s="2"/>
      <c r="B227" s="2"/>
      <c r="C227" s="2"/>
      <c r="D227" s="222"/>
      <c r="E227" s="222"/>
      <c r="F227" s="222"/>
      <c r="G227" s="222"/>
      <c r="H227" s="222"/>
      <c r="I227" s="22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customFormat="false" ht="15.75" hidden="false" customHeight="true" outlineLevel="0" collapsed="false">
      <c r="A228" s="2"/>
      <c r="B228" s="2"/>
      <c r="C228" s="2"/>
      <c r="D228" s="222"/>
      <c r="E228" s="222"/>
      <c r="F228" s="222"/>
      <c r="G228" s="222"/>
      <c r="H228" s="222"/>
      <c r="I228" s="22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customFormat="false" ht="15.75" hidden="false" customHeight="true" outlineLevel="0" collapsed="false">
      <c r="A229" s="2"/>
      <c r="B229" s="2"/>
      <c r="C229" s="2"/>
      <c r="D229" s="222"/>
      <c r="E229" s="222"/>
      <c r="F229" s="222"/>
      <c r="G229" s="222"/>
      <c r="H229" s="222"/>
      <c r="I229" s="22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customFormat="false" ht="15.75" hidden="false" customHeight="true" outlineLevel="0" collapsed="false">
      <c r="A230" s="2"/>
      <c r="B230" s="2"/>
      <c r="C230" s="2"/>
      <c r="D230" s="222"/>
      <c r="E230" s="222"/>
      <c r="F230" s="222"/>
      <c r="G230" s="222"/>
      <c r="H230" s="222"/>
      <c r="I230" s="22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customFormat="false" ht="15.75" hidden="false" customHeight="true" outlineLevel="0" collapsed="false">
      <c r="A231" s="2"/>
      <c r="B231" s="2"/>
      <c r="C231" s="2"/>
      <c r="D231" s="222"/>
      <c r="E231" s="222"/>
      <c r="F231" s="222"/>
      <c r="G231" s="222"/>
      <c r="H231" s="222"/>
      <c r="I231" s="22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customFormat="false" ht="15.75" hidden="false" customHeight="true" outlineLevel="0" collapsed="false">
      <c r="A232" s="2"/>
      <c r="B232" s="2"/>
      <c r="C232" s="2"/>
      <c r="D232" s="222"/>
      <c r="E232" s="222"/>
      <c r="F232" s="222"/>
      <c r="G232" s="222"/>
      <c r="H232" s="222"/>
      <c r="I232" s="22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customFormat="false" ht="15.75" hidden="false" customHeight="true" outlineLevel="0" collapsed="false">
      <c r="A233" s="2"/>
      <c r="B233" s="2"/>
      <c r="C233" s="2"/>
      <c r="D233" s="222"/>
      <c r="E233" s="222"/>
      <c r="F233" s="222"/>
      <c r="G233" s="222"/>
      <c r="H233" s="222"/>
      <c r="I233" s="22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customFormat="false" ht="15.75" hidden="false" customHeight="true" outlineLevel="0" collapsed="false">
      <c r="A234" s="2"/>
      <c r="B234" s="2"/>
      <c r="C234" s="2"/>
      <c r="D234" s="222"/>
      <c r="E234" s="222"/>
      <c r="F234" s="222"/>
      <c r="G234" s="222"/>
      <c r="H234" s="222"/>
      <c r="I234" s="22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customFormat="false" ht="15.75" hidden="false" customHeight="true" outlineLevel="0" collapsed="false">
      <c r="A235" s="2"/>
      <c r="B235" s="2"/>
      <c r="C235" s="2"/>
      <c r="D235" s="222"/>
      <c r="E235" s="222"/>
      <c r="F235" s="222"/>
      <c r="G235" s="222"/>
      <c r="H235" s="222"/>
      <c r="I235" s="22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customFormat="false" ht="15.75" hidden="false" customHeight="true" outlineLevel="0" collapsed="false">
      <c r="A236" s="2"/>
      <c r="B236" s="2"/>
      <c r="C236" s="2"/>
      <c r="D236" s="222"/>
      <c r="E236" s="222"/>
      <c r="F236" s="222"/>
      <c r="G236" s="222"/>
      <c r="H236" s="222"/>
      <c r="I236" s="22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customFormat="false" ht="15.75" hidden="false" customHeight="true" outlineLevel="0" collapsed="false">
      <c r="A237" s="2"/>
      <c r="B237" s="2"/>
      <c r="C237" s="2"/>
      <c r="D237" s="222"/>
      <c r="E237" s="222"/>
      <c r="F237" s="222"/>
      <c r="G237" s="222"/>
      <c r="H237" s="222"/>
      <c r="I237" s="22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customFormat="false" ht="15.75" hidden="false" customHeight="true" outlineLevel="0" collapsed="false">
      <c r="A238" s="2"/>
      <c r="B238" s="2"/>
      <c r="C238" s="2"/>
      <c r="D238" s="222"/>
      <c r="E238" s="222"/>
      <c r="F238" s="222"/>
      <c r="G238" s="222"/>
      <c r="H238" s="222"/>
      <c r="I238" s="22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customFormat="false" ht="15.75" hidden="false" customHeight="true" outlineLevel="0" collapsed="false">
      <c r="A239" s="2"/>
      <c r="B239" s="2"/>
      <c r="C239" s="2"/>
      <c r="D239" s="222"/>
      <c r="E239" s="222"/>
      <c r="F239" s="222"/>
      <c r="G239" s="222"/>
      <c r="H239" s="222"/>
      <c r="I239" s="22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customFormat="false" ht="15.75" hidden="false" customHeight="true" outlineLevel="0" collapsed="false">
      <c r="A240" s="2"/>
      <c r="B240" s="2"/>
      <c r="C240" s="2"/>
      <c r="D240" s="222"/>
      <c r="E240" s="222"/>
      <c r="F240" s="222"/>
      <c r="G240" s="222"/>
      <c r="H240" s="222"/>
      <c r="I240" s="22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customFormat="false" ht="15.75" hidden="false" customHeight="true" outlineLevel="0" collapsed="false">
      <c r="A241" s="2"/>
      <c r="B241" s="2"/>
      <c r="C241" s="2"/>
      <c r="D241" s="222"/>
      <c r="E241" s="222"/>
      <c r="F241" s="222"/>
      <c r="G241" s="222"/>
      <c r="H241" s="222"/>
      <c r="I241" s="22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customFormat="false" ht="15.75" hidden="false" customHeight="true" outlineLevel="0" collapsed="false">
      <c r="A242" s="2"/>
      <c r="B242" s="2"/>
      <c r="C242" s="2"/>
      <c r="D242" s="222"/>
      <c r="E242" s="222"/>
      <c r="F242" s="222"/>
      <c r="G242" s="222"/>
      <c r="H242" s="222"/>
      <c r="I242" s="22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customFormat="false" ht="15.75" hidden="false" customHeight="true" outlineLevel="0" collapsed="false">
      <c r="A243" s="2"/>
      <c r="B243" s="2"/>
      <c r="C243" s="2"/>
      <c r="D243" s="222"/>
      <c r="E243" s="222"/>
      <c r="F243" s="222"/>
      <c r="G243" s="222"/>
      <c r="H243" s="222"/>
      <c r="I243" s="22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customFormat="false" ht="15.75" hidden="false" customHeight="true" outlineLevel="0" collapsed="false">
      <c r="A244" s="2"/>
      <c r="B244" s="2"/>
      <c r="C244" s="2"/>
      <c r="D244" s="222"/>
      <c r="E244" s="222"/>
      <c r="F244" s="222"/>
      <c r="G244" s="222"/>
      <c r="H244" s="222"/>
      <c r="I244" s="22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customFormat="false" ht="15.75" hidden="false" customHeight="true" outlineLevel="0" collapsed="false">
      <c r="A245" s="2"/>
      <c r="B245" s="2"/>
      <c r="C245" s="2"/>
      <c r="D245" s="222"/>
      <c r="E245" s="222"/>
      <c r="F245" s="222"/>
      <c r="G245" s="222"/>
      <c r="H245" s="222"/>
      <c r="I245" s="22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customFormat="false" ht="15.75" hidden="false" customHeight="true" outlineLevel="0" collapsed="false">
      <c r="A246" s="2"/>
      <c r="B246" s="2"/>
      <c r="C246" s="2"/>
      <c r="D246" s="222"/>
      <c r="E246" s="222"/>
      <c r="F246" s="222"/>
      <c r="G246" s="222"/>
      <c r="H246" s="222"/>
      <c r="I246" s="22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customFormat="false" ht="15.75" hidden="false" customHeight="true" outlineLevel="0" collapsed="false">
      <c r="A247" s="2"/>
      <c r="B247" s="2"/>
      <c r="C247" s="2"/>
      <c r="D247" s="222"/>
      <c r="E247" s="222"/>
      <c r="F247" s="222"/>
      <c r="G247" s="222"/>
      <c r="H247" s="222"/>
      <c r="I247" s="22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customFormat="false" ht="15.75" hidden="false" customHeight="true" outlineLevel="0" collapsed="false">
      <c r="A248" s="2"/>
      <c r="B248" s="2"/>
      <c r="C248" s="2"/>
      <c r="D248" s="222"/>
      <c r="E248" s="222"/>
      <c r="F248" s="222"/>
      <c r="G248" s="222"/>
      <c r="H248" s="222"/>
      <c r="I248" s="22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customFormat="false" ht="15.75" hidden="false" customHeight="true" outlineLevel="0" collapsed="false">
      <c r="A249" s="2"/>
      <c r="B249" s="2"/>
      <c r="C249" s="2"/>
      <c r="D249" s="222"/>
      <c r="E249" s="222"/>
      <c r="F249" s="222"/>
      <c r="G249" s="222"/>
      <c r="H249" s="222"/>
      <c r="I249" s="22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customFormat="false" ht="15.75" hidden="false" customHeight="true" outlineLevel="0" collapsed="false">
      <c r="A250" s="2"/>
      <c r="B250" s="2"/>
      <c r="C250" s="2"/>
      <c r="D250" s="222"/>
      <c r="E250" s="222"/>
      <c r="F250" s="222"/>
      <c r="G250" s="222"/>
      <c r="H250" s="222"/>
      <c r="I250" s="22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customFormat="false" ht="15.75" hidden="false" customHeight="true" outlineLevel="0" collapsed="false">
      <c r="A251" s="2"/>
      <c r="B251" s="2"/>
      <c r="C251" s="2"/>
      <c r="D251" s="222"/>
      <c r="E251" s="222"/>
      <c r="F251" s="222"/>
      <c r="G251" s="222"/>
      <c r="H251" s="222"/>
      <c r="I251" s="22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customFormat="false" ht="15.75" hidden="false" customHeight="true" outlineLevel="0" collapsed="false">
      <c r="A252" s="2"/>
      <c r="B252" s="2"/>
      <c r="C252" s="2"/>
      <c r="D252" s="222"/>
      <c r="E252" s="222"/>
      <c r="F252" s="222"/>
      <c r="G252" s="222"/>
      <c r="H252" s="222"/>
      <c r="I252" s="22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customFormat="false" ht="15.75" hidden="false" customHeight="true" outlineLevel="0" collapsed="false">
      <c r="A253" s="2"/>
      <c r="B253" s="2"/>
      <c r="C253" s="2"/>
      <c r="D253" s="222"/>
      <c r="E253" s="222"/>
      <c r="F253" s="222"/>
      <c r="G253" s="222"/>
      <c r="H253" s="222"/>
      <c r="I253" s="22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customFormat="false" ht="15.75" hidden="false" customHeight="true" outlineLevel="0" collapsed="false">
      <c r="A254" s="2"/>
      <c r="B254" s="2"/>
      <c r="C254" s="2"/>
      <c r="D254" s="222"/>
      <c r="E254" s="222"/>
      <c r="F254" s="222"/>
      <c r="G254" s="222"/>
      <c r="H254" s="222"/>
      <c r="I254" s="22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customFormat="false" ht="15.75" hidden="false" customHeight="true" outlineLevel="0" collapsed="false">
      <c r="A255" s="2"/>
      <c r="B255" s="2"/>
      <c r="C255" s="2"/>
      <c r="D255" s="222"/>
      <c r="E255" s="222"/>
      <c r="F255" s="222"/>
      <c r="G255" s="222"/>
      <c r="H255" s="222"/>
      <c r="I255" s="22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customFormat="false" ht="15.75" hidden="false" customHeight="true" outlineLevel="0" collapsed="false">
      <c r="A256" s="2"/>
      <c r="B256" s="2"/>
      <c r="C256" s="2"/>
      <c r="D256" s="222"/>
      <c r="E256" s="222"/>
      <c r="F256" s="222"/>
      <c r="G256" s="222"/>
      <c r="H256" s="222"/>
      <c r="I256" s="22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customFormat="false" ht="15.75" hidden="false" customHeight="true" outlineLevel="0" collapsed="false">
      <c r="A257" s="2"/>
      <c r="B257" s="2"/>
      <c r="C257" s="2"/>
      <c r="D257" s="222"/>
      <c r="E257" s="222"/>
      <c r="F257" s="222"/>
      <c r="G257" s="222"/>
      <c r="H257" s="222"/>
      <c r="I257" s="22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customFormat="false" ht="15.75" hidden="false" customHeight="true" outlineLevel="0" collapsed="false">
      <c r="A258" s="2"/>
      <c r="B258" s="2"/>
      <c r="C258" s="2"/>
      <c r="D258" s="222"/>
      <c r="E258" s="222"/>
      <c r="F258" s="222"/>
      <c r="G258" s="222"/>
      <c r="H258" s="222"/>
      <c r="I258" s="22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customFormat="false" ht="15.75" hidden="false" customHeight="true" outlineLevel="0" collapsed="false">
      <c r="A259" s="2"/>
      <c r="B259" s="2"/>
      <c r="C259" s="2"/>
      <c r="D259" s="222"/>
      <c r="E259" s="222"/>
      <c r="F259" s="222"/>
      <c r="G259" s="222"/>
      <c r="H259" s="222"/>
      <c r="I259" s="22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customFormat="false" ht="15.75" hidden="false" customHeight="true" outlineLevel="0" collapsed="false">
      <c r="A260" s="2"/>
      <c r="B260" s="2"/>
      <c r="C260" s="2"/>
      <c r="D260" s="222"/>
      <c r="E260" s="222"/>
      <c r="F260" s="222"/>
      <c r="G260" s="222"/>
      <c r="H260" s="222"/>
      <c r="I260" s="22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customFormat="false" ht="15.75" hidden="false" customHeight="true" outlineLevel="0" collapsed="false">
      <c r="A261" s="2"/>
      <c r="B261" s="2"/>
      <c r="C261" s="2"/>
      <c r="D261" s="222"/>
      <c r="E261" s="222"/>
      <c r="F261" s="222"/>
      <c r="G261" s="222"/>
      <c r="H261" s="222"/>
      <c r="I261" s="22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customFormat="false" ht="15.75" hidden="false" customHeight="true" outlineLevel="0" collapsed="false">
      <c r="A262" s="2"/>
      <c r="B262" s="2"/>
      <c r="C262" s="2"/>
      <c r="D262" s="222"/>
      <c r="E262" s="222"/>
      <c r="F262" s="222"/>
      <c r="G262" s="222"/>
      <c r="H262" s="222"/>
      <c r="I262" s="22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customFormat="false" ht="15.75" hidden="false" customHeight="true" outlineLevel="0" collapsed="false">
      <c r="A263" s="2"/>
      <c r="B263" s="2"/>
      <c r="C263" s="2"/>
      <c r="D263" s="222"/>
      <c r="E263" s="222"/>
      <c r="F263" s="222"/>
      <c r="G263" s="222"/>
      <c r="H263" s="222"/>
      <c r="I263" s="22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customFormat="false" ht="15.75" hidden="false" customHeight="true" outlineLevel="0" collapsed="false">
      <c r="A264" s="2"/>
      <c r="B264" s="2"/>
      <c r="C264" s="2"/>
      <c r="D264" s="222"/>
      <c r="E264" s="222"/>
      <c r="F264" s="222"/>
      <c r="G264" s="222"/>
      <c r="H264" s="222"/>
      <c r="I264" s="22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customFormat="false" ht="15.75" hidden="false" customHeight="true" outlineLevel="0" collapsed="false">
      <c r="A265" s="2"/>
      <c r="B265" s="2"/>
      <c r="C265" s="2"/>
      <c r="D265" s="222"/>
      <c r="E265" s="222"/>
      <c r="F265" s="222"/>
      <c r="G265" s="222"/>
      <c r="H265" s="222"/>
      <c r="I265" s="22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customFormat="false" ht="15.75" hidden="false" customHeight="true" outlineLevel="0" collapsed="false">
      <c r="A266" s="2"/>
      <c r="B266" s="2"/>
      <c r="C266" s="2"/>
      <c r="D266" s="222"/>
      <c r="E266" s="222"/>
      <c r="F266" s="222"/>
      <c r="G266" s="222"/>
      <c r="H266" s="222"/>
      <c r="I266" s="22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customFormat="false" ht="15.75" hidden="false" customHeight="true" outlineLevel="0" collapsed="false">
      <c r="A267" s="2"/>
      <c r="B267" s="2"/>
      <c r="C267" s="2"/>
      <c r="D267" s="222"/>
      <c r="E267" s="222"/>
      <c r="F267" s="222"/>
      <c r="G267" s="222"/>
      <c r="H267" s="222"/>
      <c r="I267" s="22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customFormat="false" ht="15.75" hidden="false" customHeight="true" outlineLevel="0" collapsed="false">
      <c r="A268" s="2"/>
      <c r="B268" s="2"/>
      <c r="C268" s="2"/>
      <c r="D268" s="222"/>
      <c r="E268" s="222"/>
      <c r="F268" s="222"/>
      <c r="G268" s="222"/>
      <c r="H268" s="222"/>
      <c r="I268" s="22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customFormat="false" ht="15.75" hidden="false" customHeight="true" outlineLevel="0" collapsed="false">
      <c r="A269" s="2"/>
      <c r="B269" s="2"/>
      <c r="C269" s="2"/>
      <c r="D269" s="222"/>
      <c r="E269" s="222"/>
      <c r="F269" s="222"/>
      <c r="G269" s="222"/>
      <c r="H269" s="222"/>
      <c r="I269" s="22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customFormat="false" ht="15.75" hidden="false" customHeight="true" outlineLevel="0" collapsed="false">
      <c r="A270" s="2"/>
      <c r="B270" s="2"/>
      <c r="C270" s="2"/>
      <c r="D270" s="222"/>
      <c r="E270" s="222"/>
      <c r="F270" s="222"/>
      <c r="G270" s="222"/>
      <c r="H270" s="222"/>
      <c r="I270" s="22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customFormat="false" ht="15.75" hidden="false" customHeight="true" outlineLevel="0" collapsed="false">
      <c r="A271" s="2"/>
      <c r="B271" s="2"/>
      <c r="C271" s="2"/>
      <c r="D271" s="222"/>
      <c r="E271" s="222"/>
      <c r="F271" s="222"/>
      <c r="G271" s="222"/>
      <c r="H271" s="222"/>
      <c r="I271" s="22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customFormat="false" ht="15.75" hidden="false" customHeight="true" outlineLevel="0" collapsed="false">
      <c r="A272" s="2"/>
      <c r="B272" s="2"/>
      <c r="C272" s="2"/>
      <c r="D272" s="222"/>
      <c r="E272" s="222"/>
      <c r="F272" s="222"/>
      <c r="G272" s="222"/>
      <c r="H272" s="222"/>
      <c r="I272" s="22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customFormat="false" ht="15.75" hidden="false" customHeight="true" outlineLevel="0" collapsed="false">
      <c r="A273" s="2"/>
      <c r="B273" s="2"/>
      <c r="C273" s="2"/>
      <c r="D273" s="222"/>
      <c r="E273" s="222"/>
      <c r="F273" s="222"/>
      <c r="G273" s="222"/>
      <c r="H273" s="222"/>
      <c r="I273" s="22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customFormat="false" ht="15.75" hidden="false" customHeight="true" outlineLevel="0" collapsed="false">
      <c r="A274" s="2"/>
      <c r="B274" s="2"/>
      <c r="C274" s="2"/>
      <c r="D274" s="222"/>
      <c r="E274" s="222"/>
      <c r="F274" s="222"/>
      <c r="G274" s="222"/>
      <c r="H274" s="222"/>
      <c r="I274" s="22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customFormat="false" ht="15.75" hidden="false" customHeight="true" outlineLevel="0" collapsed="false">
      <c r="A275" s="2"/>
      <c r="B275" s="2"/>
      <c r="C275" s="2"/>
      <c r="D275" s="222"/>
      <c r="E275" s="222"/>
      <c r="F275" s="222"/>
      <c r="G275" s="222"/>
      <c r="H275" s="222"/>
      <c r="I275" s="22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customFormat="false" ht="15.75" hidden="false" customHeight="true" outlineLevel="0" collapsed="false">
      <c r="A276" s="2"/>
      <c r="B276" s="2"/>
      <c r="C276" s="2"/>
      <c r="D276" s="222"/>
      <c r="E276" s="222"/>
      <c r="F276" s="222"/>
      <c r="G276" s="222"/>
      <c r="H276" s="222"/>
      <c r="I276" s="22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customFormat="false" ht="15.75" hidden="false" customHeight="true" outlineLevel="0" collapsed="false">
      <c r="A277" s="2"/>
      <c r="B277" s="2"/>
      <c r="C277" s="2"/>
      <c r="D277" s="222"/>
      <c r="E277" s="222"/>
      <c r="F277" s="222"/>
      <c r="G277" s="222"/>
      <c r="H277" s="222"/>
      <c r="I277" s="22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customFormat="false" ht="15.75" hidden="false" customHeight="true" outlineLevel="0" collapsed="false">
      <c r="A278" s="2"/>
      <c r="B278" s="2"/>
      <c r="C278" s="2"/>
      <c r="D278" s="222"/>
      <c r="E278" s="222"/>
      <c r="F278" s="222"/>
      <c r="G278" s="222"/>
      <c r="H278" s="222"/>
      <c r="I278" s="22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customFormat="false" ht="15.75" hidden="false" customHeight="true" outlineLevel="0" collapsed="false">
      <c r="A279" s="2"/>
      <c r="B279" s="2"/>
      <c r="C279" s="2"/>
      <c r="D279" s="222"/>
      <c r="E279" s="222"/>
      <c r="F279" s="222"/>
      <c r="G279" s="222"/>
      <c r="H279" s="222"/>
      <c r="I279" s="22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customFormat="false" ht="15.75" hidden="false" customHeight="true" outlineLevel="0" collapsed="false">
      <c r="A280" s="2"/>
      <c r="B280" s="2"/>
      <c r="C280" s="2"/>
      <c r="D280" s="222"/>
      <c r="E280" s="222"/>
      <c r="F280" s="222"/>
      <c r="G280" s="222"/>
      <c r="H280" s="222"/>
      <c r="I280" s="22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customFormat="false" ht="15.75" hidden="false" customHeight="true" outlineLevel="0" collapsed="false">
      <c r="A281" s="2"/>
      <c r="B281" s="2"/>
      <c r="C281" s="2"/>
      <c r="D281" s="222"/>
      <c r="E281" s="222"/>
      <c r="F281" s="222"/>
      <c r="G281" s="222"/>
      <c r="H281" s="222"/>
      <c r="I281" s="22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customFormat="false" ht="15.75" hidden="false" customHeight="true" outlineLevel="0" collapsed="false">
      <c r="A282" s="2"/>
      <c r="B282" s="2"/>
      <c r="C282" s="2"/>
      <c r="D282" s="222"/>
      <c r="E282" s="222"/>
      <c r="F282" s="222"/>
      <c r="G282" s="222"/>
      <c r="H282" s="222"/>
      <c r="I282" s="22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customFormat="false" ht="15.75" hidden="false" customHeight="true" outlineLevel="0" collapsed="false">
      <c r="A283" s="2"/>
      <c r="B283" s="2"/>
      <c r="C283" s="2"/>
      <c r="D283" s="222"/>
      <c r="E283" s="222"/>
      <c r="F283" s="222"/>
      <c r="G283" s="222"/>
      <c r="H283" s="222"/>
      <c r="I283" s="22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customFormat="false" ht="15.75" hidden="false" customHeight="true" outlineLevel="0" collapsed="false">
      <c r="A284" s="2"/>
      <c r="B284" s="2"/>
      <c r="C284" s="2"/>
      <c r="D284" s="222"/>
      <c r="E284" s="222"/>
      <c r="F284" s="222"/>
      <c r="G284" s="222"/>
      <c r="H284" s="222"/>
      <c r="I284" s="22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customFormat="false" ht="15.75" hidden="false" customHeight="true" outlineLevel="0" collapsed="false">
      <c r="A285" s="2"/>
      <c r="B285" s="2"/>
      <c r="C285" s="2"/>
      <c r="D285" s="222"/>
      <c r="E285" s="222"/>
      <c r="F285" s="222"/>
      <c r="G285" s="222"/>
      <c r="H285" s="222"/>
      <c r="I285" s="22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customFormat="false" ht="15.75" hidden="false" customHeight="true" outlineLevel="0" collapsed="false">
      <c r="A286" s="2"/>
      <c r="B286" s="2"/>
      <c r="C286" s="2"/>
      <c r="D286" s="222"/>
      <c r="E286" s="222"/>
      <c r="F286" s="222"/>
      <c r="G286" s="222"/>
      <c r="H286" s="222"/>
      <c r="I286" s="22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customFormat="false" ht="15.75" hidden="false" customHeight="true" outlineLevel="0" collapsed="false">
      <c r="A287" s="2"/>
      <c r="B287" s="2"/>
      <c r="C287" s="2"/>
      <c r="D287" s="222"/>
      <c r="E287" s="222"/>
      <c r="F287" s="222"/>
      <c r="G287" s="222"/>
      <c r="H287" s="222"/>
      <c r="I287" s="22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customFormat="false" ht="15.75" hidden="false" customHeight="true" outlineLevel="0" collapsed="false">
      <c r="A288" s="2"/>
      <c r="B288" s="2"/>
      <c r="C288" s="2"/>
      <c r="D288" s="222"/>
      <c r="E288" s="222"/>
      <c r="F288" s="222"/>
      <c r="G288" s="222"/>
      <c r="H288" s="222"/>
      <c r="I288" s="22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customFormat="false" ht="15.75" hidden="false" customHeight="true" outlineLevel="0" collapsed="false">
      <c r="A289" s="2"/>
      <c r="B289" s="2"/>
      <c r="C289" s="2"/>
      <c r="D289" s="222"/>
      <c r="E289" s="222"/>
      <c r="F289" s="222"/>
      <c r="G289" s="222"/>
      <c r="H289" s="222"/>
      <c r="I289" s="22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customFormat="false" ht="15.75" hidden="false" customHeight="true" outlineLevel="0" collapsed="false">
      <c r="A290" s="2"/>
      <c r="B290" s="2"/>
      <c r="C290" s="2"/>
      <c r="D290" s="222"/>
      <c r="E290" s="222"/>
      <c r="F290" s="222"/>
      <c r="G290" s="222"/>
      <c r="H290" s="222"/>
      <c r="I290" s="22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customFormat="false" ht="15.75" hidden="false" customHeight="true" outlineLevel="0" collapsed="false">
      <c r="A291" s="2"/>
      <c r="B291" s="2"/>
      <c r="C291" s="2"/>
      <c r="D291" s="222"/>
      <c r="E291" s="222"/>
      <c r="F291" s="222"/>
      <c r="G291" s="222"/>
      <c r="H291" s="222"/>
      <c r="I291" s="22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customFormat="false" ht="15.75" hidden="false" customHeight="true" outlineLevel="0" collapsed="false">
      <c r="A292" s="2"/>
      <c r="B292" s="2"/>
      <c r="C292" s="2"/>
      <c r="D292" s="222"/>
      <c r="E292" s="222"/>
      <c r="F292" s="222"/>
      <c r="G292" s="222"/>
      <c r="H292" s="222"/>
      <c r="I292" s="22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customFormat="false" ht="15.75" hidden="false" customHeight="true" outlineLevel="0" collapsed="false">
      <c r="A293" s="2"/>
      <c r="B293" s="2"/>
      <c r="C293" s="2"/>
      <c r="D293" s="222"/>
      <c r="E293" s="222"/>
      <c r="F293" s="222"/>
      <c r="G293" s="222"/>
      <c r="H293" s="222"/>
      <c r="I293" s="22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customFormat="false" ht="15.75" hidden="false" customHeight="true" outlineLevel="0" collapsed="false">
      <c r="A294" s="2"/>
      <c r="B294" s="2"/>
      <c r="C294" s="2"/>
      <c r="D294" s="222"/>
      <c r="E294" s="222"/>
      <c r="F294" s="222"/>
      <c r="G294" s="222"/>
      <c r="H294" s="222"/>
      <c r="I294" s="22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customFormat="false" ht="15.75" hidden="false" customHeight="true" outlineLevel="0" collapsed="false">
      <c r="A295" s="2"/>
      <c r="B295" s="2"/>
      <c r="C295" s="2"/>
      <c r="D295" s="222"/>
      <c r="E295" s="222"/>
      <c r="F295" s="222"/>
      <c r="G295" s="222"/>
      <c r="H295" s="222"/>
      <c r="I295" s="22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customFormat="false" ht="15.75" hidden="false" customHeight="true" outlineLevel="0" collapsed="false">
      <c r="A296" s="2"/>
      <c r="B296" s="2"/>
      <c r="C296" s="2"/>
      <c r="D296" s="222"/>
      <c r="E296" s="222"/>
      <c r="F296" s="222"/>
      <c r="G296" s="222"/>
      <c r="H296" s="222"/>
      <c r="I296" s="22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customFormat="false" ht="15.75" hidden="false" customHeight="true" outlineLevel="0" collapsed="false">
      <c r="A297" s="2"/>
      <c r="B297" s="2"/>
      <c r="C297" s="2"/>
      <c r="D297" s="222"/>
      <c r="E297" s="222"/>
      <c r="F297" s="222"/>
      <c r="G297" s="222"/>
      <c r="H297" s="222"/>
      <c r="I297" s="22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customFormat="false" ht="15.75" hidden="false" customHeight="true" outlineLevel="0" collapsed="false">
      <c r="A298" s="2"/>
      <c r="B298" s="2"/>
      <c r="C298" s="2"/>
      <c r="D298" s="222"/>
      <c r="E298" s="222"/>
      <c r="F298" s="222"/>
      <c r="G298" s="222"/>
      <c r="H298" s="222"/>
      <c r="I298" s="22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customFormat="false" ht="15.75" hidden="false" customHeight="true" outlineLevel="0" collapsed="false">
      <c r="A299" s="2"/>
      <c r="B299" s="2"/>
      <c r="C299" s="2"/>
      <c r="D299" s="222"/>
      <c r="E299" s="222"/>
      <c r="F299" s="222"/>
      <c r="G299" s="222"/>
      <c r="H299" s="222"/>
      <c r="I299" s="22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customFormat="false" ht="15.75" hidden="false" customHeight="true" outlineLevel="0" collapsed="false">
      <c r="A300" s="2"/>
      <c r="B300" s="2"/>
      <c r="C300" s="2"/>
      <c r="D300" s="222"/>
      <c r="E300" s="222"/>
      <c r="F300" s="222"/>
      <c r="G300" s="222"/>
      <c r="H300" s="222"/>
      <c r="I300" s="22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customFormat="false" ht="15.75" hidden="false" customHeight="true" outlineLevel="0" collapsed="false">
      <c r="A301" s="2"/>
      <c r="B301" s="2"/>
      <c r="C301" s="2"/>
      <c r="D301" s="222"/>
      <c r="E301" s="222"/>
      <c r="F301" s="222"/>
      <c r="G301" s="222"/>
      <c r="H301" s="222"/>
      <c r="I301" s="22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customFormat="false" ht="15.75" hidden="false" customHeight="true" outlineLevel="0" collapsed="false">
      <c r="A302" s="2"/>
      <c r="B302" s="2"/>
      <c r="C302" s="2"/>
      <c r="D302" s="222"/>
      <c r="E302" s="222"/>
      <c r="F302" s="222"/>
      <c r="G302" s="222"/>
      <c r="H302" s="222"/>
      <c r="I302" s="22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customFormat="false" ht="15.75" hidden="false" customHeight="true" outlineLevel="0" collapsed="false">
      <c r="A303" s="2"/>
      <c r="B303" s="2"/>
      <c r="C303" s="2"/>
      <c r="D303" s="222"/>
      <c r="E303" s="222"/>
      <c r="F303" s="222"/>
      <c r="G303" s="222"/>
      <c r="H303" s="222"/>
      <c r="I303" s="22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customFormat="false" ht="15.75" hidden="false" customHeight="true" outlineLevel="0" collapsed="false">
      <c r="A304" s="2"/>
      <c r="B304" s="2"/>
      <c r="C304" s="2"/>
      <c r="D304" s="222"/>
      <c r="E304" s="222"/>
      <c r="F304" s="222"/>
      <c r="G304" s="222"/>
      <c r="H304" s="222"/>
      <c r="I304" s="22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customFormat="false" ht="15.75" hidden="false" customHeight="true" outlineLevel="0" collapsed="false">
      <c r="A305" s="2"/>
      <c r="B305" s="2"/>
      <c r="C305" s="2"/>
      <c r="D305" s="222"/>
      <c r="E305" s="222"/>
      <c r="F305" s="222"/>
      <c r="G305" s="222"/>
      <c r="H305" s="222"/>
      <c r="I305" s="22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customFormat="false" ht="15.75" hidden="false" customHeight="true" outlineLevel="0" collapsed="false">
      <c r="A306" s="2"/>
      <c r="B306" s="2"/>
      <c r="C306" s="2"/>
      <c r="D306" s="222"/>
      <c r="E306" s="222"/>
      <c r="F306" s="222"/>
      <c r="G306" s="222"/>
      <c r="H306" s="222"/>
      <c r="I306" s="22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customFormat="false" ht="15.75" hidden="false" customHeight="true" outlineLevel="0" collapsed="false">
      <c r="A307" s="2"/>
      <c r="B307" s="2"/>
      <c r="C307" s="2"/>
      <c r="D307" s="222"/>
      <c r="E307" s="222"/>
      <c r="F307" s="222"/>
      <c r="G307" s="222"/>
      <c r="H307" s="222"/>
      <c r="I307" s="22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customFormat="false" ht="15.75" hidden="false" customHeight="true" outlineLevel="0" collapsed="false">
      <c r="A308" s="2"/>
      <c r="B308" s="2"/>
      <c r="C308" s="2"/>
      <c r="D308" s="222"/>
      <c r="E308" s="222"/>
      <c r="F308" s="222"/>
      <c r="G308" s="222"/>
      <c r="H308" s="222"/>
      <c r="I308" s="22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customFormat="false" ht="15.75" hidden="false" customHeight="true" outlineLevel="0" collapsed="false">
      <c r="A309" s="2"/>
      <c r="B309" s="2"/>
      <c r="C309" s="2"/>
      <c r="D309" s="222"/>
      <c r="E309" s="222"/>
      <c r="F309" s="222"/>
      <c r="G309" s="222"/>
      <c r="H309" s="222"/>
      <c r="I309" s="22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customFormat="false" ht="15.75" hidden="false" customHeight="true" outlineLevel="0" collapsed="false">
      <c r="A310" s="2"/>
      <c r="B310" s="2"/>
      <c r="C310" s="2"/>
      <c r="D310" s="222"/>
      <c r="E310" s="222"/>
      <c r="F310" s="222"/>
      <c r="G310" s="222"/>
      <c r="H310" s="222"/>
      <c r="I310" s="22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customFormat="false" ht="15.75" hidden="false" customHeight="true" outlineLevel="0" collapsed="false">
      <c r="A311" s="2"/>
      <c r="B311" s="2"/>
      <c r="C311" s="2"/>
      <c r="D311" s="222"/>
      <c r="E311" s="222"/>
      <c r="F311" s="222"/>
      <c r="G311" s="222"/>
      <c r="H311" s="222"/>
      <c r="I311" s="22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customFormat="false" ht="15.75" hidden="false" customHeight="true" outlineLevel="0" collapsed="false">
      <c r="A312" s="2"/>
      <c r="B312" s="2"/>
      <c r="C312" s="2"/>
      <c r="D312" s="222"/>
      <c r="E312" s="222"/>
      <c r="F312" s="222"/>
      <c r="G312" s="222"/>
      <c r="H312" s="222"/>
      <c r="I312" s="22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customFormat="false" ht="15.75" hidden="false" customHeight="true" outlineLevel="0" collapsed="false">
      <c r="A313" s="2"/>
      <c r="B313" s="2"/>
      <c r="C313" s="2"/>
      <c r="D313" s="222"/>
      <c r="E313" s="222"/>
      <c r="F313" s="222"/>
      <c r="G313" s="222"/>
      <c r="H313" s="222"/>
      <c r="I313" s="22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customFormat="false" ht="15.75" hidden="false" customHeight="true" outlineLevel="0" collapsed="false">
      <c r="A314" s="2"/>
      <c r="B314" s="2"/>
      <c r="C314" s="2"/>
      <c r="D314" s="222"/>
      <c r="E314" s="222"/>
      <c r="F314" s="222"/>
      <c r="G314" s="222"/>
      <c r="H314" s="222"/>
      <c r="I314" s="22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customFormat="false" ht="15.75" hidden="false" customHeight="true" outlineLevel="0" collapsed="false">
      <c r="A315" s="2"/>
      <c r="B315" s="2"/>
      <c r="C315" s="2"/>
      <c r="D315" s="222"/>
      <c r="E315" s="222"/>
      <c r="F315" s="222"/>
      <c r="G315" s="222"/>
      <c r="H315" s="222"/>
      <c r="I315" s="22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customFormat="false" ht="15.75" hidden="false" customHeight="true" outlineLevel="0" collapsed="false">
      <c r="A316" s="2"/>
      <c r="B316" s="2"/>
      <c r="C316" s="2"/>
      <c r="D316" s="222"/>
      <c r="E316" s="222"/>
      <c r="F316" s="222"/>
      <c r="G316" s="222"/>
      <c r="H316" s="222"/>
      <c r="I316" s="22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customFormat="false" ht="15.75" hidden="false" customHeight="true" outlineLevel="0" collapsed="false">
      <c r="A317" s="2"/>
      <c r="B317" s="2"/>
      <c r="C317" s="2"/>
      <c r="D317" s="222"/>
      <c r="E317" s="222"/>
      <c r="F317" s="222"/>
      <c r="G317" s="222"/>
      <c r="H317" s="222"/>
      <c r="I317" s="22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customFormat="false" ht="15.75" hidden="false" customHeight="true" outlineLevel="0" collapsed="false">
      <c r="A318" s="2"/>
      <c r="B318" s="2"/>
      <c r="C318" s="2"/>
      <c r="D318" s="222"/>
      <c r="E318" s="222"/>
      <c r="F318" s="222"/>
      <c r="G318" s="222"/>
      <c r="H318" s="222"/>
      <c r="I318" s="22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customFormat="false" ht="15.75" hidden="false" customHeight="true" outlineLevel="0" collapsed="false">
      <c r="A319" s="2"/>
      <c r="B319" s="2"/>
      <c r="C319" s="2"/>
      <c r="D319" s="222"/>
      <c r="E319" s="222"/>
      <c r="F319" s="222"/>
      <c r="G319" s="222"/>
      <c r="H319" s="222"/>
      <c r="I319" s="22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customFormat="false" ht="15.75" hidden="false" customHeight="true" outlineLevel="0" collapsed="false">
      <c r="A320" s="2"/>
      <c r="B320" s="2"/>
      <c r="C320" s="2"/>
      <c r="D320" s="222"/>
      <c r="E320" s="222"/>
      <c r="F320" s="222"/>
      <c r="G320" s="222"/>
      <c r="H320" s="222"/>
      <c r="I320" s="22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customFormat="false" ht="15.75" hidden="false" customHeight="true" outlineLevel="0" collapsed="false">
      <c r="A321" s="2"/>
      <c r="B321" s="2"/>
      <c r="C321" s="2"/>
      <c r="D321" s="222"/>
      <c r="E321" s="222"/>
      <c r="F321" s="222"/>
      <c r="G321" s="222"/>
      <c r="H321" s="222"/>
      <c r="I321" s="22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customFormat="false" ht="15.75" hidden="false" customHeight="true" outlineLevel="0" collapsed="false">
      <c r="A322" s="2"/>
      <c r="B322" s="2"/>
      <c r="C322" s="2"/>
      <c r="D322" s="222"/>
      <c r="E322" s="222"/>
      <c r="F322" s="222"/>
      <c r="G322" s="222"/>
      <c r="H322" s="222"/>
      <c r="I322" s="22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customFormat="false" ht="15.75" hidden="false" customHeight="true" outlineLevel="0" collapsed="false">
      <c r="A323" s="2"/>
      <c r="B323" s="2"/>
      <c r="C323" s="2"/>
      <c r="D323" s="222"/>
      <c r="E323" s="222"/>
      <c r="F323" s="222"/>
      <c r="G323" s="222"/>
      <c r="H323" s="222"/>
      <c r="I323" s="22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customFormat="false" ht="15.75" hidden="false" customHeight="true" outlineLevel="0" collapsed="false">
      <c r="A324" s="2"/>
      <c r="B324" s="2"/>
      <c r="C324" s="2"/>
      <c r="D324" s="222"/>
      <c r="E324" s="222"/>
      <c r="F324" s="222"/>
      <c r="G324" s="222"/>
      <c r="H324" s="222"/>
      <c r="I324" s="22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customFormat="false" ht="15.75" hidden="false" customHeight="true" outlineLevel="0" collapsed="false">
      <c r="A325" s="2"/>
      <c r="B325" s="2"/>
      <c r="C325" s="2"/>
      <c r="D325" s="222"/>
      <c r="E325" s="222"/>
      <c r="F325" s="222"/>
      <c r="G325" s="222"/>
      <c r="H325" s="222"/>
      <c r="I325" s="22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customFormat="false" ht="15.75" hidden="false" customHeight="true" outlineLevel="0" collapsed="false">
      <c r="A326" s="2"/>
      <c r="B326" s="2"/>
      <c r="C326" s="2"/>
      <c r="D326" s="222"/>
      <c r="E326" s="222"/>
      <c r="F326" s="222"/>
      <c r="G326" s="222"/>
      <c r="H326" s="222"/>
      <c r="I326" s="22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customFormat="false" ht="15.75" hidden="false" customHeight="true" outlineLevel="0" collapsed="false">
      <c r="A327" s="2"/>
      <c r="B327" s="2"/>
      <c r="C327" s="2"/>
      <c r="D327" s="222"/>
      <c r="E327" s="222"/>
      <c r="F327" s="222"/>
      <c r="G327" s="222"/>
      <c r="H327" s="222"/>
      <c r="I327" s="22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customFormat="false" ht="15.75" hidden="false" customHeight="true" outlineLevel="0" collapsed="false">
      <c r="A328" s="2"/>
      <c r="B328" s="2"/>
      <c r="C328" s="2"/>
      <c r="D328" s="222"/>
      <c r="E328" s="222"/>
      <c r="F328" s="222"/>
      <c r="G328" s="222"/>
      <c r="H328" s="222"/>
      <c r="I328" s="22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customFormat="false" ht="15.75" hidden="false" customHeight="true" outlineLevel="0" collapsed="false">
      <c r="A329" s="2"/>
      <c r="B329" s="2"/>
      <c r="C329" s="2"/>
      <c r="D329" s="222"/>
      <c r="E329" s="222"/>
      <c r="F329" s="222"/>
      <c r="G329" s="222"/>
      <c r="H329" s="222"/>
      <c r="I329" s="22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customFormat="false" ht="15.75" hidden="false" customHeight="true" outlineLevel="0" collapsed="false">
      <c r="A330" s="2"/>
      <c r="B330" s="2"/>
      <c r="C330" s="2"/>
      <c r="D330" s="222"/>
      <c r="E330" s="222"/>
      <c r="F330" s="222"/>
      <c r="G330" s="222"/>
      <c r="H330" s="222"/>
      <c r="I330" s="22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customFormat="false" ht="15.75" hidden="false" customHeight="true" outlineLevel="0" collapsed="false">
      <c r="A331" s="2"/>
      <c r="B331" s="2"/>
      <c r="C331" s="2"/>
      <c r="D331" s="222"/>
      <c r="E331" s="222"/>
      <c r="F331" s="222"/>
      <c r="G331" s="222"/>
      <c r="H331" s="222"/>
      <c r="I331" s="22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customFormat="false" ht="15.75" hidden="false" customHeight="true" outlineLevel="0" collapsed="false">
      <c r="A332" s="2"/>
      <c r="B332" s="2"/>
      <c r="C332" s="2"/>
      <c r="D332" s="222"/>
      <c r="E332" s="222"/>
      <c r="F332" s="222"/>
      <c r="G332" s="222"/>
      <c r="H332" s="222"/>
      <c r="I332" s="22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customFormat="false" ht="15.75" hidden="false" customHeight="true" outlineLevel="0" collapsed="false">
      <c r="A333" s="2"/>
      <c r="B333" s="2"/>
      <c r="C333" s="2"/>
      <c r="D333" s="222"/>
      <c r="E333" s="222"/>
      <c r="F333" s="222"/>
      <c r="G333" s="222"/>
      <c r="H333" s="222"/>
      <c r="I333" s="22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customFormat="false" ht="15.75" hidden="false" customHeight="true" outlineLevel="0" collapsed="false">
      <c r="A334" s="2"/>
      <c r="B334" s="2"/>
      <c r="C334" s="2"/>
      <c r="D334" s="222"/>
      <c r="E334" s="222"/>
      <c r="F334" s="222"/>
      <c r="G334" s="222"/>
      <c r="H334" s="222"/>
      <c r="I334" s="22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customFormat="false" ht="15.75" hidden="false" customHeight="true" outlineLevel="0" collapsed="false">
      <c r="A335" s="2"/>
      <c r="B335" s="2"/>
      <c r="C335" s="2"/>
      <c r="D335" s="222"/>
      <c r="E335" s="222"/>
      <c r="F335" s="222"/>
      <c r="G335" s="222"/>
      <c r="H335" s="222"/>
      <c r="I335" s="22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customFormat="false" ht="15.75" hidden="false" customHeight="true" outlineLevel="0" collapsed="false">
      <c r="A336" s="2"/>
      <c r="B336" s="2"/>
      <c r="C336" s="2"/>
      <c r="D336" s="222"/>
      <c r="E336" s="222"/>
      <c r="F336" s="222"/>
      <c r="G336" s="222"/>
      <c r="H336" s="222"/>
      <c r="I336" s="22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customFormat="false" ht="15.75" hidden="false" customHeight="true" outlineLevel="0" collapsed="false">
      <c r="A337" s="2"/>
      <c r="B337" s="2"/>
      <c r="C337" s="2"/>
      <c r="D337" s="222"/>
      <c r="E337" s="222"/>
      <c r="F337" s="222"/>
      <c r="G337" s="222"/>
      <c r="H337" s="222"/>
      <c r="I337" s="22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customFormat="false" ht="15.75" hidden="false" customHeight="true" outlineLevel="0" collapsed="false">
      <c r="A338" s="2"/>
      <c r="B338" s="2"/>
      <c r="C338" s="2"/>
      <c r="D338" s="222"/>
      <c r="E338" s="222"/>
      <c r="F338" s="222"/>
      <c r="G338" s="222"/>
      <c r="H338" s="222"/>
      <c r="I338" s="22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customFormat="false" ht="15.75" hidden="false" customHeight="true" outlineLevel="0" collapsed="false">
      <c r="A339" s="2"/>
      <c r="B339" s="2"/>
      <c r="C339" s="2"/>
      <c r="D339" s="222"/>
      <c r="E339" s="222"/>
      <c r="F339" s="222"/>
      <c r="G339" s="222"/>
      <c r="H339" s="222"/>
      <c r="I339" s="22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customFormat="false" ht="15.75" hidden="false" customHeight="true" outlineLevel="0" collapsed="false">
      <c r="A340" s="2"/>
      <c r="B340" s="2"/>
      <c r="C340" s="2"/>
      <c r="D340" s="222"/>
      <c r="E340" s="222"/>
      <c r="F340" s="222"/>
      <c r="G340" s="222"/>
      <c r="H340" s="222"/>
      <c r="I340" s="22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customFormat="false" ht="15.75" hidden="false" customHeight="true" outlineLevel="0" collapsed="false">
      <c r="A341" s="2"/>
      <c r="B341" s="2"/>
      <c r="C341" s="2"/>
      <c r="D341" s="222"/>
      <c r="E341" s="222"/>
      <c r="F341" s="222"/>
      <c r="G341" s="222"/>
      <c r="H341" s="222"/>
      <c r="I341" s="22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customFormat="false" ht="15.75" hidden="false" customHeight="true" outlineLevel="0" collapsed="false">
      <c r="A342" s="2"/>
      <c r="B342" s="2"/>
      <c r="C342" s="2"/>
      <c r="D342" s="222"/>
      <c r="E342" s="222"/>
      <c r="F342" s="222"/>
      <c r="G342" s="222"/>
      <c r="H342" s="222"/>
      <c r="I342" s="22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customFormat="false" ht="15.75" hidden="false" customHeight="true" outlineLevel="0" collapsed="false">
      <c r="A343" s="2"/>
      <c r="B343" s="2"/>
      <c r="C343" s="2"/>
      <c r="D343" s="222"/>
      <c r="E343" s="222"/>
      <c r="F343" s="222"/>
      <c r="G343" s="222"/>
      <c r="H343" s="222"/>
      <c r="I343" s="22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customFormat="false" ht="15.75" hidden="false" customHeight="true" outlineLevel="0" collapsed="false">
      <c r="A344" s="2"/>
      <c r="B344" s="2"/>
      <c r="C344" s="2"/>
      <c r="D344" s="222"/>
      <c r="E344" s="222"/>
      <c r="F344" s="222"/>
      <c r="G344" s="222"/>
      <c r="H344" s="222"/>
      <c r="I344" s="22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customFormat="false" ht="15.75" hidden="false" customHeight="true" outlineLevel="0" collapsed="false">
      <c r="A345" s="2"/>
      <c r="B345" s="2"/>
      <c r="C345" s="2"/>
      <c r="D345" s="222"/>
      <c r="E345" s="222"/>
      <c r="F345" s="222"/>
      <c r="G345" s="222"/>
      <c r="H345" s="222"/>
      <c r="I345" s="22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customFormat="false" ht="15.75" hidden="false" customHeight="true" outlineLevel="0" collapsed="false">
      <c r="A346" s="2"/>
      <c r="B346" s="2"/>
      <c r="C346" s="2"/>
      <c r="D346" s="222"/>
      <c r="E346" s="222"/>
      <c r="F346" s="222"/>
      <c r="G346" s="222"/>
      <c r="H346" s="222"/>
      <c r="I346" s="22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customFormat="false" ht="15.75" hidden="false" customHeight="true" outlineLevel="0" collapsed="false">
      <c r="A347" s="2"/>
      <c r="B347" s="2"/>
      <c r="C347" s="2"/>
      <c r="D347" s="222"/>
      <c r="E347" s="222"/>
      <c r="F347" s="222"/>
      <c r="G347" s="222"/>
      <c r="H347" s="222"/>
      <c r="I347" s="22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customFormat="false" ht="15.75" hidden="false" customHeight="true" outlineLevel="0" collapsed="false">
      <c r="A348" s="2"/>
      <c r="B348" s="2"/>
      <c r="C348" s="2"/>
      <c r="D348" s="222"/>
      <c r="E348" s="222"/>
      <c r="F348" s="222"/>
      <c r="G348" s="222"/>
      <c r="H348" s="222"/>
      <c r="I348" s="22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customFormat="false" ht="15.75" hidden="false" customHeight="true" outlineLevel="0" collapsed="false">
      <c r="A349" s="2"/>
      <c r="B349" s="2"/>
      <c r="C349" s="2"/>
      <c r="D349" s="222"/>
      <c r="E349" s="222"/>
      <c r="F349" s="222"/>
      <c r="G349" s="222"/>
      <c r="H349" s="222"/>
      <c r="I349" s="22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customFormat="false" ht="15.75" hidden="false" customHeight="true" outlineLevel="0" collapsed="false">
      <c r="A350" s="2"/>
      <c r="B350" s="2"/>
      <c r="C350" s="2"/>
      <c r="D350" s="222"/>
      <c r="E350" s="222"/>
      <c r="F350" s="222"/>
      <c r="G350" s="222"/>
      <c r="H350" s="222"/>
      <c r="I350" s="22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customFormat="false" ht="15.75" hidden="false" customHeight="true" outlineLevel="0" collapsed="false">
      <c r="A351" s="2"/>
      <c r="B351" s="2"/>
      <c r="C351" s="2"/>
      <c r="D351" s="222"/>
      <c r="E351" s="222"/>
      <c r="F351" s="222"/>
      <c r="G351" s="222"/>
      <c r="H351" s="222"/>
      <c r="I351" s="22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customFormat="false" ht="15.75" hidden="false" customHeight="true" outlineLevel="0" collapsed="false">
      <c r="A352" s="2"/>
      <c r="B352" s="2"/>
      <c r="C352" s="2"/>
      <c r="D352" s="222"/>
      <c r="E352" s="222"/>
      <c r="F352" s="222"/>
      <c r="G352" s="222"/>
      <c r="H352" s="222"/>
      <c r="I352" s="22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customFormat="false" ht="15.75" hidden="false" customHeight="true" outlineLevel="0" collapsed="false">
      <c r="A353" s="2"/>
      <c r="B353" s="2"/>
      <c r="C353" s="2"/>
      <c r="D353" s="222"/>
      <c r="E353" s="222"/>
      <c r="F353" s="222"/>
      <c r="G353" s="222"/>
      <c r="H353" s="222"/>
      <c r="I353" s="22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customFormat="false" ht="15.75" hidden="false" customHeight="true" outlineLevel="0" collapsed="false">
      <c r="A354" s="2"/>
      <c r="B354" s="2"/>
      <c r="C354" s="2"/>
      <c r="D354" s="222"/>
      <c r="E354" s="222"/>
      <c r="F354" s="222"/>
      <c r="G354" s="222"/>
      <c r="H354" s="222"/>
      <c r="I354" s="22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customFormat="false" ht="15.75" hidden="false" customHeight="true" outlineLevel="0" collapsed="false">
      <c r="A355" s="2"/>
      <c r="B355" s="2"/>
      <c r="C355" s="2"/>
      <c r="D355" s="222"/>
      <c r="E355" s="222"/>
      <c r="F355" s="222"/>
      <c r="G355" s="222"/>
      <c r="H355" s="222"/>
      <c r="I355" s="22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customFormat="false" ht="15.75" hidden="false" customHeight="true" outlineLevel="0" collapsed="false">
      <c r="A356" s="2"/>
      <c r="B356" s="2"/>
      <c r="C356" s="2"/>
      <c r="D356" s="222"/>
      <c r="E356" s="222"/>
      <c r="F356" s="222"/>
      <c r="G356" s="222"/>
      <c r="H356" s="222"/>
      <c r="I356" s="22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customFormat="false" ht="15.75" hidden="false" customHeight="true" outlineLevel="0" collapsed="false">
      <c r="A357" s="2"/>
      <c r="B357" s="2"/>
      <c r="C357" s="2"/>
      <c r="D357" s="222"/>
      <c r="E357" s="222"/>
      <c r="F357" s="222"/>
      <c r="G357" s="222"/>
      <c r="H357" s="222"/>
      <c r="I357" s="22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customFormat="false" ht="15.75" hidden="false" customHeight="true" outlineLevel="0" collapsed="false">
      <c r="A358" s="2"/>
      <c r="B358" s="2"/>
      <c r="C358" s="2"/>
      <c r="D358" s="222"/>
      <c r="E358" s="222"/>
      <c r="F358" s="222"/>
      <c r="G358" s="222"/>
      <c r="H358" s="222"/>
      <c r="I358" s="22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customFormat="false" ht="15.75" hidden="false" customHeight="true" outlineLevel="0" collapsed="false">
      <c r="A359" s="2"/>
      <c r="B359" s="2"/>
      <c r="C359" s="2"/>
      <c r="D359" s="222"/>
      <c r="E359" s="222"/>
      <c r="F359" s="222"/>
      <c r="G359" s="222"/>
      <c r="H359" s="222"/>
      <c r="I359" s="22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customFormat="false" ht="15.75" hidden="false" customHeight="true" outlineLevel="0" collapsed="false">
      <c r="A360" s="2"/>
      <c r="B360" s="2"/>
      <c r="C360" s="2"/>
      <c r="D360" s="222"/>
      <c r="E360" s="222"/>
      <c r="F360" s="222"/>
      <c r="G360" s="222"/>
      <c r="H360" s="222"/>
      <c r="I360" s="22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customFormat="false" ht="15.75" hidden="false" customHeight="true" outlineLevel="0" collapsed="false">
      <c r="A361" s="2"/>
      <c r="B361" s="2"/>
      <c r="C361" s="2"/>
      <c r="D361" s="222"/>
      <c r="E361" s="222"/>
      <c r="F361" s="222"/>
      <c r="G361" s="222"/>
      <c r="H361" s="222"/>
      <c r="I361" s="22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customFormat="false" ht="15.75" hidden="false" customHeight="true" outlineLevel="0" collapsed="false">
      <c r="A362" s="2"/>
      <c r="B362" s="2"/>
      <c r="C362" s="2"/>
      <c r="D362" s="222"/>
      <c r="E362" s="222"/>
      <c r="F362" s="222"/>
      <c r="G362" s="222"/>
      <c r="H362" s="222"/>
      <c r="I362" s="22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customFormat="false" ht="15.75" hidden="false" customHeight="true" outlineLevel="0" collapsed="false">
      <c r="A363" s="2"/>
      <c r="B363" s="2"/>
      <c r="C363" s="2"/>
      <c r="D363" s="222"/>
      <c r="E363" s="222"/>
      <c r="F363" s="222"/>
      <c r="G363" s="222"/>
      <c r="H363" s="222"/>
      <c r="I363" s="22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customFormat="false" ht="15.75" hidden="false" customHeight="true" outlineLevel="0" collapsed="false">
      <c r="A364" s="2"/>
      <c r="B364" s="2"/>
      <c r="C364" s="2"/>
      <c r="D364" s="222"/>
      <c r="E364" s="222"/>
      <c r="F364" s="222"/>
      <c r="G364" s="222"/>
      <c r="H364" s="222"/>
      <c r="I364" s="22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customFormat="false" ht="15.75" hidden="false" customHeight="true" outlineLevel="0" collapsed="false">
      <c r="A365" s="2"/>
      <c r="B365" s="2"/>
      <c r="C365" s="2"/>
      <c r="D365" s="222"/>
      <c r="E365" s="222"/>
      <c r="F365" s="222"/>
      <c r="G365" s="222"/>
      <c r="H365" s="222"/>
      <c r="I365" s="22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customFormat="false" ht="15.75" hidden="false" customHeight="true" outlineLevel="0" collapsed="false">
      <c r="A366" s="2"/>
      <c r="B366" s="2"/>
      <c r="C366" s="2"/>
      <c r="D366" s="222"/>
      <c r="E366" s="222"/>
      <c r="F366" s="222"/>
      <c r="G366" s="222"/>
      <c r="H366" s="222"/>
      <c r="I366" s="22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customFormat="false" ht="15.75" hidden="false" customHeight="true" outlineLevel="0" collapsed="false">
      <c r="A367" s="2"/>
      <c r="B367" s="2"/>
      <c r="C367" s="2"/>
      <c r="D367" s="222"/>
      <c r="E367" s="222"/>
      <c r="F367" s="222"/>
      <c r="G367" s="222"/>
      <c r="H367" s="222"/>
      <c r="I367" s="22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customFormat="false" ht="15.75" hidden="false" customHeight="true" outlineLevel="0" collapsed="false">
      <c r="A368" s="2"/>
      <c r="B368" s="2"/>
      <c r="C368" s="2"/>
      <c r="D368" s="222"/>
      <c r="E368" s="222"/>
      <c r="F368" s="222"/>
      <c r="G368" s="222"/>
      <c r="H368" s="222"/>
      <c r="I368" s="22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customFormat="false" ht="15.75" hidden="false" customHeight="true" outlineLevel="0" collapsed="false">
      <c r="A369" s="2"/>
      <c r="B369" s="2"/>
      <c r="C369" s="2"/>
      <c r="D369" s="222"/>
      <c r="E369" s="222"/>
      <c r="F369" s="222"/>
      <c r="G369" s="222"/>
      <c r="H369" s="222"/>
      <c r="I369" s="22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customFormat="false" ht="15.75" hidden="false" customHeight="true" outlineLevel="0" collapsed="false">
      <c r="A370" s="2"/>
      <c r="B370" s="2"/>
      <c r="C370" s="2"/>
      <c r="D370" s="222"/>
      <c r="E370" s="222"/>
      <c r="F370" s="222"/>
      <c r="G370" s="222"/>
      <c r="H370" s="222"/>
      <c r="I370" s="22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customFormat="false" ht="15.75" hidden="false" customHeight="true" outlineLevel="0" collapsed="false">
      <c r="A371" s="2"/>
      <c r="B371" s="2"/>
      <c r="C371" s="2"/>
      <c r="D371" s="222"/>
      <c r="E371" s="222"/>
      <c r="F371" s="222"/>
      <c r="G371" s="222"/>
      <c r="H371" s="222"/>
      <c r="I371" s="22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customFormat="false" ht="15.75" hidden="false" customHeight="true" outlineLevel="0" collapsed="false">
      <c r="A372" s="2"/>
      <c r="B372" s="2"/>
      <c r="C372" s="2"/>
      <c r="D372" s="222"/>
      <c r="E372" s="222"/>
      <c r="F372" s="222"/>
      <c r="G372" s="222"/>
      <c r="H372" s="222"/>
      <c r="I372" s="22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customFormat="false" ht="15.75" hidden="false" customHeight="true" outlineLevel="0" collapsed="false">
      <c r="A373" s="2"/>
      <c r="B373" s="2"/>
      <c r="C373" s="2"/>
      <c r="D373" s="222"/>
      <c r="E373" s="222"/>
      <c r="F373" s="222"/>
      <c r="G373" s="222"/>
      <c r="H373" s="222"/>
      <c r="I373" s="22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customFormat="false" ht="15.75" hidden="false" customHeight="true" outlineLevel="0" collapsed="false">
      <c r="A374" s="2"/>
      <c r="B374" s="2"/>
      <c r="C374" s="2"/>
      <c r="D374" s="222"/>
      <c r="E374" s="222"/>
      <c r="F374" s="222"/>
      <c r="G374" s="222"/>
      <c r="H374" s="222"/>
      <c r="I374" s="22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customFormat="false" ht="15.75" hidden="false" customHeight="true" outlineLevel="0" collapsed="false">
      <c r="A375" s="2"/>
      <c r="B375" s="2"/>
      <c r="C375" s="2"/>
      <c r="D375" s="222"/>
      <c r="E375" s="222"/>
      <c r="F375" s="222"/>
      <c r="G375" s="222"/>
      <c r="H375" s="222"/>
      <c r="I375" s="22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customFormat="false" ht="15.75" hidden="false" customHeight="true" outlineLevel="0" collapsed="false">
      <c r="A376" s="2"/>
      <c r="B376" s="2"/>
      <c r="C376" s="2"/>
      <c r="D376" s="222"/>
      <c r="E376" s="222"/>
      <c r="F376" s="222"/>
      <c r="G376" s="222"/>
      <c r="H376" s="222"/>
      <c r="I376" s="22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customFormat="false" ht="15.75" hidden="false" customHeight="true" outlineLevel="0" collapsed="false">
      <c r="A377" s="2"/>
      <c r="B377" s="2"/>
      <c r="C377" s="2"/>
      <c r="D377" s="222"/>
      <c r="E377" s="222"/>
      <c r="F377" s="222"/>
      <c r="G377" s="222"/>
      <c r="H377" s="222"/>
      <c r="I377" s="22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customFormat="false" ht="15.75" hidden="false" customHeight="true" outlineLevel="0" collapsed="false">
      <c r="A378" s="2"/>
      <c r="B378" s="2"/>
      <c r="C378" s="2"/>
      <c r="D378" s="222"/>
      <c r="E378" s="222"/>
      <c r="F378" s="222"/>
      <c r="G378" s="222"/>
      <c r="H378" s="222"/>
      <c r="I378" s="22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customFormat="false" ht="15.75" hidden="false" customHeight="true" outlineLevel="0" collapsed="false">
      <c r="A379" s="2"/>
      <c r="B379" s="2"/>
      <c r="C379" s="2"/>
      <c r="D379" s="222"/>
      <c r="E379" s="222"/>
      <c r="F379" s="222"/>
      <c r="G379" s="222"/>
      <c r="H379" s="222"/>
      <c r="I379" s="22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customFormat="false" ht="15.75" hidden="false" customHeight="true" outlineLevel="0" collapsed="false">
      <c r="A380" s="2"/>
      <c r="B380" s="2"/>
      <c r="C380" s="2"/>
      <c r="D380" s="222"/>
      <c r="E380" s="222"/>
      <c r="F380" s="222"/>
      <c r="G380" s="222"/>
      <c r="H380" s="222"/>
      <c r="I380" s="22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customFormat="false" ht="15.75" hidden="false" customHeight="true" outlineLevel="0" collapsed="false">
      <c r="A381" s="2"/>
      <c r="B381" s="2"/>
      <c r="C381" s="2"/>
      <c r="D381" s="222"/>
      <c r="E381" s="222"/>
      <c r="F381" s="222"/>
      <c r="G381" s="222"/>
      <c r="H381" s="222"/>
      <c r="I381" s="22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customFormat="false" ht="15.75" hidden="false" customHeight="true" outlineLevel="0" collapsed="false">
      <c r="A382" s="2"/>
      <c r="B382" s="2"/>
      <c r="C382" s="2"/>
      <c r="D382" s="222"/>
      <c r="E382" s="222"/>
      <c r="F382" s="222"/>
      <c r="G382" s="222"/>
      <c r="H382" s="222"/>
      <c r="I382" s="22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customFormat="false" ht="15.75" hidden="false" customHeight="true" outlineLevel="0" collapsed="false">
      <c r="A383" s="2"/>
      <c r="B383" s="2"/>
      <c r="C383" s="2"/>
      <c r="D383" s="222"/>
      <c r="E383" s="222"/>
      <c r="F383" s="222"/>
      <c r="G383" s="222"/>
      <c r="H383" s="222"/>
      <c r="I383" s="22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customFormat="false" ht="15.75" hidden="false" customHeight="true" outlineLevel="0" collapsed="false">
      <c r="A384" s="2"/>
      <c r="B384" s="2"/>
      <c r="C384" s="2"/>
      <c r="D384" s="222"/>
      <c r="E384" s="222"/>
      <c r="F384" s="222"/>
      <c r="G384" s="222"/>
      <c r="H384" s="222"/>
      <c r="I384" s="22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customFormat="false" ht="15.75" hidden="false" customHeight="true" outlineLevel="0" collapsed="false">
      <c r="A385" s="2"/>
      <c r="B385" s="2"/>
      <c r="C385" s="2"/>
      <c r="D385" s="222"/>
      <c r="E385" s="222"/>
      <c r="F385" s="222"/>
      <c r="G385" s="222"/>
      <c r="H385" s="222"/>
      <c r="I385" s="22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customFormat="false" ht="15.75" hidden="false" customHeight="true" outlineLevel="0" collapsed="false">
      <c r="A386" s="2"/>
      <c r="B386" s="2"/>
      <c r="C386" s="2"/>
      <c r="D386" s="222"/>
      <c r="E386" s="222"/>
      <c r="F386" s="222"/>
      <c r="G386" s="222"/>
      <c r="H386" s="222"/>
      <c r="I386" s="22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customFormat="false" ht="15.75" hidden="false" customHeight="true" outlineLevel="0" collapsed="false">
      <c r="A387" s="2"/>
      <c r="B387" s="2"/>
      <c r="C387" s="2"/>
      <c r="D387" s="222"/>
      <c r="E387" s="222"/>
      <c r="F387" s="222"/>
      <c r="G387" s="222"/>
      <c r="H387" s="222"/>
      <c r="I387" s="22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customFormat="false" ht="15.75" hidden="false" customHeight="true" outlineLevel="0" collapsed="false">
      <c r="A388" s="2"/>
      <c r="B388" s="2"/>
      <c r="C388" s="2"/>
      <c r="D388" s="222"/>
      <c r="E388" s="222"/>
      <c r="F388" s="222"/>
      <c r="G388" s="222"/>
      <c r="H388" s="222"/>
      <c r="I388" s="22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customFormat="false" ht="15.75" hidden="false" customHeight="true" outlineLevel="0" collapsed="false">
      <c r="A389" s="2"/>
      <c r="B389" s="2"/>
      <c r="C389" s="2"/>
      <c r="D389" s="222"/>
      <c r="E389" s="222"/>
      <c r="F389" s="222"/>
      <c r="G389" s="222"/>
      <c r="H389" s="222"/>
      <c r="I389" s="22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customFormat="false" ht="15.75" hidden="false" customHeight="true" outlineLevel="0" collapsed="false">
      <c r="A390" s="2"/>
      <c r="B390" s="2"/>
      <c r="C390" s="2"/>
      <c r="D390" s="222"/>
      <c r="E390" s="222"/>
      <c r="F390" s="222"/>
      <c r="G390" s="222"/>
      <c r="H390" s="222"/>
      <c r="I390" s="22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customFormat="false" ht="15.75" hidden="false" customHeight="true" outlineLevel="0" collapsed="false">
      <c r="A391" s="2"/>
      <c r="B391" s="2"/>
      <c r="C391" s="2"/>
      <c r="D391" s="222"/>
      <c r="E391" s="222"/>
      <c r="F391" s="222"/>
      <c r="G391" s="222"/>
      <c r="H391" s="222"/>
      <c r="I391" s="22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customFormat="false" ht="15.75" hidden="false" customHeight="true" outlineLevel="0" collapsed="false">
      <c r="A392" s="2"/>
      <c r="B392" s="2"/>
      <c r="C392" s="2"/>
      <c r="D392" s="222"/>
      <c r="E392" s="222"/>
      <c r="F392" s="222"/>
      <c r="G392" s="222"/>
      <c r="H392" s="222"/>
      <c r="I392" s="22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customFormat="false" ht="15.75" hidden="false" customHeight="true" outlineLevel="0" collapsed="false">
      <c r="A393" s="2"/>
      <c r="B393" s="2"/>
      <c r="C393" s="2"/>
      <c r="D393" s="222"/>
      <c r="E393" s="222"/>
      <c r="F393" s="222"/>
      <c r="G393" s="222"/>
      <c r="H393" s="222"/>
      <c r="I393" s="22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customFormat="false" ht="15.75" hidden="false" customHeight="true" outlineLevel="0" collapsed="false">
      <c r="A394" s="2"/>
      <c r="B394" s="2"/>
      <c r="C394" s="2"/>
      <c r="D394" s="222"/>
      <c r="E394" s="222"/>
      <c r="F394" s="222"/>
      <c r="G394" s="222"/>
      <c r="H394" s="222"/>
      <c r="I394" s="22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customFormat="false" ht="15.75" hidden="false" customHeight="true" outlineLevel="0" collapsed="false">
      <c r="A395" s="2"/>
      <c r="B395" s="2"/>
      <c r="C395" s="2"/>
      <c r="D395" s="222"/>
      <c r="E395" s="222"/>
      <c r="F395" s="222"/>
      <c r="G395" s="222"/>
      <c r="H395" s="222"/>
      <c r="I395" s="22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customFormat="false" ht="15.75" hidden="false" customHeight="true" outlineLevel="0" collapsed="false">
      <c r="A396" s="2"/>
      <c r="B396" s="2"/>
      <c r="C396" s="2"/>
      <c r="D396" s="222"/>
      <c r="E396" s="222"/>
      <c r="F396" s="222"/>
      <c r="G396" s="222"/>
      <c r="H396" s="222"/>
      <c r="I396" s="22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customFormat="false" ht="15.75" hidden="false" customHeight="true" outlineLevel="0" collapsed="false">
      <c r="A397" s="2"/>
      <c r="B397" s="2"/>
      <c r="C397" s="2"/>
      <c r="D397" s="222"/>
      <c r="E397" s="222"/>
      <c r="F397" s="222"/>
      <c r="G397" s="222"/>
      <c r="H397" s="222"/>
      <c r="I397" s="22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customFormat="false" ht="15.75" hidden="false" customHeight="true" outlineLevel="0" collapsed="false">
      <c r="A398" s="2"/>
      <c r="B398" s="2"/>
      <c r="C398" s="2"/>
      <c r="D398" s="222"/>
      <c r="E398" s="222"/>
      <c r="F398" s="222"/>
      <c r="G398" s="222"/>
      <c r="H398" s="222"/>
      <c r="I398" s="22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customFormat="false" ht="15.75" hidden="false" customHeight="true" outlineLevel="0" collapsed="false">
      <c r="A399" s="2"/>
      <c r="B399" s="2"/>
      <c r="C399" s="2"/>
      <c r="D399" s="222"/>
      <c r="E399" s="222"/>
      <c r="F399" s="222"/>
      <c r="G399" s="222"/>
      <c r="H399" s="222"/>
      <c r="I399" s="22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customFormat="false" ht="15.75" hidden="false" customHeight="true" outlineLevel="0" collapsed="false">
      <c r="A400" s="2"/>
      <c r="B400" s="2"/>
      <c r="C400" s="2"/>
      <c r="D400" s="222"/>
      <c r="E400" s="222"/>
      <c r="F400" s="222"/>
      <c r="G400" s="222"/>
      <c r="H400" s="222"/>
      <c r="I400" s="22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customFormat="false" ht="15.75" hidden="false" customHeight="true" outlineLevel="0" collapsed="false">
      <c r="A401" s="2"/>
      <c r="B401" s="2"/>
      <c r="C401" s="2"/>
      <c r="D401" s="222"/>
      <c r="E401" s="222"/>
      <c r="F401" s="222"/>
      <c r="G401" s="222"/>
      <c r="H401" s="222"/>
      <c r="I401" s="22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customFormat="false" ht="15.75" hidden="false" customHeight="true" outlineLevel="0" collapsed="false">
      <c r="A402" s="2"/>
      <c r="B402" s="2"/>
      <c r="C402" s="2"/>
      <c r="D402" s="222"/>
      <c r="E402" s="222"/>
      <c r="F402" s="222"/>
      <c r="G402" s="222"/>
      <c r="H402" s="222"/>
      <c r="I402" s="22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customFormat="false" ht="15.75" hidden="false" customHeight="true" outlineLevel="0" collapsed="false">
      <c r="A403" s="2"/>
      <c r="B403" s="2"/>
      <c r="C403" s="2"/>
      <c r="D403" s="222"/>
      <c r="E403" s="222"/>
      <c r="F403" s="222"/>
      <c r="G403" s="222"/>
      <c r="H403" s="222"/>
      <c r="I403" s="22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customFormat="false" ht="15.75" hidden="false" customHeight="true" outlineLevel="0" collapsed="false">
      <c r="A404" s="2"/>
      <c r="B404" s="2"/>
      <c r="C404" s="2"/>
      <c r="D404" s="222"/>
      <c r="E404" s="222"/>
      <c r="F404" s="222"/>
      <c r="G404" s="222"/>
      <c r="H404" s="222"/>
      <c r="I404" s="22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customFormat="false" ht="15.75" hidden="false" customHeight="true" outlineLevel="0" collapsed="false">
      <c r="A405" s="2"/>
      <c r="B405" s="2"/>
      <c r="C405" s="2"/>
      <c r="D405" s="222"/>
      <c r="E405" s="222"/>
      <c r="F405" s="222"/>
      <c r="G405" s="222"/>
      <c r="H405" s="222"/>
      <c r="I405" s="22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customFormat="false" ht="15.75" hidden="false" customHeight="true" outlineLevel="0" collapsed="false">
      <c r="A406" s="2"/>
      <c r="B406" s="2"/>
      <c r="C406" s="2"/>
      <c r="D406" s="222"/>
      <c r="E406" s="222"/>
      <c r="F406" s="222"/>
      <c r="G406" s="222"/>
      <c r="H406" s="222"/>
      <c r="I406" s="22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customFormat="false" ht="15.75" hidden="false" customHeight="true" outlineLevel="0" collapsed="false">
      <c r="A407" s="2"/>
      <c r="B407" s="2"/>
      <c r="C407" s="2"/>
      <c r="D407" s="222"/>
      <c r="E407" s="222"/>
      <c r="F407" s="222"/>
      <c r="G407" s="222"/>
      <c r="H407" s="222"/>
      <c r="I407" s="22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customFormat="false" ht="15.75" hidden="false" customHeight="true" outlineLevel="0" collapsed="false">
      <c r="A408" s="2"/>
      <c r="B408" s="2"/>
      <c r="C408" s="2"/>
      <c r="D408" s="222"/>
      <c r="E408" s="222"/>
      <c r="F408" s="222"/>
      <c r="G408" s="222"/>
      <c r="H408" s="222"/>
      <c r="I408" s="22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customFormat="false" ht="15.75" hidden="false" customHeight="true" outlineLevel="0" collapsed="false">
      <c r="A409" s="2"/>
      <c r="B409" s="2"/>
      <c r="C409" s="2"/>
      <c r="D409" s="222"/>
      <c r="E409" s="222"/>
      <c r="F409" s="222"/>
      <c r="G409" s="222"/>
      <c r="H409" s="222"/>
      <c r="I409" s="22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customFormat="false" ht="15.75" hidden="false" customHeight="true" outlineLevel="0" collapsed="false">
      <c r="A410" s="2"/>
      <c r="B410" s="2"/>
      <c r="C410" s="2"/>
      <c r="D410" s="222"/>
      <c r="E410" s="222"/>
      <c r="F410" s="222"/>
      <c r="G410" s="222"/>
      <c r="H410" s="222"/>
      <c r="I410" s="22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customFormat="false" ht="15.75" hidden="false" customHeight="true" outlineLevel="0" collapsed="false">
      <c r="A411" s="2"/>
      <c r="B411" s="2"/>
      <c r="C411" s="2"/>
      <c r="D411" s="222"/>
      <c r="E411" s="222"/>
      <c r="F411" s="222"/>
      <c r="G411" s="222"/>
      <c r="H411" s="222"/>
      <c r="I411" s="22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customFormat="false" ht="15.75" hidden="false" customHeight="true" outlineLevel="0" collapsed="false">
      <c r="A412" s="2"/>
      <c r="B412" s="2"/>
      <c r="C412" s="2"/>
      <c r="D412" s="222"/>
      <c r="E412" s="222"/>
      <c r="F412" s="222"/>
      <c r="G412" s="222"/>
      <c r="H412" s="222"/>
      <c r="I412" s="22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customFormat="false" ht="15.75" hidden="false" customHeight="true" outlineLevel="0" collapsed="false">
      <c r="A413" s="2"/>
      <c r="B413" s="2"/>
      <c r="C413" s="2"/>
      <c r="D413" s="222"/>
      <c r="E413" s="222"/>
      <c r="F413" s="222"/>
      <c r="G413" s="222"/>
      <c r="H413" s="222"/>
      <c r="I413" s="22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customFormat="false" ht="15.75" hidden="false" customHeight="true" outlineLevel="0" collapsed="false">
      <c r="A414" s="2"/>
      <c r="B414" s="2"/>
      <c r="C414" s="2"/>
      <c r="D414" s="222"/>
      <c r="E414" s="222"/>
      <c r="F414" s="222"/>
      <c r="G414" s="222"/>
      <c r="H414" s="222"/>
      <c r="I414" s="22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customFormat="false" ht="15.75" hidden="false" customHeight="true" outlineLevel="0" collapsed="false">
      <c r="A415" s="2"/>
      <c r="B415" s="2"/>
      <c r="C415" s="2"/>
      <c r="D415" s="222"/>
      <c r="E415" s="222"/>
      <c r="F415" s="222"/>
      <c r="G415" s="222"/>
      <c r="H415" s="222"/>
      <c r="I415" s="22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customFormat="false" ht="15.75" hidden="false" customHeight="true" outlineLevel="0" collapsed="false">
      <c r="A416" s="2"/>
      <c r="B416" s="2"/>
      <c r="C416" s="2"/>
      <c r="D416" s="222"/>
      <c r="E416" s="222"/>
      <c r="F416" s="222"/>
      <c r="G416" s="222"/>
      <c r="H416" s="222"/>
      <c r="I416" s="22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customFormat="false" ht="15.75" hidden="false" customHeight="true" outlineLevel="0" collapsed="false">
      <c r="A417" s="2"/>
      <c r="B417" s="2"/>
      <c r="C417" s="2"/>
      <c r="D417" s="222"/>
      <c r="E417" s="222"/>
      <c r="F417" s="222"/>
      <c r="G417" s="222"/>
      <c r="H417" s="222"/>
      <c r="I417" s="22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customFormat="false" ht="15.75" hidden="false" customHeight="true" outlineLevel="0" collapsed="false">
      <c r="A418" s="2"/>
      <c r="B418" s="2"/>
      <c r="C418" s="2"/>
      <c r="D418" s="222"/>
      <c r="E418" s="222"/>
      <c r="F418" s="222"/>
      <c r="G418" s="222"/>
      <c r="H418" s="222"/>
      <c r="I418" s="22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customFormat="false" ht="15.75" hidden="false" customHeight="true" outlineLevel="0" collapsed="false">
      <c r="A419" s="2"/>
      <c r="B419" s="2"/>
      <c r="C419" s="2"/>
      <c r="D419" s="222"/>
      <c r="E419" s="222"/>
      <c r="F419" s="222"/>
      <c r="G419" s="222"/>
      <c r="H419" s="222"/>
      <c r="I419" s="22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customFormat="false" ht="15.75" hidden="false" customHeight="true" outlineLevel="0" collapsed="false">
      <c r="A420" s="2"/>
      <c r="B420" s="2"/>
      <c r="C420" s="2"/>
      <c r="D420" s="222"/>
      <c r="E420" s="222"/>
      <c r="F420" s="222"/>
      <c r="G420" s="222"/>
      <c r="H420" s="222"/>
      <c r="I420" s="22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customFormat="false" ht="15.75" hidden="false" customHeight="true" outlineLevel="0" collapsed="false">
      <c r="A421" s="2"/>
      <c r="B421" s="2"/>
      <c r="C421" s="2"/>
      <c r="D421" s="222"/>
      <c r="E421" s="222"/>
      <c r="F421" s="222"/>
      <c r="G421" s="222"/>
      <c r="H421" s="222"/>
      <c r="I421" s="22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customFormat="false" ht="15.75" hidden="false" customHeight="true" outlineLevel="0" collapsed="false">
      <c r="A422" s="2"/>
      <c r="B422" s="2"/>
      <c r="C422" s="2"/>
      <c r="D422" s="222"/>
      <c r="E422" s="222"/>
      <c r="F422" s="222"/>
      <c r="G422" s="222"/>
      <c r="H422" s="222"/>
      <c r="I422" s="22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customFormat="false" ht="15.75" hidden="false" customHeight="true" outlineLevel="0" collapsed="false">
      <c r="A423" s="2"/>
      <c r="B423" s="2"/>
      <c r="C423" s="2"/>
      <c r="D423" s="222"/>
      <c r="E423" s="222"/>
      <c r="F423" s="222"/>
      <c r="G423" s="222"/>
      <c r="H423" s="222"/>
      <c r="I423" s="22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customFormat="false" ht="15.75" hidden="false" customHeight="true" outlineLevel="0" collapsed="false">
      <c r="A424" s="2"/>
      <c r="B424" s="2"/>
      <c r="C424" s="2"/>
      <c r="D424" s="222"/>
      <c r="E424" s="222"/>
      <c r="F424" s="222"/>
      <c r="G424" s="222"/>
      <c r="H424" s="222"/>
      <c r="I424" s="22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customFormat="false" ht="15.75" hidden="false" customHeight="true" outlineLevel="0" collapsed="false">
      <c r="A425" s="2"/>
      <c r="B425" s="2"/>
      <c r="C425" s="2"/>
      <c r="D425" s="222"/>
      <c r="E425" s="222"/>
      <c r="F425" s="222"/>
      <c r="G425" s="222"/>
      <c r="H425" s="222"/>
      <c r="I425" s="22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customFormat="false" ht="15.75" hidden="false" customHeight="true" outlineLevel="0" collapsed="false">
      <c r="A426" s="2"/>
      <c r="B426" s="2"/>
      <c r="C426" s="2"/>
      <c r="D426" s="222"/>
      <c r="E426" s="222"/>
      <c r="F426" s="222"/>
      <c r="G426" s="222"/>
      <c r="H426" s="222"/>
      <c r="I426" s="22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customFormat="false" ht="15.75" hidden="false" customHeight="true" outlineLevel="0" collapsed="false">
      <c r="A427" s="2"/>
      <c r="B427" s="2"/>
      <c r="C427" s="2"/>
      <c r="D427" s="222"/>
      <c r="E427" s="222"/>
      <c r="F427" s="222"/>
      <c r="G427" s="222"/>
      <c r="H427" s="222"/>
      <c r="I427" s="22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customFormat="false" ht="15.75" hidden="false" customHeight="true" outlineLevel="0" collapsed="false">
      <c r="A428" s="2"/>
      <c r="B428" s="2"/>
      <c r="C428" s="2"/>
      <c r="D428" s="222"/>
      <c r="E428" s="222"/>
      <c r="F428" s="222"/>
      <c r="G428" s="222"/>
      <c r="H428" s="222"/>
      <c r="I428" s="22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customFormat="false" ht="15.75" hidden="false" customHeight="true" outlineLevel="0" collapsed="false">
      <c r="A429" s="2"/>
      <c r="B429" s="2"/>
      <c r="C429" s="2"/>
      <c r="D429" s="222"/>
      <c r="E429" s="222"/>
      <c r="F429" s="222"/>
      <c r="G429" s="222"/>
      <c r="H429" s="222"/>
      <c r="I429" s="22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customFormat="false" ht="15.75" hidden="false" customHeight="true" outlineLevel="0" collapsed="false">
      <c r="A430" s="2"/>
      <c r="B430" s="2"/>
      <c r="C430" s="2"/>
      <c r="D430" s="222"/>
      <c r="E430" s="222"/>
      <c r="F430" s="222"/>
      <c r="G430" s="222"/>
      <c r="H430" s="222"/>
      <c r="I430" s="22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customFormat="false" ht="15.75" hidden="false" customHeight="true" outlineLevel="0" collapsed="false">
      <c r="A431" s="2"/>
      <c r="B431" s="2"/>
      <c r="C431" s="2"/>
      <c r="D431" s="222"/>
      <c r="E431" s="222"/>
      <c r="F431" s="222"/>
      <c r="G431" s="222"/>
      <c r="H431" s="222"/>
      <c r="I431" s="22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customFormat="false" ht="15.75" hidden="false" customHeight="true" outlineLevel="0" collapsed="false">
      <c r="A432" s="2"/>
      <c r="B432" s="2"/>
      <c r="C432" s="2"/>
      <c r="D432" s="222"/>
      <c r="E432" s="222"/>
      <c r="F432" s="222"/>
      <c r="G432" s="222"/>
      <c r="H432" s="222"/>
      <c r="I432" s="22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customFormat="false" ht="15.75" hidden="false" customHeight="true" outlineLevel="0" collapsed="false">
      <c r="A433" s="2"/>
      <c r="B433" s="2"/>
      <c r="C433" s="2"/>
      <c r="D433" s="222"/>
      <c r="E433" s="222"/>
      <c r="F433" s="222"/>
      <c r="G433" s="222"/>
      <c r="H433" s="222"/>
      <c r="I433" s="22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customFormat="false" ht="15.75" hidden="false" customHeight="true" outlineLevel="0" collapsed="false">
      <c r="A434" s="2"/>
      <c r="B434" s="2"/>
      <c r="C434" s="2"/>
      <c r="D434" s="222"/>
      <c r="E434" s="222"/>
      <c r="F434" s="222"/>
      <c r="G434" s="222"/>
      <c r="H434" s="222"/>
      <c r="I434" s="22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customFormat="false" ht="15.75" hidden="false" customHeight="true" outlineLevel="0" collapsed="false">
      <c r="A435" s="2"/>
      <c r="B435" s="2"/>
      <c r="C435" s="2"/>
      <c r="D435" s="222"/>
      <c r="E435" s="222"/>
      <c r="F435" s="222"/>
      <c r="G435" s="222"/>
      <c r="H435" s="222"/>
      <c r="I435" s="22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customFormat="false" ht="15.75" hidden="false" customHeight="true" outlineLevel="0" collapsed="false">
      <c r="A436" s="2"/>
      <c r="B436" s="2"/>
      <c r="C436" s="2"/>
      <c r="D436" s="222"/>
      <c r="E436" s="222"/>
      <c r="F436" s="222"/>
      <c r="G436" s="222"/>
      <c r="H436" s="222"/>
      <c r="I436" s="22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customFormat="false" ht="15.75" hidden="false" customHeight="true" outlineLevel="0" collapsed="false">
      <c r="A437" s="2"/>
      <c r="B437" s="2"/>
      <c r="C437" s="2"/>
      <c r="D437" s="222"/>
      <c r="E437" s="222"/>
      <c r="F437" s="222"/>
      <c r="G437" s="222"/>
      <c r="H437" s="222"/>
      <c r="I437" s="22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customFormat="false" ht="15.75" hidden="false" customHeight="true" outlineLevel="0" collapsed="false">
      <c r="A438" s="2"/>
      <c r="B438" s="2"/>
      <c r="C438" s="2"/>
      <c r="D438" s="222"/>
      <c r="E438" s="222"/>
      <c r="F438" s="222"/>
      <c r="G438" s="222"/>
      <c r="H438" s="222"/>
      <c r="I438" s="22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customFormat="false" ht="15.75" hidden="false" customHeight="true" outlineLevel="0" collapsed="false">
      <c r="A439" s="2"/>
      <c r="B439" s="2"/>
      <c r="C439" s="2"/>
      <c r="D439" s="222"/>
      <c r="E439" s="222"/>
      <c r="F439" s="222"/>
      <c r="G439" s="222"/>
      <c r="H439" s="222"/>
      <c r="I439" s="22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customFormat="false" ht="15.75" hidden="false" customHeight="true" outlineLevel="0" collapsed="false">
      <c r="A440" s="2"/>
      <c r="B440" s="2"/>
      <c r="C440" s="2"/>
      <c r="D440" s="222"/>
      <c r="E440" s="222"/>
      <c r="F440" s="222"/>
      <c r="G440" s="222"/>
      <c r="H440" s="222"/>
      <c r="I440" s="22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customFormat="false" ht="15.75" hidden="false" customHeight="true" outlineLevel="0" collapsed="false">
      <c r="A441" s="2"/>
      <c r="B441" s="2"/>
      <c r="C441" s="2"/>
      <c r="D441" s="222"/>
      <c r="E441" s="222"/>
      <c r="F441" s="222"/>
      <c r="G441" s="222"/>
      <c r="H441" s="222"/>
      <c r="I441" s="22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customFormat="false" ht="15.75" hidden="false" customHeight="true" outlineLevel="0" collapsed="false">
      <c r="A442" s="2"/>
      <c r="B442" s="2"/>
      <c r="C442" s="2"/>
      <c r="D442" s="222"/>
      <c r="E442" s="222"/>
      <c r="F442" s="222"/>
      <c r="G442" s="222"/>
      <c r="H442" s="222"/>
      <c r="I442" s="22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customFormat="false" ht="15.75" hidden="false" customHeight="true" outlineLevel="0" collapsed="false">
      <c r="A443" s="2"/>
      <c r="B443" s="2"/>
      <c r="C443" s="2"/>
      <c r="D443" s="222"/>
      <c r="E443" s="222"/>
      <c r="F443" s="222"/>
      <c r="G443" s="222"/>
      <c r="H443" s="222"/>
      <c r="I443" s="22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customFormat="false" ht="15.75" hidden="false" customHeight="true" outlineLevel="0" collapsed="false">
      <c r="A444" s="2"/>
      <c r="B444" s="2"/>
      <c r="C444" s="2"/>
      <c r="D444" s="222"/>
      <c r="E444" s="222"/>
      <c r="F444" s="222"/>
      <c r="G444" s="222"/>
      <c r="H444" s="222"/>
      <c r="I444" s="22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customFormat="false" ht="15.75" hidden="false" customHeight="true" outlineLevel="0" collapsed="false">
      <c r="A445" s="2"/>
      <c r="B445" s="2"/>
      <c r="C445" s="2"/>
      <c r="D445" s="222"/>
      <c r="E445" s="222"/>
      <c r="F445" s="222"/>
      <c r="G445" s="222"/>
      <c r="H445" s="222"/>
      <c r="I445" s="22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customFormat="false" ht="15.75" hidden="false" customHeight="true" outlineLevel="0" collapsed="false">
      <c r="A446" s="2"/>
      <c r="B446" s="2"/>
      <c r="C446" s="2"/>
      <c r="D446" s="222"/>
      <c r="E446" s="222"/>
      <c r="F446" s="222"/>
      <c r="G446" s="222"/>
      <c r="H446" s="222"/>
      <c r="I446" s="22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customFormat="false" ht="15.75" hidden="false" customHeight="true" outlineLevel="0" collapsed="false">
      <c r="A447" s="2"/>
      <c r="B447" s="2"/>
      <c r="C447" s="2"/>
      <c r="D447" s="222"/>
      <c r="E447" s="222"/>
      <c r="F447" s="222"/>
      <c r="G447" s="222"/>
      <c r="H447" s="222"/>
      <c r="I447" s="22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customFormat="false" ht="15.75" hidden="false" customHeight="true" outlineLevel="0" collapsed="false">
      <c r="A448" s="2"/>
      <c r="B448" s="2"/>
      <c r="C448" s="2"/>
      <c r="D448" s="222"/>
      <c r="E448" s="222"/>
      <c r="F448" s="222"/>
      <c r="G448" s="222"/>
      <c r="H448" s="222"/>
      <c r="I448" s="22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customFormat="false" ht="15.75" hidden="false" customHeight="true" outlineLevel="0" collapsed="false">
      <c r="A449" s="2"/>
      <c r="B449" s="2"/>
      <c r="C449" s="2"/>
      <c r="D449" s="222"/>
      <c r="E449" s="222"/>
      <c r="F449" s="222"/>
      <c r="G449" s="222"/>
      <c r="H449" s="222"/>
      <c r="I449" s="22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customFormat="false" ht="15.75" hidden="false" customHeight="true" outlineLevel="0" collapsed="false">
      <c r="A450" s="2"/>
      <c r="B450" s="2"/>
      <c r="C450" s="2"/>
      <c r="D450" s="222"/>
      <c r="E450" s="222"/>
      <c r="F450" s="222"/>
      <c r="G450" s="222"/>
      <c r="H450" s="222"/>
      <c r="I450" s="22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customFormat="false" ht="15.75" hidden="false" customHeight="true" outlineLevel="0" collapsed="false">
      <c r="A451" s="2"/>
      <c r="B451" s="2"/>
      <c r="C451" s="2"/>
      <c r="D451" s="222"/>
      <c r="E451" s="222"/>
      <c r="F451" s="222"/>
      <c r="G451" s="222"/>
      <c r="H451" s="222"/>
      <c r="I451" s="22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customFormat="false" ht="15.75" hidden="false" customHeight="true" outlineLevel="0" collapsed="false">
      <c r="A452" s="2"/>
      <c r="B452" s="2"/>
      <c r="C452" s="2"/>
      <c r="D452" s="222"/>
      <c r="E452" s="222"/>
      <c r="F452" s="222"/>
      <c r="G452" s="222"/>
      <c r="H452" s="222"/>
      <c r="I452" s="22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customFormat="false" ht="15.75" hidden="false" customHeight="true" outlineLevel="0" collapsed="false">
      <c r="A453" s="2"/>
      <c r="B453" s="2"/>
      <c r="C453" s="2"/>
      <c r="D453" s="222"/>
      <c r="E453" s="222"/>
      <c r="F453" s="222"/>
      <c r="G453" s="222"/>
      <c r="H453" s="222"/>
      <c r="I453" s="22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customFormat="false" ht="15.75" hidden="false" customHeight="true" outlineLevel="0" collapsed="false">
      <c r="A454" s="2"/>
      <c r="B454" s="2"/>
      <c r="C454" s="2"/>
      <c r="D454" s="222"/>
      <c r="E454" s="222"/>
      <c r="F454" s="222"/>
      <c r="G454" s="222"/>
      <c r="H454" s="222"/>
      <c r="I454" s="22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customFormat="false" ht="15.75" hidden="false" customHeight="true" outlineLevel="0" collapsed="false">
      <c r="A455" s="2"/>
      <c r="B455" s="2"/>
      <c r="C455" s="2"/>
      <c r="D455" s="222"/>
      <c r="E455" s="222"/>
      <c r="F455" s="222"/>
      <c r="G455" s="222"/>
      <c r="H455" s="222"/>
      <c r="I455" s="22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customFormat="false" ht="15.75" hidden="false" customHeight="true" outlineLevel="0" collapsed="false">
      <c r="A456" s="2"/>
      <c r="B456" s="2"/>
      <c r="C456" s="2"/>
      <c r="D456" s="222"/>
      <c r="E456" s="222"/>
      <c r="F456" s="222"/>
      <c r="G456" s="222"/>
      <c r="H456" s="222"/>
      <c r="I456" s="22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customFormat="false" ht="15.75" hidden="false" customHeight="true" outlineLevel="0" collapsed="false">
      <c r="A457" s="2"/>
      <c r="B457" s="2"/>
      <c r="C457" s="2"/>
      <c r="D457" s="222"/>
      <c r="E457" s="222"/>
      <c r="F457" s="222"/>
      <c r="G457" s="222"/>
      <c r="H457" s="222"/>
      <c r="I457" s="22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customFormat="false" ht="15.75" hidden="false" customHeight="true" outlineLevel="0" collapsed="false">
      <c r="A458" s="2"/>
      <c r="B458" s="2"/>
      <c r="C458" s="2"/>
      <c r="D458" s="222"/>
      <c r="E458" s="222"/>
      <c r="F458" s="222"/>
      <c r="G458" s="222"/>
      <c r="H458" s="222"/>
      <c r="I458" s="22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customFormat="false" ht="15.75" hidden="false" customHeight="true" outlineLevel="0" collapsed="false">
      <c r="A459" s="2"/>
      <c r="B459" s="2"/>
      <c r="C459" s="2"/>
      <c r="D459" s="222"/>
      <c r="E459" s="222"/>
      <c r="F459" s="222"/>
      <c r="G459" s="222"/>
      <c r="H459" s="222"/>
      <c r="I459" s="22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customFormat="false" ht="15.75" hidden="false" customHeight="true" outlineLevel="0" collapsed="false">
      <c r="A460" s="2"/>
      <c r="B460" s="2"/>
      <c r="C460" s="2"/>
      <c r="D460" s="222"/>
      <c r="E460" s="222"/>
      <c r="F460" s="222"/>
      <c r="G460" s="222"/>
      <c r="H460" s="222"/>
      <c r="I460" s="22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customFormat="false" ht="15.75" hidden="false" customHeight="true" outlineLevel="0" collapsed="false">
      <c r="A461" s="2"/>
      <c r="B461" s="2"/>
      <c r="C461" s="2"/>
      <c r="D461" s="222"/>
      <c r="E461" s="222"/>
      <c r="F461" s="222"/>
      <c r="G461" s="222"/>
      <c r="H461" s="222"/>
      <c r="I461" s="22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customFormat="false" ht="15.75" hidden="false" customHeight="true" outlineLevel="0" collapsed="false">
      <c r="A462" s="2"/>
      <c r="B462" s="2"/>
      <c r="C462" s="2"/>
      <c r="D462" s="222"/>
      <c r="E462" s="222"/>
      <c r="F462" s="222"/>
      <c r="G462" s="222"/>
      <c r="H462" s="222"/>
      <c r="I462" s="22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customFormat="false" ht="15.75" hidden="false" customHeight="true" outlineLevel="0" collapsed="false">
      <c r="A463" s="2"/>
      <c r="B463" s="2"/>
      <c r="C463" s="2"/>
      <c r="D463" s="222"/>
      <c r="E463" s="222"/>
      <c r="F463" s="222"/>
      <c r="G463" s="222"/>
      <c r="H463" s="222"/>
      <c r="I463" s="22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customFormat="false" ht="15.75" hidden="false" customHeight="true" outlineLevel="0" collapsed="false">
      <c r="A464" s="2"/>
      <c r="B464" s="2"/>
      <c r="C464" s="2"/>
      <c r="D464" s="222"/>
      <c r="E464" s="222"/>
      <c r="F464" s="222"/>
      <c r="G464" s="222"/>
      <c r="H464" s="222"/>
      <c r="I464" s="22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customFormat="false" ht="15.75" hidden="false" customHeight="true" outlineLevel="0" collapsed="false">
      <c r="A465" s="2"/>
      <c r="B465" s="2"/>
      <c r="C465" s="2"/>
      <c r="D465" s="222"/>
      <c r="E465" s="222"/>
      <c r="F465" s="222"/>
      <c r="G465" s="222"/>
      <c r="H465" s="222"/>
      <c r="I465" s="22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customFormat="false" ht="15.75" hidden="false" customHeight="true" outlineLevel="0" collapsed="false">
      <c r="A466" s="2"/>
      <c r="B466" s="2"/>
      <c r="C466" s="2"/>
      <c r="D466" s="222"/>
      <c r="E466" s="222"/>
      <c r="F466" s="222"/>
      <c r="G466" s="222"/>
      <c r="H466" s="222"/>
      <c r="I466" s="22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customFormat="false" ht="15.75" hidden="false" customHeight="true" outlineLevel="0" collapsed="false">
      <c r="A467" s="2"/>
      <c r="B467" s="2"/>
      <c r="C467" s="2"/>
      <c r="D467" s="222"/>
      <c r="E467" s="222"/>
      <c r="F467" s="222"/>
      <c r="G467" s="222"/>
      <c r="H467" s="222"/>
      <c r="I467" s="22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customFormat="false" ht="15.75" hidden="false" customHeight="true" outlineLevel="0" collapsed="false">
      <c r="A468" s="2"/>
      <c r="B468" s="2"/>
      <c r="C468" s="2"/>
      <c r="D468" s="222"/>
      <c r="E468" s="222"/>
      <c r="F468" s="222"/>
      <c r="G468" s="222"/>
      <c r="H468" s="222"/>
      <c r="I468" s="22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customFormat="false" ht="15.75" hidden="false" customHeight="true" outlineLevel="0" collapsed="false">
      <c r="A469" s="2"/>
      <c r="B469" s="2"/>
      <c r="C469" s="2"/>
      <c r="D469" s="222"/>
      <c r="E469" s="222"/>
      <c r="F469" s="222"/>
      <c r="G469" s="222"/>
      <c r="H469" s="222"/>
      <c r="I469" s="22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customFormat="false" ht="15.75" hidden="false" customHeight="true" outlineLevel="0" collapsed="false">
      <c r="A470" s="2"/>
      <c r="B470" s="2"/>
      <c r="C470" s="2"/>
      <c r="D470" s="222"/>
      <c r="E470" s="222"/>
      <c r="F470" s="222"/>
      <c r="G470" s="222"/>
      <c r="H470" s="222"/>
      <c r="I470" s="22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customFormat="false" ht="15.75" hidden="false" customHeight="true" outlineLevel="0" collapsed="false">
      <c r="A471" s="2"/>
      <c r="B471" s="2"/>
      <c r="C471" s="2"/>
      <c r="D471" s="222"/>
      <c r="E471" s="222"/>
      <c r="F471" s="222"/>
      <c r="G471" s="222"/>
      <c r="H471" s="222"/>
      <c r="I471" s="22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customFormat="false" ht="15.75" hidden="false" customHeight="true" outlineLevel="0" collapsed="false">
      <c r="A472" s="2"/>
      <c r="B472" s="2"/>
      <c r="C472" s="2"/>
      <c r="D472" s="222"/>
      <c r="E472" s="222"/>
      <c r="F472" s="222"/>
      <c r="G472" s="222"/>
      <c r="H472" s="222"/>
      <c r="I472" s="22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customFormat="false" ht="15.75" hidden="false" customHeight="true" outlineLevel="0" collapsed="false">
      <c r="A473" s="2"/>
      <c r="B473" s="2"/>
      <c r="C473" s="2"/>
      <c r="D473" s="222"/>
      <c r="E473" s="222"/>
      <c r="F473" s="222"/>
      <c r="G473" s="222"/>
      <c r="H473" s="222"/>
      <c r="I473" s="22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customFormat="false" ht="15.75" hidden="false" customHeight="true" outlineLevel="0" collapsed="false">
      <c r="A474" s="2"/>
      <c r="B474" s="2"/>
      <c r="C474" s="2"/>
      <c r="D474" s="222"/>
      <c r="E474" s="222"/>
      <c r="F474" s="222"/>
      <c r="G474" s="222"/>
      <c r="H474" s="222"/>
      <c r="I474" s="22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customFormat="false" ht="15.75" hidden="false" customHeight="true" outlineLevel="0" collapsed="false">
      <c r="A475" s="2"/>
      <c r="B475" s="2"/>
      <c r="C475" s="2"/>
      <c r="D475" s="222"/>
      <c r="E475" s="222"/>
      <c r="F475" s="222"/>
      <c r="G475" s="222"/>
      <c r="H475" s="222"/>
      <c r="I475" s="22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customFormat="false" ht="15.75" hidden="false" customHeight="true" outlineLevel="0" collapsed="false">
      <c r="A476" s="2"/>
      <c r="B476" s="2"/>
      <c r="C476" s="2"/>
      <c r="D476" s="222"/>
      <c r="E476" s="222"/>
      <c r="F476" s="222"/>
      <c r="G476" s="222"/>
      <c r="H476" s="222"/>
      <c r="I476" s="22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customFormat="false" ht="15.75" hidden="false" customHeight="true" outlineLevel="0" collapsed="false">
      <c r="A477" s="2"/>
      <c r="B477" s="2"/>
      <c r="C477" s="2"/>
      <c r="D477" s="222"/>
      <c r="E477" s="222"/>
      <c r="F477" s="222"/>
      <c r="G477" s="222"/>
      <c r="H477" s="222"/>
      <c r="I477" s="22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customFormat="false" ht="15.75" hidden="false" customHeight="true" outlineLevel="0" collapsed="false">
      <c r="A478" s="2"/>
      <c r="B478" s="2"/>
      <c r="C478" s="2"/>
      <c r="D478" s="222"/>
      <c r="E478" s="222"/>
      <c r="F478" s="222"/>
      <c r="G478" s="222"/>
      <c r="H478" s="222"/>
      <c r="I478" s="22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customFormat="false" ht="15.75" hidden="false" customHeight="true" outlineLevel="0" collapsed="false">
      <c r="A479" s="2"/>
      <c r="B479" s="2"/>
      <c r="C479" s="2"/>
      <c r="D479" s="222"/>
      <c r="E479" s="222"/>
      <c r="F479" s="222"/>
      <c r="G479" s="222"/>
      <c r="H479" s="222"/>
      <c r="I479" s="22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customFormat="false" ht="15.75" hidden="false" customHeight="true" outlineLevel="0" collapsed="false">
      <c r="A480" s="2"/>
      <c r="B480" s="2"/>
      <c r="C480" s="2"/>
      <c r="D480" s="222"/>
      <c r="E480" s="222"/>
      <c r="F480" s="222"/>
      <c r="G480" s="222"/>
      <c r="H480" s="222"/>
      <c r="I480" s="22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customFormat="false" ht="15.75" hidden="false" customHeight="true" outlineLevel="0" collapsed="false">
      <c r="A481" s="2"/>
      <c r="B481" s="2"/>
      <c r="C481" s="2"/>
      <c r="D481" s="222"/>
      <c r="E481" s="222"/>
      <c r="F481" s="222"/>
      <c r="G481" s="222"/>
      <c r="H481" s="222"/>
      <c r="I481" s="22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customFormat="false" ht="15.75" hidden="false" customHeight="true" outlineLevel="0" collapsed="false">
      <c r="A482" s="2"/>
      <c r="B482" s="2"/>
      <c r="C482" s="2"/>
      <c r="D482" s="222"/>
      <c r="E482" s="222"/>
      <c r="F482" s="222"/>
      <c r="G482" s="222"/>
      <c r="H482" s="222"/>
      <c r="I482" s="22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customFormat="false" ht="15.75" hidden="false" customHeight="true" outlineLevel="0" collapsed="false">
      <c r="A483" s="2"/>
      <c r="B483" s="2"/>
      <c r="C483" s="2"/>
      <c r="D483" s="222"/>
      <c r="E483" s="222"/>
      <c r="F483" s="222"/>
      <c r="G483" s="222"/>
      <c r="H483" s="222"/>
      <c r="I483" s="22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customFormat="false" ht="15.75" hidden="false" customHeight="true" outlineLevel="0" collapsed="false">
      <c r="A484" s="2"/>
      <c r="B484" s="2"/>
      <c r="C484" s="2"/>
      <c r="D484" s="222"/>
      <c r="E484" s="222"/>
      <c r="F484" s="222"/>
      <c r="G484" s="222"/>
      <c r="H484" s="222"/>
      <c r="I484" s="22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customFormat="false" ht="15.75" hidden="false" customHeight="true" outlineLevel="0" collapsed="false">
      <c r="A485" s="2"/>
      <c r="B485" s="2"/>
      <c r="C485" s="2"/>
      <c r="D485" s="222"/>
      <c r="E485" s="222"/>
      <c r="F485" s="222"/>
      <c r="G485" s="222"/>
      <c r="H485" s="222"/>
      <c r="I485" s="22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customFormat="false" ht="15.75" hidden="false" customHeight="true" outlineLevel="0" collapsed="false">
      <c r="A486" s="2"/>
      <c r="B486" s="2"/>
      <c r="C486" s="2"/>
      <c r="D486" s="222"/>
      <c r="E486" s="222"/>
      <c r="F486" s="222"/>
      <c r="G486" s="222"/>
      <c r="H486" s="222"/>
      <c r="I486" s="22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customFormat="false" ht="15.75" hidden="false" customHeight="true" outlineLevel="0" collapsed="false">
      <c r="A487" s="2"/>
      <c r="B487" s="2"/>
      <c r="C487" s="2"/>
      <c r="D487" s="222"/>
      <c r="E487" s="222"/>
      <c r="F487" s="222"/>
      <c r="G487" s="222"/>
      <c r="H487" s="222"/>
      <c r="I487" s="22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customFormat="false" ht="15.75" hidden="false" customHeight="true" outlineLevel="0" collapsed="false">
      <c r="A488" s="2"/>
      <c r="B488" s="2"/>
      <c r="C488" s="2"/>
      <c r="D488" s="222"/>
      <c r="E488" s="222"/>
      <c r="F488" s="222"/>
      <c r="G488" s="222"/>
      <c r="H488" s="222"/>
      <c r="I488" s="22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customFormat="false" ht="15.75" hidden="false" customHeight="true" outlineLevel="0" collapsed="false">
      <c r="A489" s="2"/>
      <c r="B489" s="2"/>
      <c r="C489" s="2"/>
      <c r="D489" s="222"/>
      <c r="E489" s="222"/>
      <c r="F489" s="222"/>
      <c r="G489" s="222"/>
      <c r="H489" s="222"/>
      <c r="I489" s="22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customFormat="false" ht="15.75" hidden="false" customHeight="true" outlineLevel="0" collapsed="false">
      <c r="A490" s="2"/>
      <c r="B490" s="2"/>
      <c r="C490" s="2"/>
      <c r="D490" s="222"/>
      <c r="E490" s="222"/>
      <c r="F490" s="222"/>
      <c r="G490" s="222"/>
      <c r="H490" s="222"/>
      <c r="I490" s="22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customFormat="false" ht="15.75" hidden="false" customHeight="true" outlineLevel="0" collapsed="false">
      <c r="A491" s="2"/>
      <c r="B491" s="2"/>
      <c r="C491" s="2"/>
      <c r="D491" s="222"/>
      <c r="E491" s="222"/>
      <c r="F491" s="222"/>
      <c r="G491" s="222"/>
      <c r="H491" s="222"/>
      <c r="I491" s="22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customFormat="false" ht="15.75" hidden="false" customHeight="true" outlineLevel="0" collapsed="false">
      <c r="A492" s="2"/>
      <c r="B492" s="2"/>
      <c r="C492" s="2"/>
      <c r="D492" s="222"/>
      <c r="E492" s="222"/>
      <c r="F492" s="222"/>
      <c r="G492" s="222"/>
      <c r="H492" s="222"/>
      <c r="I492" s="22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customFormat="false" ht="15.75" hidden="false" customHeight="true" outlineLevel="0" collapsed="false">
      <c r="A493" s="2"/>
      <c r="B493" s="2"/>
      <c r="C493" s="2"/>
      <c r="D493" s="222"/>
      <c r="E493" s="222"/>
      <c r="F493" s="222"/>
      <c r="G493" s="222"/>
      <c r="H493" s="222"/>
      <c r="I493" s="22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customFormat="false" ht="15.75" hidden="false" customHeight="true" outlineLevel="0" collapsed="false">
      <c r="A494" s="2"/>
      <c r="B494" s="2"/>
      <c r="C494" s="2"/>
      <c r="D494" s="222"/>
      <c r="E494" s="222"/>
      <c r="F494" s="222"/>
      <c r="G494" s="222"/>
      <c r="H494" s="222"/>
      <c r="I494" s="22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customFormat="false" ht="15.75" hidden="false" customHeight="true" outlineLevel="0" collapsed="false">
      <c r="A495" s="2"/>
      <c r="B495" s="2"/>
      <c r="C495" s="2"/>
      <c r="D495" s="222"/>
      <c r="E495" s="222"/>
      <c r="F495" s="222"/>
      <c r="G495" s="222"/>
      <c r="H495" s="222"/>
      <c r="I495" s="22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customFormat="false" ht="15.75" hidden="false" customHeight="true" outlineLevel="0" collapsed="false">
      <c r="A496" s="2"/>
      <c r="B496" s="2"/>
      <c r="C496" s="2"/>
      <c r="D496" s="222"/>
      <c r="E496" s="222"/>
      <c r="F496" s="222"/>
      <c r="G496" s="222"/>
      <c r="H496" s="222"/>
      <c r="I496" s="22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customFormat="false" ht="15.75" hidden="false" customHeight="true" outlineLevel="0" collapsed="false">
      <c r="A497" s="2"/>
      <c r="B497" s="2"/>
      <c r="C497" s="2"/>
      <c r="D497" s="222"/>
      <c r="E497" s="222"/>
      <c r="F497" s="222"/>
      <c r="G497" s="222"/>
      <c r="H497" s="222"/>
      <c r="I497" s="22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customFormat="false" ht="15.75" hidden="false" customHeight="true" outlineLevel="0" collapsed="false">
      <c r="A498" s="2"/>
      <c r="B498" s="2"/>
      <c r="C498" s="2"/>
      <c r="D498" s="222"/>
      <c r="E498" s="222"/>
      <c r="F498" s="222"/>
      <c r="G498" s="222"/>
      <c r="H498" s="222"/>
      <c r="I498" s="22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customFormat="false" ht="15.75" hidden="false" customHeight="true" outlineLevel="0" collapsed="false">
      <c r="A499" s="2"/>
      <c r="B499" s="2"/>
      <c r="C499" s="2"/>
      <c r="D499" s="222"/>
      <c r="E499" s="222"/>
      <c r="F499" s="222"/>
      <c r="G499" s="222"/>
      <c r="H499" s="222"/>
      <c r="I499" s="22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customFormat="false" ht="15.75" hidden="false" customHeight="true" outlineLevel="0" collapsed="false">
      <c r="A500" s="2"/>
      <c r="B500" s="2"/>
      <c r="C500" s="2"/>
      <c r="D500" s="222"/>
      <c r="E500" s="222"/>
      <c r="F500" s="222"/>
      <c r="G500" s="222"/>
      <c r="H500" s="222"/>
      <c r="I500" s="22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customFormat="false" ht="15.75" hidden="false" customHeight="true" outlineLevel="0" collapsed="false">
      <c r="A501" s="2"/>
      <c r="B501" s="2"/>
      <c r="C501" s="2"/>
      <c r="D501" s="222"/>
      <c r="E501" s="222"/>
      <c r="F501" s="222"/>
      <c r="G501" s="222"/>
      <c r="H501" s="222"/>
      <c r="I501" s="22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customFormat="false" ht="15.75" hidden="false" customHeight="true" outlineLevel="0" collapsed="false">
      <c r="A502" s="2"/>
      <c r="B502" s="2"/>
      <c r="C502" s="2"/>
      <c r="D502" s="222"/>
      <c r="E502" s="222"/>
      <c r="F502" s="222"/>
      <c r="G502" s="222"/>
      <c r="H502" s="222"/>
      <c r="I502" s="22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customFormat="false" ht="15.75" hidden="false" customHeight="true" outlineLevel="0" collapsed="false">
      <c r="A503" s="2"/>
      <c r="B503" s="2"/>
      <c r="C503" s="2"/>
      <c r="D503" s="222"/>
      <c r="E503" s="222"/>
      <c r="F503" s="222"/>
      <c r="G503" s="222"/>
      <c r="H503" s="222"/>
      <c r="I503" s="22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customFormat="false" ht="15.75" hidden="false" customHeight="true" outlineLevel="0" collapsed="false">
      <c r="A504" s="2"/>
      <c r="B504" s="2"/>
      <c r="C504" s="2"/>
      <c r="D504" s="222"/>
      <c r="E504" s="222"/>
      <c r="F504" s="222"/>
      <c r="G504" s="222"/>
      <c r="H504" s="222"/>
      <c r="I504" s="22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customFormat="false" ht="15.75" hidden="false" customHeight="true" outlineLevel="0" collapsed="false">
      <c r="A505" s="2"/>
      <c r="B505" s="2"/>
      <c r="C505" s="2"/>
      <c r="D505" s="222"/>
      <c r="E505" s="222"/>
      <c r="F505" s="222"/>
      <c r="G505" s="222"/>
      <c r="H505" s="222"/>
      <c r="I505" s="22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customFormat="false" ht="15.75" hidden="false" customHeight="true" outlineLevel="0" collapsed="false">
      <c r="A506" s="2"/>
      <c r="B506" s="2"/>
      <c r="C506" s="2"/>
      <c r="D506" s="222"/>
      <c r="E506" s="222"/>
      <c r="F506" s="222"/>
      <c r="G506" s="222"/>
      <c r="H506" s="222"/>
      <c r="I506" s="22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customFormat="false" ht="15.75" hidden="false" customHeight="true" outlineLevel="0" collapsed="false">
      <c r="A507" s="2"/>
      <c r="B507" s="2"/>
      <c r="C507" s="2"/>
      <c r="D507" s="222"/>
      <c r="E507" s="222"/>
      <c r="F507" s="222"/>
      <c r="G507" s="222"/>
      <c r="H507" s="222"/>
      <c r="I507" s="22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customFormat="false" ht="15.75" hidden="false" customHeight="true" outlineLevel="0" collapsed="false">
      <c r="A508" s="2"/>
      <c r="B508" s="2"/>
      <c r="C508" s="2"/>
      <c r="D508" s="222"/>
      <c r="E508" s="222"/>
      <c r="F508" s="222"/>
      <c r="G508" s="222"/>
      <c r="H508" s="222"/>
      <c r="I508" s="22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customFormat="false" ht="15.75" hidden="false" customHeight="true" outlineLevel="0" collapsed="false">
      <c r="A509" s="2"/>
      <c r="B509" s="2"/>
      <c r="C509" s="2"/>
      <c r="D509" s="222"/>
      <c r="E509" s="222"/>
      <c r="F509" s="222"/>
      <c r="G509" s="222"/>
      <c r="H509" s="222"/>
      <c r="I509" s="22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customFormat="false" ht="15.75" hidden="false" customHeight="true" outlineLevel="0" collapsed="false">
      <c r="A510" s="2"/>
      <c r="B510" s="2"/>
      <c r="C510" s="2"/>
      <c r="D510" s="222"/>
      <c r="E510" s="222"/>
      <c r="F510" s="222"/>
      <c r="G510" s="222"/>
      <c r="H510" s="222"/>
      <c r="I510" s="22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customFormat="false" ht="15.75" hidden="false" customHeight="true" outlineLevel="0" collapsed="false">
      <c r="A511" s="2"/>
      <c r="B511" s="2"/>
      <c r="C511" s="2"/>
      <c r="D511" s="222"/>
      <c r="E511" s="222"/>
      <c r="F511" s="222"/>
      <c r="G511" s="222"/>
      <c r="H511" s="222"/>
      <c r="I511" s="22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customFormat="false" ht="15.75" hidden="false" customHeight="true" outlineLevel="0" collapsed="false">
      <c r="A512" s="2"/>
      <c r="B512" s="2"/>
      <c r="C512" s="2"/>
      <c r="D512" s="222"/>
      <c r="E512" s="222"/>
      <c r="F512" s="222"/>
      <c r="G512" s="222"/>
      <c r="H512" s="222"/>
      <c r="I512" s="22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customFormat="false" ht="15.75" hidden="false" customHeight="true" outlineLevel="0" collapsed="false">
      <c r="A513" s="2"/>
      <c r="B513" s="2"/>
      <c r="C513" s="2"/>
      <c r="D513" s="222"/>
      <c r="E513" s="222"/>
      <c r="F513" s="222"/>
      <c r="G513" s="222"/>
      <c r="H513" s="222"/>
      <c r="I513" s="22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customFormat="false" ht="15.75" hidden="false" customHeight="true" outlineLevel="0" collapsed="false">
      <c r="A514" s="2"/>
      <c r="B514" s="2"/>
      <c r="C514" s="2"/>
      <c r="D514" s="222"/>
      <c r="E514" s="222"/>
      <c r="F514" s="222"/>
      <c r="G514" s="222"/>
      <c r="H514" s="222"/>
      <c r="I514" s="22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customFormat="false" ht="15.75" hidden="false" customHeight="true" outlineLevel="0" collapsed="false">
      <c r="A515" s="2"/>
      <c r="B515" s="2"/>
      <c r="C515" s="2"/>
      <c r="D515" s="222"/>
      <c r="E515" s="222"/>
      <c r="F515" s="222"/>
      <c r="G515" s="222"/>
      <c r="H515" s="222"/>
      <c r="I515" s="22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customFormat="false" ht="15.75" hidden="false" customHeight="true" outlineLevel="0" collapsed="false">
      <c r="A516" s="2"/>
      <c r="B516" s="2"/>
      <c r="C516" s="2"/>
      <c r="D516" s="222"/>
      <c r="E516" s="222"/>
      <c r="F516" s="222"/>
      <c r="G516" s="222"/>
      <c r="H516" s="222"/>
      <c r="I516" s="22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customFormat="false" ht="15.75" hidden="false" customHeight="true" outlineLevel="0" collapsed="false">
      <c r="A517" s="2"/>
      <c r="B517" s="2"/>
      <c r="C517" s="2"/>
      <c r="D517" s="222"/>
      <c r="E517" s="222"/>
      <c r="F517" s="222"/>
      <c r="G517" s="222"/>
      <c r="H517" s="222"/>
      <c r="I517" s="22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customFormat="false" ht="15.75" hidden="false" customHeight="true" outlineLevel="0" collapsed="false">
      <c r="A518" s="2"/>
      <c r="B518" s="2"/>
      <c r="C518" s="2"/>
      <c r="D518" s="222"/>
      <c r="E518" s="222"/>
      <c r="F518" s="222"/>
      <c r="G518" s="222"/>
      <c r="H518" s="222"/>
      <c r="I518" s="22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customFormat="false" ht="15.75" hidden="false" customHeight="true" outlineLevel="0" collapsed="false">
      <c r="A519" s="2"/>
      <c r="B519" s="2"/>
      <c r="C519" s="2"/>
      <c r="D519" s="222"/>
      <c r="E519" s="222"/>
      <c r="F519" s="222"/>
      <c r="G519" s="222"/>
      <c r="H519" s="222"/>
      <c r="I519" s="22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customFormat="false" ht="15.75" hidden="false" customHeight="true" outlineLevel="0" collapsed="false">
      <c r="A520" s="2"/>
      <c r="B520" s="2"/>
      <c r="C520" s="2"/>
      <c r="D520" s="222"/>
      <c r="E520" s="222"/>
      <c r="F520" s="222"/>
      <c r="G520" s="222"/>
      <c r="H520" s="222"/>
      <c r="I520" s="22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customFormat="false" ht="15.75" hidden="false" customHeight="true" outlineLevel="0" collapsed="false">
      <c r="A521" s="2"/>
      <c r="B521" s="2"/>
      <c r="C521" s="2"/>
      <c r="D521" s="222"/>
      <c r="E521" s="222"/>
      <c r="F521" s="222"/>
      <c r="G521" s="222"/>
      <c r="H521" s="222"/>
      <c r="I521" s="22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customFormat="false" ht="15.75" hidden="false" customHeight="true" outlineLevel="0" collapsed="false">
      <c r="A522" s="2"/>
      <c r="B522" s="2"/>
      <c r="C522" s="2"/>
      <c r="D522" s="222"/>
      <c r="E522" s="222"/>
      <c r="F522" s="222"/>
      <c r="G522" s="222"/>
      <c r="H522" s="222"/>
      <c r="I522" s="22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customFormat="false" ht="15.75" hidden="false" customHeight="true" outlineLevel="0" collapsed="false">
      <c r="A523" s="2"/>
      <c r="B523" s="2"/>
      <c r="C523" s="2"/>
      <c r="D523" s="222"/>
      <c r="E523" s="222"/>
      <c r="F523" s="222"/>
      <c r="G523" s="222"/>
      <c r="H523" s="222"/>
      <c r="I523" s="22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customFormat="false" ht="15.75" hidden="false" customHeight="true" outlineLevel="0" collapsed="false">
      <c r="A524" s="2"/>
      <c r="B524" s="2"/>
      <c r="C524" s="2"/>
      <c r="D524" s="222"/>
      <c r="E524" s="222"/>
      <c r="F524" s="222"/>
      <c r="G524" s="222"/>
      <c r="H524" s="222"/>
      <c r="I524" s="22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customFormat="false" ht="15.75" hidden="false" customHeight="true" outlineLevel="0" collapsed="false">
      <c r="A525" s="2"/>
      <c r="B525" s="2"/>
      <c r="C525" s="2"/>
      <c r="D525" s="222"/>
      <c r="E525" s="222"/>
      <c r="F525" s="222"/>
      <c r="G525" s="222"/>
      <c r="H525" s="222"/>
      <c r="I525" s="22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customFormat="false" ht="15.75" hidden="false" customHeight="true" outlineLevel="0" collapsed="false">
      <c r="A526" s="2"/>
      <c r="B526" s="2"/>
      <c r="C526" s="2"/>
      <c r="D526" s="222"/>
      <c r="E526" s="222"/>
      <c r="F526" s="222"/>
      <c r="G526" s="222"/>
      <c r="H526" s="222"/>
      <c r="I526" s="22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customFormat="false" ht="15.75" hidden="false" customHeight="true" outlineLevel="0" collapsed="false">
      <c r="A527" s="2"/>
      <c r="B527" s="2"/>
      <c r="C527" s="2"/>
      <c r="D527" s="222"/>
      <c r="E527" s="222"/>
      <c r="F527" s="222"/>
      <c r="G527" s="222"/>
      <c r="H527" s="222"/>
      <c r="I527" s="22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customFormat="false" ht="15.75" hidden="false" customHeight="true" outlineLevel="0" collapsed="false">
      <c r="A528" s="2"/>
      <c r="B528" s="2"/>
      <c r="C528" s="2"/>
      <c r="D528" s="222"/>
      <c r="E528" s="222"/>
      <c r="F528" s="222"/>
      <c r="G528" s="222"/>
      <c r="H528" s="222"/>
      <c r="I528" s="22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customFormat="false" ht="15.75" hidden="false" customHeight="true" outlineLevel="0" collapsed="false">
      <c r="A529" s="2"/>
      <c r="B529" s="2"/>
      <c r="C529" s="2"/>
      <c r="D529" s="222"/>
      <c r="E529" s="222"/>
      <c r="F529" s="222"/>
      <c r="G529" s="222"/>
      <c r="H529" s="222"/>
      <c r="I529" s="22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customFormat="false" ht="15.75" hidden="false" customHeight="true" outlineLevel="0" collapsed="false">
      <c r="A530" s="2"/>
      <c r="B530" s="2"/>
      <c r="C530" s="2"/>
      <c r="D530" s="222"/>
      <c r="E530" s="222"/>
      <c r="F530" s="222"/>
      <c r="G530" s="222"/>
      <c r="H530" s="222"/>
      <c r="I530" s="22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customFormat="false" ht="15.75" hidden="false" customHeight="true" outlineLevel="0" collapsed="false">
      <c r="A531" s="2"/>
      <c r="B531" s="2"/>
      <c r="C531" s="2"/>
      <c r="D531" s="222"/>
      <c r="E531" s="222"/>
      <c r="F531" s="222"/>
      <c r="G531" s="222"/>
      <c r="H531" s="222"/>
      <c r="I531" s="22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customFormat="false" ht="15.75" hidden="false" customHeight="true" outlineLevel="0" collapsed="false">
      <c r="A532" s="2"/>
      <c r="B532" s="2"/>
      <c r="C532" s="2"/>
      <c r="D532" s="222"/>
      <c r="E532" s="222"/>
      <c r="F532" s="222"/>
      <c r="G532" s="222"/>
      <c r="H532" s="222"/>
      <c r="I532" s="22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customFormat="false" ht="15.75" hidden="false" customHeight="true" outlineLevel="0" collapsed="false">
      <c r="A533" s="2"/>
      <c r="B533" s="2"/>
      <c r="C533" s="2"/>
      <c r="D533" s="222"/>
      <c r="E533" s="222"/>
      <c r="F533" s="222"/>
      <c r="G533" s="222"/>
      <c r="H533" s="222"/>
      <c r="I533" s="22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customFormat="false" ht="15.75" hidden="false" customHeight="true" outlineLevel="0" collapsed="false">
      <c r="A534" s="2"/>
      <c r="B534" s="2"/>
      <c r="C534" s="2"/>
      <c r="D534" s="222"/>
      <c r="E534" s="222"/>
      <c r="F534" s="222"/>
      <c r="G534" s="222"/>
      <c r="H534" s="222"/>
      <c r="I534" s="22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customFormat="false" ht="15.75" hidden="false" customHeight="true" outlineLevel="0" collapsed="false">
      <c r="A535" s="2"/>
      <c r="B535" s="2"/>
      <c r="C535" s="2"/>
      <c r="D535" s="222"/>
      <c r="E535" s="222"/>
      <c r="F535" s="222"/>
      <c r="G535" s="222"/>
      <c r="H535" s="222"/>
      <c r="I535" s="22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customFormat="false" ht="15.75" hidden="false" customHeight="true" outlineLevel="0" collapsed="false">
      <c r="A536" s="2"/>
      <c r="B536" s="2"/>
      <c r="C536" s="2"/>
      <c r="D536" s="222"/>
      <c r="E536" s="222"/>
      <c r="F536" s="222"/>
      <c r="G536" s="222"/>
      <c r="H536" s="222"/>
      <c r="I536" s="22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customFormat="false" ht="15.75" hidden="false" customHeight="true" outlineLevel="0" collapsed="false">
      <c r="A537" s="2"/>
      <c r="B537" s="2"/>
      <c r="C537" s="2"/>
      <c r="D537" s="222"/>
      <c r="E537" s="222"/>
      <c r="F537" s="222"/>
      <c r="G537" s="222"/>
      <c r="H537" s="222"/>
      <c r="I537" s="22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customFormat="false" ht="15.75" hidden="false" customHeight="true" outlineLevel="0" collapsed="false">
      <c r="A538" s="2"/>
      <c r="B538" s="2"/>
      <c r="C538" s="2"/>
      <c r="D538" s="222"/>
      <c r="E538" s="222"/>
      <c r="F538" s="222"/>
      <c r="G538" s="222"/>
      <c r="H538" s="222"/>
      <c r="I538" s="22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customFormat="false" ht="15.75" hidden="false" customHeight="true" outlineLevel="0" collapsed="false">
      <c r="A539" s="2"/>
      <c r="B539" s="2"/>
      <c r="C539" s="2"/>
      <c r="D539" s="222"/>
      <c r="E539" s="222"/>
      <c r="F539" s="222"/>
      <c r="G539" s="222"/>
      <c r="H539" s="222"/>
      <c r="I539" s="22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customFormat="false" ht="15.75" hidden="false" customHeight="true" outlineLevel="0" collapsed="false">
      <c r="A540" s="2"/>
      <c r="B540" s="2"/>
      <c r="C540" s="2"/>
      <c r="D540" s="222"/>
      <c r="E540" s="222"/>
      <c r="F540" s="222"/>
      <c r="G540" s="222"/>
      <c r="H540" s="222"/>
      <c r="I540" s="22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customFormat="false" ht="15.75" hidden="false" customHeight="true" outlineLevel="0" collapsed="false">
      <c r="A541" s="2"/>
      <c r="B541" s="2"/>
      <c r="C541" s="2"/>
      <c r="D541" s="222"/>
      <c r="E541" s="222"/>
      <c r="F541" s="222"/>
      <c r="G541" s="222"/>
      <c r="H541" s="222"/>
      <c r="I541" s="22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customFormat="false" ht="15.75" hidden="false" customHeight="true" outlineLevel="0" collapsed="false">
      <c r="A542" s="2"/>
      <c r="B542" s="2"/>
      <c r="C542" s="2"/>
      <c r="D542" s="222"/>
      <c r="E542" s="222"/>
      <c r="F542" s="222"/>
      <c r="G542" s="222"/>
      <c r="H542" s="222"/>
      <c r="I542" s="22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customFormat="false" ht="15.75" hidden="false" customHeight="true" outlineLevel="0" collapsed="false">
      <c r="A543" s="2"/>
      <c r="B543" s="2"/>
      <c r="C543" s="2"/>
      <c r="D543" s="222"/>
      <c r="E543" s="222"/>
      <c r="F543" s="222"/>
      <c r="G543" s="222"/>
      <c r="H543" s="222"/>
      <c r="I543" s="22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customFormat="false" ht="15.75" hidden="false" customHeight="true" outlineLevel="0" collapsed="false">
      <c r="A544" s="2"/>
      <c r="B544" s="2"/>
      <c r="C544" s="2"/>
      <c r="D544" s="222"/>
      <c r="E544" s="222"/>
      <c r="F544" s="222"/>
      <c r="G544" s="222"/>
      <c r="H544" s="222"/>
      <c r="I544" s="22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customFormat="false" ht="15.75" hidden="false" customHeight="true" outlineLevel="0" collapsed="false">
      <c r="A545" s="2"/>
      <c r="B545" s="2"/>
      <c r="C545" s="2"/>
      <c r="D545" s="222"/>
      <c r="E545" s="222"/>
      <c r="F545" s="222"/>
      <c r="G545" s="222"/>
      <c r="H545" s="222"/>
      <c r="I545" s="22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customFormat="false" ht="15.75" hidden="false" customHeight="true" outlineLevel="0" collapsed="false">
      <c r="A546" s="2"/>
      <c r="B546" s="2"/>
      <c r="C546" s="2"/>
      <c r="D546" s="222"/>
      <c r="E546" s="222"/>
      <c r="F546" s="222"/>
      <c r="G546" s="222"/>
      <c r="H546" s="222"/>
      <c r="I546" s="22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customFormat="false" ht="15.75" hidden="false" customHeight="true" outlineLevel="0" collapsed="false">
      <c r="A547" s="2"/>
      <c r="B547" s="2"/>
      <c r="C547" s="2"/>
      <c r="D547" s="222"/>
      <c r="E547" s="222"/>
      <c r="F547" s="222"/>
      <c r="G547" s="222"/>
      <c r="H547" s="222"/>
      <c r="I547" s="22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customFormat="false" ht="15.75" hidden="false" customHeight="true" outlineLevel="0" collapsed="false">
      <c r="A548" s="2"/>
      <c r="B548" s="2"/>
      <c r="C548" s="2"/>
      <c r="D548" s="222"/>
      <c r="E548" s="222"/>
      <c r="F548" s="222"/>
      <c r="G548" s="222"/>
      <c r="H548" s="222"/>
      <c r="I548" s="22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customFormat="false" ht="15.75" hidden="false" customHeight="true" outlineLevel="0" collapsed="false">
      <c r="A549" s="2"/>
      <c r="B549" s="2"/>
      <c r="C549" s="2"/>
      <c r="D549" s="222"/>
      <c r="E549" s="222"/>
      <c r="F549" s="222"/>
      <c r="G549" s="222"/>
      <c r="H549" s="222"/>
      <c r="I549" s="22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customFormat="false" ht="15.75" hidden="false" customHeight="true" outlineLevel="0" collapsed="false">
      <c r="A550" s="2"/>
      <c r="B550" s="2"/>
      <c r="C550" s="2"/>
      <c r="D550" s="222"/>
      <c r="E550" s="222"/>
      <c r="F550" s="222"/>
      <c r="G550" s="222"/>
      <c r="H550" s="222"/>
      <c r="I550" s="22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customFormat="false" ht="15.75" hidden="false" customHeight="true" outlineLevel="0" collapsed="false">
      <c r="A551" s="2"/>
      <c r="B551" s="2"/>
      <c r="C551" s="2"/>
      <c r="D551" s="222"/>
      <c r="E551" s="222"/>
      <c r="F551" s="222"/>
      <c r="G551" s="222"/>
      <c r="H551" s="222"/>
      <c r="I551" s="22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customFormat="false" ht="15.75" hidden="false" customHeight="true" outlineLevel="0" collapsed="false">
      <c r="A552" s="2"/>
      <c r="B552" s="2"/>
      <c r="C552" s="2"/>
      <c r="D552" s="222"/>
      <c r="E552" s="222"/>
      <c r="F552" s="222"/>
      <c r="G552" s="222"/>
      <c r="H552" s="222"/>
      <c r="I552" s="22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customFormat="false" ht="15.75" hidden="false" customHeight="true" outlineLevel="0" collapsed="false">
      <c r="A553" s="2"/>
      <c r="B553" s="2"/>
      <c r="C553" s="2"/>
      <c r="D553" s="222"/>
      <c r="E553" s="222"/>
      <c r="F553" s="222"/>
      <c r="G553" s="222"/>
      <c r="H553" s="222"/>
      <c r="I553" s="22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customFormat="false" ht="15.75" hidden="false" customHeight="true" outlineLevel="0" collapsed="false">
      <c r="A554" s="2"/>
      <c r="B554" s="2"/>
      <c r="C554" s="2"/>
      <c r="D554" s="222"/>
      <c r="E554" s="222"/>
      <c r="F554" s="222"/>
      <c r="G554" s="222"/>
      <c r="H554" s="222"/>
      <c r="I554" s="22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customFormat="false" ht="15.75" hidden="false" customHeight="true" outlineLevel="0" collapsed="false">
      <c r="A555" s="2"/>
      <c r="B555" s="2"/>
      <c r="C555" s="2"/>
      <c r="D555" s="222"/>
      <c r="E555" s="222"/>
      <c r="F555" s="222"/>
      <c r="G555" s="222"/>
      <c r="H555" s="222"/>
      <c r="I555" s="22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customFormat="false" ht="15.75" hidden="false" customHeight="true" outlineLevel="0" collapsed="false">
      <c r="A556" s="2"/>
      <c r="B556" s="2"/>
      <c r="C556" s="2"/>
      <c r="D556" s="222"/>
      <c r="E556" s="222"/>
      <c r="F556" s="222"/>
      <c r="G556" s="222"/>
      <c r="H556" s="222"/>
      <c r="I556" s="22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customFormat="false" ht="15.75" hidden="false" customHeight="true" outlineLevel="0" collapsed="false">
      <c r="A557" s="2"/>
      <c r="B557" s="2"/>
      <c r="C557" s="2"/>
      <c r="D557" s="222"/>
      <c r="E557" s="222"/>
      <c r="F557" s="222"/>
      <c r="G557" s="222"/>
      <c r="H557" s="222"/>
      <c r="I557" s="22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customFormat="false" ht="15.75" hidden="false" customHeight="true" outlineLevel="0" collapsed="false">
      <c r="A558" s="2"/>
      <c r="B558" s="2"/>
      <c r="C558" s="2"/>
      <c r="D558" s="222"/>
      <c r="E558" s="222"/>
      <c r="F558" s="222"/>
      <c r="G558" s="222"/>
      <c r="H558" s="222"/>
      <c r="I558" s="22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customFormat="false" ht="15.75" hidden="false" customHeight="true" outlineLevel="0" collapsed="false">
      <c r="A559" s="2"/>
      <c r="B559" s="2"/>
      <c r="C559" s="2"/>
      <c r="D559" s="222"/>
      <c r="E559" s="222"/>
      <c r="F559" s="222"/>
      <c r="G559" s="222"/>
      <c r="H559" s="222"/>
      <c r="I559" s="22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customFormat="false" ht="15.75" hidden="false" customHeight="true" outlineLevel="0" collapsed="false">
      <c r="A560" s="2"/>
      <c r="B560" s="2"/>
      <c r="C560" s="2"/>
      <c r="D560" s="222"/>
      <c r="E560" s="222"/>
      <c r="F560" s="222"/>
      <c r="G560" s="222"/>
      <c r="H560" s="222"/>
      <c r="I560" s="22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customFormat="false" ht="15.75" hidden="false" customHeight="true" outlineLevel="0" collapsed="false">
      <c r="A561" s="2"/>
      <c r="B561" s="2"/>
      <c r="C561" s="2"/>
      <c r="D561" s="222"/>
      <c r="E561" s="222"/>
      <c r="F561" s="222"/>
      <c r="G561" s="222"/>
      <c r="H561" s="222"/>
      <c r="I561" s="22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customFormat="false" ht="15.75" hidden="false" customHeight="true" outlineLevel="0" collapsed="false">
      <c r="A562" s="2"/>
      <c r="B562" s="2"/>
      <c r="C562" s="2"/>
      <c r="D562" s="222"/>
      <c r="E562" s="222"/>
      <c r="F562" s="222"/>
      <c r="G562" s="222"/>
      <c r="H562" s="222"/>
      <c r="I562" s="22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customFormat="false" ht="15.75" hidden="false" customHeight="true" outlineLevel="0" collapsed="false">
      <c r="A563" s="2"/>
      <c r="B563" s="2"/>
      <c r="C563" s="2"/>
      <c r="D563" s="222"/>
      <c r="E563" s="222"/>
      <c r="F563" s="222"/>
      <c r="G563" s="222"/>
      <c r="H563" s="222"/>
      <c r="I563" s="22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customFormat="false" ht="15.75" hidden="false" customHeight="true" outlineLevel="0" collapsed="false">
      <c r="A564" s="2"/>
      <c r="B564" s="2"/>
      <c r="C564" s="2"/>
      <c r="D564" s="222"/>
      <c r="E564" s="222"/>
      <c r="F564" s="222"/>
      <c r="G564" s="222"/>
      <c r="H564" s="222"/>
      <c r="I564" s="22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customFormat="false" ht="15.75" hidden="false" customHeight="true" outlineLevel="0" collapsed="false">
      <c r="A565" s="2"/>
      <c r="B565" s="2"/>
      <c r="C565" s="2"/>
      <c r="D565" s="222"/>
      <c r="E565" s="222"/>
      <c r="F565" s="222"/>
      <c r="G565" s="222"/>
      <c r="H565" s="222"/>
      <c r="I565" s="22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customFormat="false" ht="15.75" hidden="false" customHeight="true" outlineLevel="0" collapsed="false">
      <c r="A566" s="2"/>
      <c r="B566" s="2"/>
      <c r="C566" s="2"/>
      <c r="D566" s="222"/>
      <c r="E566" s="222"/>
      <c r="F566" s="222"/>
      <c r="G566" s="222"/>
      <c r="H566" s="222"/>
      <c r="I566" s="22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customFormat="false" ht="15.75" hidden="false" customHeight="true" outlineLevel="0" collapsed="false">
      <c r="A567" s="2"/>
      <c r="B567" s="2"/>
      <c r="C567" s="2"/>
      <c r="D567" s="222"/>
      <c r="E567" s="222"/>
      <c r="F567" s="222"/>
      <c r="G567" s="222"/>
      <c r="H567" s="222"/>
      <c r="I567" s="22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customFormat="false" ht="15.75" hidden="false" customHeight="true" outlineLevel="0" collapsed="false">
      <c r="A568" s="2"/>
      <c r="B568" s="2"/>
      <c r="C568" s="2"/>
      <c r="D568" s="222"/>
      <c r="E568" s="222"/>
      <c r="F568" s="222"/>
      <c r="G568" s="222"/>
      <c r="H568" s="222"/>
      <c r="I568" s="22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customFormat="false" ht="15.75" hidden="false" customHeight="true" outlineLevel="0" collapsed="false">
      <c r="A569" s="2"/>
      <c r="B569" s="2"/>
      <c r="C569" s="2"/>
      <c r="D569" s="222"/>
      <c r="E569" s="222"/>
      <c r="F569" s="222"/>
      <c r="G569" s="222"/>
      <c r="H569" s="222"/>
      <c r="I569" s="22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customFormat="false" ht="15.75" hidden="false" customHeight="true" outlineLevel="0" collapsed="false">
      <c r="A570" s="2"/>
      <c r="B570" s="2"/>
      <c r="C570" s="2"/>
      <c r="D570" s="222"/>
      <c r="E570" s="222"/>
      <c r="F570" s="222"/>
      <c r="G570" s="222"/>
      <c r="H570" s="222"/>
      <c r="I570" s="22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customFormat="false" ht="15.75" hidden="false" customHeight="true" outlineLevel="0" collapsed="false">
      <c r="A571" s="2"/>
      <c r="B571" s="2"/>
      <c r="C571" s="2"/>
      <c r="D571" s="222"/>
      <c r="E571" s="222"/>
      <c r="F571" s="222"/>
      <c r="G571" s="222"/>
      <c r="H571" s="222"/>
      <c r="I571" s="22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customFormat="false" ht="15.75" hidden="false" customHeight="true" outlineLevel="0" collapsed="false">
      <c r="A572" s="2"/>
      <c r="B572" s="2"/>
      <c r="C572" s="2"/>
      <c r="D572" s="222"/>
      <c r="E572" s="222"/>
      <c r="F572" s="222"/>
      <c r="G572" s="222"/>
      <c r="H572" s="222"/>
      <c r="I572" s="22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customFormat="false" ht="15.75" hidden="false" customHeight="true" outlineLevel="0" collapsed="false">
      <c r="A573" s="2"/>
      <c r="B573" s="2"/>
      <c r="C573" s="2"/>
      <c r="D573" s="222"/>
      <c r="E573" s="222"/>
      <c r="F573" s="222"/>
      <c r="G573" s="222"/>
      <c r="H573" s="222"/>
      <c r="I573" s="22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customFormat="false" ht="15.75" hidden="false" customHeight="true" outlineLevel="0" collapsed="false">
      <c r="A574" s="2"/>
      <c r="B574" s="2"/>
      <c r="C574" s="2"/>
      <c r="D574" s="222"/>
      <c r="E574" s="222"/>
      <c r="F574" s="222"/>
      <c r="G574" s="222"/>
      <c r="H574" s="222"/>
      <c r="I574" s="22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customFormat="false" ht="15.75" hidden="false" customHeight="true" outlineLevel="0" collapsed="false">
      <c r="A575" s="2"/>
      <c r="B575" s="2"/>
      <c r="C575" s="2"/>
      <c r="D575" s="222"/>
      <c r="E575" s="222"/>
      <c r="F575" s="222"/>
      <c r="G575" s="222"/>
      <c r="H575" s="222"/>
      <c r="I575" s="22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customFormat="false" ht="15.75" hidden="false" customHeight="true" outlineLevel="0" collapsed="false">
      <c r="A576" s="2"/>
      <c r="B576" s="2"/>
      <c r="C576" s="2"/>
      <c r="D576" s="222"/>
      <c r="E576" s="222"/>
      <c r="F576" s="222"/>
      <c r="G576" s="222"/>
      <c r="H576" s="222"/>
      <c r="I576" s="22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customFormat="false" ht="15.75" hidden="false" customHeight="true" outlineLevel="0" collapsed="false">
      <c r="A577" s="2"/>
      <c r="B577" s="2"/>
      <c r="C577" s="2"/>
      <c r="D577" s="222"/>
      <c r="E577" s="222"/>
      <c r="F577" s="222"/>
      <c r="G577" s="222"/>
      <c r="H577" s="222"/>
      <c r="I577" s="22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customFormat="false" ht="15.75" hidden="false" customHeight="true" outlineLevel="0" collapsed="false">
      <c r="A578" s="2"/>
      <c r="B578" s="2"/>
      <c r="C578" s="2"/>
      <c r="D578" s="222"/>
      <c r="E578" s="222"/>
      <c r="F578" s="222"/>
      <c r="G578" s="222"/>
      <c r="H578" s="222"/>
      <c r="I578" s="22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customFormat="false" ht="15.75" hidden="false" customHeight="true" outlineLevel="0" collapsed="false">
      <c r="A579" s="2"/>
      <c r="B579" s="2"/>
      <c r="C579" s="2"/>
      <c r="D579" s="222"/>
      <c r="E579" s="222"/>
      <c r="F579" s="222"/>
      <c r="G579" s="222"/>
      <c r="H579" s="222"/>
      <c r="I579" s="22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customFormat="false" ht="15.75" hidden="false" customHeight="true" outlineLevel="0" collapsed="false">
      <c r="A580" s="2"/>
      <c r="B580" s="2"/>
      <c r="C580" s="2"/>
      <c r="D580" s="222"/>
      <c r="E580" s="222"/>
      <c r="F580" s="222"/>
      <c r="G580" s="222"/>
      <c r="H580" s="222"/>
      <c r="I580" s="22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customFormat="false" ht="15.75" hidden="false" customHeight="true" outlineLevel="0" collapsed="false">
      <c r="A581" s="2"/>
      <c r="B581" s="2"/>
      <c r="C581" s="2"/>
      <c r="D581" s="222"/>
      <c r="E581" s="222"/>
      <c r="F581" s="222"/>
      <c r="G581" s="222"/>
      <c r="H581" s="222"/>
      <c r="I581" s="22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customFormat="false" ht="15.75" hidden="false" customHeight="true" outlineLevel="0" collapsed="false">
      <c r="A582" s="2"/>
      <c r="B582" s="2"/>
      <c r="C582" s="2"/>
      <c r="D582" s="222"/>
      <c r="E582" s="222"/>
      <c r="F582" s="222"/>
      <c r="G582" s="222"/>
      <c r="H582" s="222"/>
      <c r="I582" s="22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customFormat="false" ht="15.75" hidden="false" customHeight="true" outlineLevel="0" collapsed="false">
      <c r="A583" s="2"/>
      <c r="B583" s="2"/>
      <c r="C583" s="2"/>
      <c r="D583" s="222"/>
      <c r="E583" s="222"/>
      <c r="F583" s="222"/>
      <c r="G583" s="222"/>
      <c r="H583" s="222"/>
      <c r="I583" s="22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customFormat="false" ht="15.75" hidden="false" customHeight="true" outlineLevel="0" collapsed="false">
      <c r="A584" s="2"/>
      <c r="B584" s="2"/>
      <c r="C584" s="2"/>
      <c r="D584" s="222"/>
      <c r="E584" s="222"/>
      <c r="F584" s="222"/>
      <c r="G584" s="222"/>
      <c r="H584" s="222"/>
      <c r="I584" s="22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customFormat="false" ht="15.75" hidden="false" customHeight="true" outlineLevel="0" collapsed="false">
      <c r="A585" s="2"/>
      <c r="B585" s="2"/>
      <c r="C585" s="2"/>
      <c r="D585" s="222"/>
      <c r="E585" s="222"/>
      <c r="F585" s="222"/>
      <c r="G585" s="222"/>
      <c r="H585" s="222"/>
      <c r="I585" s="22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customFormat="false" ht="15.75" hidden="false" customHeight="true" outlineLevel="0" collapsed="false">
      <c r="A586" s="2"/>
      <c r="B586" s="2"/>
      <c r="C586" s="2"/>
      <c r="D586" s="222"/>
      <c r="E586" s="222"/>
      <c r="F586" s="222"/>
      <c r="G586" s="222"/>
      <c r="H586" s="222"/>
      <c r="I586" s="22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customFormat="false" ht="15.75" hidden="false" customHeight="true" outlineLevel="0" collapsed="false">
      <c r="A587" s="2"/>
      <c r="B587" s="2"/>
      <c r="C587" s="2"/>
      <c r="D587" s="222"/>
      <c r="E587" s="222"/>
      <c r="F587" s="222"/>
      <c r="G587" s="222"/>
      <c r="H587" s="222"/>
      <c r="I587" s="22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customFormat="false" ht="15.75" hidden="false" customHeight="true" outlineLevel="0" collapsed="false">
      <c r="A588" s="2"/>
      <c r="B588" s="2"/>
      <c r="C588" s="2"/>
      <c r="D588" s="222"/>
      <c r="E588" s="222"/>
      <c r="F588" s="222"/>
      <c r="G588" s="222"/>
      <c r="H588" s="222"/>
      <c r="I588" s="22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customFormat="false" ht="15.75" hidden="false" customHeight="true" outlineLevel="0" collapsed="false">
      <c r="A589" s="2"/>
      <c r="B589" s="2"/>
      <c r="C589" s="2"/>
      <c r="D589" s="222"/>
      <c r="E589" s="222"/>
      <c r="F589" s="222"/>
      <c r="G589" s="222"/>
      <c r="H589" s="222"/>
      <c r="I589" s="22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customFormat="false" ht="15.75" hidden="false" customHeight="true" outlineLevel="0" collapsed="false">
      <c r="A590" s="2"/>
      <c r="B590" s="2"/>
      <c r="C590" s="2"/>
      <c r="D590" s="222"/>
      <c r="E590" s="222"/>
      <c r="F590" s="222"/>
      <c r="G590" s="222"/>
      <c r="H590" s="222"/>
      <c r="I590" s="22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customFormat="false" ht="15.75" hidden="false" customHeight="true" outlineLevel="0" collapsed="false">
      <c r="A591" s="2"/>
      <c r="B591" s="2"/>
      <c r="C591" s="2"/>
      <c r="D591" s="222"/>
      <c r="E591" s="222"/>
      <c r="F591" s="222"/>
      <c r="G591" s="222"/>
      <c r="H591" s="222"/>
      <c r="I591" s="22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customFormat="false" ht="15.75" hidden="false" customHeight="true" outlineLevel="0" collapsed="false">
      <c r="A592" s="2"/>
      <c r="B592" s="2"/>
      <c r="C592" s="2"/>
      <c r="D592" s="222"/>
      <c r="E592" s="222"/>
      <c r="F592" s="222"/>
      <c r="G592" s="222"/>
      <c r="H592" s="222"/>
      <c r="I592" s="22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customFormat="false" ht="15.75" hidden="false" customHeight="true" outlineLevel="0" collapsed="false">
      <c r="A593" s="2"/>
      <c r="B593" s="2"/>
      <c r="C593" s="2"/>
      <c r="D593" s="222"/>
      <c r="E593" s="222"/>
      <c r="F593" s="222"/>
      <c r="G593" s="222"/>
      <c r="H593" s="222"/>
      <c r="I593" s="22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customFormat="false" ht="15.75" hidden="false" customHeight="true" outlineLevel="0" collapsed="false">
      <c r="A594" s="2"/>
      <c r="B594" s="2"/>
      <c r="C594" s="2"/>
      <c r="D594" s="222"/>
      <c r="E594" s="222"/>
      <c r="F594" s="222"/>
      <c r="G594" s="222"/>
      <c r="H594" s="222"/>
      <c r="I594" s="22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customFormat="false" ht="15.75" hidden="false" customHeight="true" outlineLevel="0" collapsed="false">
      <c r="A595" s="2"/>
      <c r="B595" s="2"/>
      <c r="C595" s="2"/>
      <c r="D595" s="222"/>
      <c r="E595" s="222"/>
      <c r="F595" s="222"/>
      <c r="G595" s="222"/>
      <c r="H595" s="222"/>
      <c r="I595" s="22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customFormat="false" ht="15.75" hidden="false" customHeight="true" outlineLevel="0" collapsed="false">
      <c r="A596" s="2"/>
      <c r="B596" s="2"/>
      <c r="C596" s="2"/>
      <c r="D596" s="222"/>
      <c r="E596" s="222"/>
      <c r="F596" s="222"/>
      <c r="G596" s="222"/>
      <c r="H596" s="222"/>
      <c r="I596" s="22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customFormat="false" ht="15.75" hidden="false" customHeight="true" outlineLevel="0" collapsed="false">
      <c r="A597" s="2"/>
      <c r="B597" s="2"/>
      <c r="C597" s="2"/>
      <c r="D597" s="222"/>
      <c r="E597" s="222"/>
      <c r="F597" s="222"/>
      <c r="G597" s="222"/>
      <c r="H597" s="222"/>
      <c r="I597" s="22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customFormat="false" ht="15.75" hidden="false" customHeight="true" outlineLevel="0" collapsed="false">
      <c r="A598" s="2"/>
      <c r="B598" s="2"/>
      <c r="C598" s="2"/>
      <c r="D598" s="222"/>
      <c r="E598" s="222"/>
      <c r="F598" s="222"/>
      <c r="G598" s="222"/>
      <c r="H598" s="222"/>
      <c r="I598" s="22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customFormat="false" ht="15.75" hidden="false" customHeight="true" outlineLevel="0" collapsed="false">
      <c r="A599" s="2"/>
      <c r="B599" s="2"/>
      <c r="C599" s="2"/>
      <c r="D599" s="222"/>
      <c r="E599" s="222"/>
      <c r="F599" s="222"/>
      <c r="G599" s="222"/>
      <c r="H599" s="222"/>
      <c r="I599" s="22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customFormat="false" ht="15.75" hidden="false" customHeight="true" outlineLevel="0" collapsed="false">
      <c r="A600" s="2"/>
      <c r="B600" s="2"/>
      <c r="C600" s="2"/>
      <c r="D600" s="222"/>
      <c r="E600" s="222"/>
      <c r="F600" s="222"/>
      <c r="G600" s="222"/>
      <c r="H600" s="222"/>
      <c r="I600" s="22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customFormat="false" ht="15.75" hidden="false" customHeight="true" outlineLevel="0" collapsed="false">
      <c r="A601" s="2"/>
      <c r="B601" s="2"/>
      <c r="C601" s="2"/>
      <c r="D601" s="222"/>
      <c r="E601" s="222"/>
      <c r="F601" s="222"/>
      <c r="G601" s="222"/>
      <c r="H601" s="222"/>
      <c r="I601" s="22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customFormat="false" ht="15.75" hidden="false" customHeight="true" outlineLevel="0" collapsed="false">
      <c r="A602" s="2"/>
      <c r="B602" s="2"/>
      <c r="C602" s="2"/>
      <c r="D602" s="222"/>
      <c r="E602" s="222"/>
      <c r="F602" s="222"/>
      <c r="G602" s="222"/>
      <c r="H602" s="222"/>
      <c r="I602" s="22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customFormat="false" ht="15.75" hidden="false" customHeight="true" outlineLevel="0" collapsed="false">
      <c r="A603" s="2"/>
      <c r="B603" s="2"/>
      <c r="C603" s="2"/>
      <c r="D603" s="222"/>
      <c r="E603" s="222"/>
      <c r="F603" s="222"/>
      <c r="G603" s="222"/>
      <c r="H603" s="222"/>
      <c r="I603" s="22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customFormat="false" ht="15.75" hidden="false" customHeight="true" outlineLevel="0" collapsed="false">
      <c r="A604" s="2"/>
      <c r="B604" s="2"/>
      <c r="C604" s="2"/>
      <c r="D604" s="222"/>
      <c r="E604" s="222"/>
      <c r="F604" s="222"/>
      <c r="G604" s="222"/>
      <c r="H604" s="222"/>
      <c r="I604" s="22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customFormat="false" ht="15.75" hidden="false" customHeight="true" outlineLevel="0" collapsed="false">
      <c r="A605" s="2"/>
      <c r="B605" s="2"/>
      <c r="C605" s="2"/>
      <c r="D605" s="222"/>
      <c r="E605" s="222"/>
      <c r="F605" s="222"/>
      <c r="G605" s="222"/>
      <c r="H605" s="222"/>
      <c r="I605" s="22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customFormat="false" ht="15.75" hidden="false" customHeight="true" outlineLevel="0" collapsed="false">
      <c r="A606" s="2"/>
      <c r="B606" s="2"/>
      <c r="C606" s="2"/>
      <c r="D606" s="222"/>
      <c r="E606" s="222"/>
      <c r="F606" s="222"/>
      <c r="G606" s="222"/>
      <c r="H606" s="222"/>
      <c r="I606" s="22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customFormat="false" ht="15.75" hidden="false" customHeight="true" outlineLevel="0" collapsed="false">
      <c r="A607" s="2"/>
      <c r="B607" s="2"/>
      <c r="C607" s="2"/>
      <c r="D607" s="222"/>
      <c r="E607" s="222"/>
      <c r="F607" s="222"/>
      <c r="G607" s="222"/>
      <c r="H607" s="222"/>
      <c r="I607" s="22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customFormat="false" ht="15.75" hidden="false" customHeight="true" outlineLevel="0" collapsed="false">
      <c r="A608" s="2"/>
      <c r="B608" s="2"/>
      <c r="C608" s="2"/>
      <c r="D608" s="222"/>
      <c r="E608" s="222"/>
      <c r="F608" s="222"/>
      <c r="G608" s="222"/>
      <c r="H608" s="222"/>
      <c r="I608" s="22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customFormat="false" ht="15.75" hidden="false" customHeight="true" outlineLevel="0" collapsed="false">
      <c r="A609" s="2"/>
      <c r="B609" s="2"/>
      <c r="C609" s="2"/>
      <c r="D609" s="222"/>
      <c r="E609" s="222"/>
      <c r="F609" s="222"/>
      <c r="G609" s="222"/>
      <c r="H609" s="222"/>
      <c r="I609" s="22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customFormat="false" ht="15.75" hidden="false" customHeight="true" outlineLevel="0" collapsed="false">
      <c r="A610" s="2"/>
      <c r="B610" s="2"/>
      <c r="C610" s="2"/>
      <c r="D610" s="222"/>
      <c r="E610" s="222"/>
      <c r="F610" s="222"/>
      <c r="G610" s="222"/>
      <c r="H610" s="222"/>
      <c r="I610" s="22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customFormat="false" ht="15.75" hidden="false" customHeight="true" outlineLevel="0" collapsed="false">
      <c r="A611" s="2"/>
      <c r="B611" s="2"/>
      <c r="C611" s="2"/>
      <c r="D611" s="222"/>
      <c r="E611" s="222"/>
      <c r="F611" s="222"/>
      <c r="G611" s="222"/>
      <c r="H611" s="222"/>
      <c r="I611" s="22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customFormat="false" ht="15.75" hidden="false" customHeight="true" outlineLevel="0" collapsed="false">
      <c r="A612" s="2"/>
      <c r="B612" s="2"/>
      <c r="C612" s="2"/>
      <c r="D612" s="222"/>
      <c r="E612" s="222"/>
      <c r="F612" s="222"/>
      <c r="G612" s="222"/>
      <c r="H612" s="222"/>
      <c r="I612" s="22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customFormat="false" ht="15.75" hidden="false" customHeight="true" outlineLevel="0" collapsed="false">
      <c r="A613" s="2"/>
      <c r="B613" s="2"/>
      <c r="C613" s="2"/>
      <c r="D613" s="222"/>
      <c r="E613" s="222"/>
      <c r="F613" s="222"/>
      <c r="G613" s="222"/>
      <c r="H613" s="222"/>
      <c r="I613" s="22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customFormat="false" ht="15.75" hidden="false" customHeight="true" outlineLevel="0" collapsed="false">
      <c r="A614" s="2"/>
      <c r="B614" s="2"/>
      <c r="C614" s="2"/>
      <c r="D614" s="222"/>
      <c r="E614" s="222"/>
      <c r="F614" s="222"/>
      <c r="G614" s="222"/>
      <c r="H614" s="222"/>
      <c r="I614" s="22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customFormat="false" ht="15.75" hidden="false" customHeight="true" outlineLevel="0" collapsed="false">
      <c r="A615" s="2"/>
      <c r="B615" s="2"/>
      <c r="C615" s="2"/>
      <c r="D615" s="222"/>
      <c r="E615" s="222"/>
      <c r="F615" s="222"/>
      <c r="G615" s="222"/>
      <c r="H615" s="222"/>
      <c r="I615" s="22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customFormat="false" ht="15.75" hidden="false" customHeight="true" outlineLevel="0" collapsed="false">
      <c r="A616" s="2"/>
      <c r="B616" s="2"/>
      <c r="C616" s="2"/>
      <c r="D616" s="222"/>
      <c r="E616" s="222"/>
      <c r="F616" s="222"/>
      <c r="G616" s="222"/>
      <c r="H616" s="222"/>
      <c r="I616" s="22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customFormat="false" ht="15.75" hidden="false" customHeight="true" outlineLevel="0" collapsed="false">
      <c r="A617" s="2"/>
      <c r="B617" s="2"/>
      <c r="C617" s="2"/>
      <c r="D617" s="222"/>
      <c r="E617" s="222"/>
      <c r="F617" s="222"/>
      <c r="G617" s="222"/>
      <c r="H617" s="222"/>
      <c r="I617" s="22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customFormat="false" ht="15.75" hidden="false" customHeight="true" outlineLevel="0" collapsed="false">
      <c r="A618" s="2"/>
      <c r="B618" s="2"/>
      <c r="C618" s="2"/>
      <c r="D618" s="222"/>
      <c r="E618" s="222"/>
      <c r="F618" s="222"/>
      <c r="G618" s="222"/>
      <c r="H618" s="222"/>
      <c r="I618" s="22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customFormat="false" ht="15.75" hidden="false" customHeight="true" outlineLevel="0" collapsed="false">
      <c r="A619" s="2"/>
      <c r="B619" s="2"/>
      <c r="C619" s="2"/>
      <c r="D619" s="222"/>
      <c r="E619" s="222"/>
      <c r="F619" s="222"/>
      <c r="G619" s="222"/>
      <c r="H619" s="222"/>
      <c r="I619" s="22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customFormat="false" ht="15.75" hidden="false" customHeight="true" outlineLevel="0" collapsed="false">
      <c r="A620" s="2"/>
      <c r="B620" s="2"/>
      <c r="C620" s="2"/>
      <c r="D620" s="222"/>
      <c r="E620" s="222"/>
      <c r="F620" s="222"/>
      <c r="G620" s="222"/>
      <c r="H620" s="222"/>
      <c r="I620" s="22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customFormat="false" ht="15.75" hidden="false" customHeight="true" outlineLevel="0" collapsed="false">
      <c r="A621" s="2"/>
      <c r="B621" s="2"/>
      <c r="C621" s="2"/>
      <c r="D621" s="222"/>
      <c r="E621" s="222"/>
      <c r="F621" s="222"/>
      <c r="G621" s="222"/>
      <c r="H621" s="222"/>
      <c r="I621" s="22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customFormat="false" ht="15.75" hidden="false" customHeight="true" outlineLevel="0" collapsed="false">
      <c r="A622" s="2"/>
      <c r="B622" s="2"/>
      <c r="C622" s="2"/>
      <c r="D622" s="222"/>
      <c r="E622" s="222"/>
      <c r="F622" s="222"/>
      <c r="G622" s="222"/>
      <c r="H622" s="222"/>
      <c r="I622" s="22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customFormat="false" ht="15.75" hidden="false" customHeight="true" outlineLevel="0" collapsed="false">
      <c r="A623" s="2"/>
      <c r="B623" s="2"/>
      <c r="C623" s="2"/>
      <c r="D623" s="222"/>
      <c r="E623" s="222"/>
      <c r="F623" s="222"/>
      <c r="G623" s="222"/>
      <c r="H623" s="222"/>
      <c r="I623" s="22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customFormat="false" ht="15.75" hidden="false" customHeight="true" outlineLevel="0" collapsed="false">
      <c r="A624" s="2"/>
      <c r="B624" s="2"/>
      <c r="C624" s="2"/>
      <c r="D624" s="222"/>
      <c r="E624" s="222"/>
      <c r="F624" s="222"/>
      <c r="G624" s="222"/>
      <c r="H624" s="222"/>
      <c r="I624" s="22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customFormat="false" ht="15.75" hidden="false" customHeight="true" outlineLevel="0" collapsed="false">
      <c r="A625" s="2"/>
      <c r="B625" s="2"/>
      <c r="C625" s="2"/>
      <c r="D625" s="222"/>
      <c r="E625" s="222"/>
      <c r="F625" s="222"/>
      <c r="G625" s="222"/>
      <c r="H625" s="222"/>
      <c r="I625" s="22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customFormat="false" ht="15.75" hidden="false" customHeight="true" outlineLevel="0" collapsed="false">
      <c r="A626" s="2"/>
      <c r="B626" s="2"/>
      <c r="C626" s="2"/>
      <c r="D626" s="222"/>
      <c r="E626" s="222"/>
      <c r="F626" s="222"/>
      <c r="G626" s="222"/>
      <c r="H626" s="222"/>
      <c r="I626" s="22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customFormat="false" ht="15.75" hidden="false" customHeight="true" outlineLevel="0" collapsed="false">
      <c r="A627" s="2"/>
      <c r="B627" s="2"/>
      <c r="C627" s="2"/>
      <c r="D627" s="222"/>
      <c r="E627" s="222"/>
      <c r="F627" s="222"/>
      <c r="G627" s="222"/>
      <c r="H627" s="222"/>
      <c r="I627" s="22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customFormat="false" ht="15.75" hidden="false" customHeight="true" outlineLevel="0" collapsed="false">
      <c r="A628" s="2"/>
      <c r="B628" s="2"/>
      <c r="C628" s="2"/>
      <c r="D628" s="222"/>
      <c r="E628" s="222"/>
      <c r="F628" s="222"/>
      <c r="G628" s="222"/>
      <c r="H628" s="222"/>
      <c r="I628" s="22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customFormat="false" ht="15.75" hidden="false" customHeight="true" outlineLevel="0" collapsed="false">
      <c r="A629" s="2"/>
      <c r="B629" s="2"/>
      <c r="C629" s="2"/>
      <c r="D629" s="222"/>
      <c r="E629" s="222"/>
      <c r="F629" s="222"/>
      <c r="G629" s="222"/>
      <c r="H629" s="222"/>
      <c r="I629" s="22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customFormat="false" ht="15.75" hidden="false" customHeight="true" outlineLevel="0" collapsed="false">
      <c r="A630" s="2"/>
      <c r="B630" s="2"/>
      <c r="C630" s="2"/>
      <c r="D630" s="222"/>
      <c r="E630" s="222"/>
      <c r="F630" s="222"/>
      <c r="G630" s="222"/>
      <c r="H630" s="222"/>
      <c r="I630" s="22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customFormat="false" ht="15.75" hidden="false" customHeight="true" outlineLevel="0" collapsed="false">
      <c r="A631" s="2"/>
      <c r="B631" s="2"/>
      <c r="C631" s="2"/>
      <c r="D631" s="222"/>
      <c r="E631" s="222"/>
      <c r="F631" s="222"/>
      <c r="G631" s="222"/>
      <c r="H631" s="222"/>
      <c r="I631" s="22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customFormat="false" ht="15.75" hidden="false" customHeight="true" outlineLevel="0" collapsed="false">
      <c r="A632" s="2"/>
      <c r="B632" s="2"/>
      <c r="C632" s="2"/>
      <c r="D632" s="222"/>
      <c r="E632" s="222"/>
      <c r="F632" s="222"/>
      <c r="G632" s="222"/>
      <c r="H632" s="222"/>
      <c r="I632" s="22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customFormat="false" ht="15.75" hidden="false" customHeight="true" outlineLevel="0" collapsed="false">
      <c r="A633" s="2"/>
      <c r="B633" s="2"/>
      <c r="C633" s="2"/>
      <c r="D633" s="222"/>
      <c r="E633" s="222"/>
      <c r="F633" s="222"/>
      <c r="G633" s="222"/>
      <c r="H633" s="222"/>
      <c r="I633" s="22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customFormat="false" ht="15.75" hidden="false" customHeight="true" outlineLevel="0" collapsed="false">
      <c r="A634" s="2"/>
      <c r="B634" s="2"/>
      <c r="C634" s="2"/>
      <c r="D634" s="222"/>
      <c r="E634" s="222"/>
      <c r="F634" s="222"/>
      <c r="G634" s="222"/>
      <c r="H634" s="222"/>
      <c r="I634" s="22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customFormat="false" ht="15.75" hidden="false" customHeight="true" outlineLevel="0" collapsed="false">
      <c r="A635" s="2"/>
      <c r="B635" s="2"/>
      <c r="C635" s="2"/>
      <c r="D635" s="222"/>
      <c r="E635" s="222"/>
      <c r="F635" s="222"/>
      <c r="G635" s="222"/>
      <c r="H635" s="222"/>
      <c r="I635" s="22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customFormat="false" ht="15.75" hidden="false" customHeight="true" outlineLevel="0" collapsed="false">
      <c r="A636" s="2"/>
      <c r="B636" s="2"/>
      <c r="C636" s="2"/>
      <c r="D636" s="222"/>
      <c r="E636" s="222"/>
      <c r="F636" s="222"/>
      <c r="G636" s="222"/>
      <c r="H636" s="222"/>
      <c r="I636" s="22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customFormat="false" ht="15.75" hidden="false" customHeight="true" outlineLevel="0" collapsed="false">
      <c r="A637" s="2"/>
      <c r="B637" s="2"/>
      <c r="C637" s="2"/>
      <c r="D637" s="222"/>
      <c r="E637" s="222"/>
      <c r="F637" s="222"/>
      <c r="G637" s="222"/>
      <c r="H637" s="222"/>
      <c r="I637" s="22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customFormat="false" ht="15.75" hidden="false" customHeight="true" outlineLevel="0" collapsed="false">
      <c r="A638" s="2"/>
      <c r="B638" s="2"/>
      <c r="C638" s="2"/>
      <c r="D638" s="222"/>
      <c r="E638" s="222"/>
      <c r="F638" s="222"/>
      <c r="G638" s="222"/>
      <c r="H638" s="222"/>
      <c r="I638" s="22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customFormat="false" ht="15.75" hidden="false" customHeight="true" outlineLevel="0" collapsed="false">
      <c r="A639" s="2"/>
      <c r="B639" s="2"/>
      <c r="C639" s="2"/>
      <c r="D639" s="222"/>
      <c r="E639" s="222"/>
      <c r="F639" s="222"/>
      <c r="G639" s="222"/>
      <c r="H639" s="222"/>
      <c r="I639" s="22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customFormat="false" ht="15.75" hidden="false" customHeight="true" outlineLevel="0" collapsed="false">
      <c r="A640" s="2"/>
      <c r="B640" s="2"/>
      <c r="C640" s="2"/>
      <c r="D640" s="222"/>
      <c r="E640" s="222"/>
      <c r="F640" s="222"/>
      <c r="G640" s="222"/>
      <c r="H640" s="222"/>
      <c r="I640" s="22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customFormat="false" ht="15.75" hidden="false" customHeight="true" outlineLevel="0" collapsed="false">
      <c r="A641" s="2"/>
      <c r="B641" s="2"/>
      <c r="C641" s="2"/>
      <c r="D641" s="222"/>
      <c r="E641" s="222"/>
      <c r="F641" s="222"/>
      <c r="G641" s="222"/>
      <c r="H641" s="222"/>
      <c r="I641" s="22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customFormat="false" ht="15.75" hidden="false" customHeight="true" outlineLevel="0" collapsed="false">
      <c r="A642" s="2"/>
      <c r="B642" s="2"/>
      <c r="C642" s="2"/>
      <c r="D642" s="222"/>
      <c r="E642" s="222"/>
      <c r="F642" s="222"/>
      <c r="G642" s="222"/>
      <c r="H642" s="222"/>
      <c r="I642" s="22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customFormat="false" ht="15.75" hidden="false" customHeight="true" outlineLevel="0" collapsed="false">
      <c r="A643" s="2"/>
      <c r="B643" s="2"/>
      <c r="C643" s="2"/>
      <c r="D643" s="222"/>
      <c r="E643" s="222"/>
      <c r="F643" s="222"/>
      <c r="G643" s="222"/>
      <c r="H643" s="222"/>
      <c r="I643" s="22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customFormat="false" ht="15.75" hidden="false" customHeight="true" outlineLevel="0" collapsed="false">
      <c r="A644" s="2"/>
      <c r="B644" s="2"/>
      <c r="C644" s="2"/>
      <c r="D644" s="222"/>
      <c r="E644" s="222"/>
      <c r="F644" s="222"/>
      <c r="G644" s="222"/>
      <c r="H644" s="222"/>
      <c r="I644" s="22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customFormat="false" ht="15.75" hidden="false" customHeight="true" outlineLevel="0" collapsed="false">
      <c r="A645" s="2"/>
      <c r="B645" s="2"/>
      <c r="C645" s="2"/>
      <c r="D645" s="222"/>
      <c r="E645" s="222"/>
      <c r="F645" s="222"/>
      <c r="G645" s="222"/>
      <c r="H645" s="222"/>
      <c r="I645" s="22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customFormat="false" ht="15.75" hidden="false" customHeight="true" outlineLevel="0" collapsed="false">
      <c r="A646" s="2"/>
      <c r="B646" s="2"/>
      <c r="C646" s="2"/>
      <c r="D646" s="222"/>
      <c r="E646" s="222"/>
      <c r="F646" s="222"/>
      <c r="G646" s="222"/>
      <c r="H646" s="222"/>
      <c r="I646" s="22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customFormat="false" ht="15.75" hidden="false" customHeight="true" outlineLevel="0" collapsed="false">
      <c r="A647" s="2"/>
      <c r="B647" s="2"/>
      <c r="C647" s="2"/>
      <c r="D647" s="222"/>
      <c r="E647" s="222"/>
      <c r="F647" s="222"/>
      <c r="G647" s="222"/>
      <c r="H647" s="222"/>
      <c r="I647" s="22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customFormat="false" ht="15.75" hidden="false" customHeight="true" outlineLevel="0" collapsed="false">
      <c r="A648" s="2"/>
      <c r="B648" s="2"/>
      <c r="C648" s="2"/>
      <c r="D648" s="222"/>
      <c r="E648" s="222"/>
      <c r="F648" s="222"/>
      <c r="G648" s="222"/>
      <c r="H648" s="222"/>
      <c r="I648" s="22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customFormat="false" ht="15.75" hidden="false" customHeight="true" outlineLevel="0" collapsed="false">
      <c r="A649" s="2"/>
      <c r="B649" s="2"/>
      <c r="C649" s="2"/>
      <c r="D649" s="222"/>
      <c r="E649" s="222"/>
      <c r="F649" s="222"/>
      <c r="G649" s="222"/>
      <c r="H649" s="222"/>
      <c r="I649" s="22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customFormat="false" ht="15.75" hidden="false" customHeight="true" outlineLevel="0" collapsed="false">
      <c r="A650" s="2"/>
      <c r="B650" s="2"/>
      <c r="C650" s="2"/>
      <c r="D650" s="222"/>
      <c r="E650" s="222"/>
      <c r="F650" s="222"/>
      <c r="G650" s="222"/>
      <c r="H650" s="222"/>
      <c r="I650" s="22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customFormat="false" ht="15.75" hidden="false" customHeight="true" outlineLevel="0" collapsed="false">
      <c r="A651" s="2"/>
      <c r="B651" s="2"/>
      <c r="C651" s="2"/>
      <c r="D651" s="222"/>
      <c r="E651" s="222"/>
      <c r="F651" s="222"/>
      <c r="G651" s="222"/>
      <c r="H651" s="222"/>
      <c r="I651" s="22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customFormat="false" ht="15.75" hidden="false" customHeight="true" outlineLevel="0" collapsed="false">
      <c r="A652" s="2"/>
      <c r="B652" s="2"/>
      <c r="C652" s="2"/>
      <c r="D652" s="222"/>
      <c r="E652" s="222"/>
      <c r="F652" s="222"/>
      <c r="G652" s="222"/>
      <c r="H652" s="222"/>
      <c r="I652" s="22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customFormat="false" ht="15.75" hidden="false" customHeight="true" outlineLevel="0" collapsed="false">
      <c r="A653" s="2"/>
      <c r="B653" s="2"/>
      <c r="C653" s="2"/>
      <c r="D653" s="222"/>
      <c r="E653" s="222"/>
      <c r="F653" s="222"/>
      <c r="G653" s="222"/>
      <c r="H653" s="222"/>
      <c r="I653" s="22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customFormat="false" ht="15.75" hidden="false" customHeight="true" outlineLevel="0" collapsed="false">
      <c r="A654" s="2"/>
      <c r="B654" s="2"/>
      <c r="C654" s="2"/>
      <c r="D654" s="222"/>
      <c r="E654" s="222"/>
      <c r="F654" s="222"/>
      <c r="G654" s="222"/>
      <c r="H654" s="222"/>
      <c r="I654" s="22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customFormat="false" ht="15.75" hidden="false" customHeight="true" outlineLevel="0" collapsed="false">
      <c r="A655" s="2"/>
      <c r="B655" s="2"/>
      <c r="C655" s="2"/>
      <c r="D655" s="222"/>
      <c r="E655" s="222"/>
      <c r="F655" s="222"/>
      <c r="G655" s="222"/>
      <c r="H655" s="222"/>
      <c r="I655" s="22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customFormat="false" ht="15.75" hidden="false" customHeight="true" outlineLevel="0" collapsed="false">
      <c r="A656" s="2"/>
      <c r="B656" s="2"/>
      <c r="C656" s="2"/>
      <c r="D656" s="222"/>
      <c r="E656" s="222"/>
      <c r="F656" s="222"/>
      <c r="G656" s="222"/>
      <c r="H656" s="222"/>
      <c r="I656" s="22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customFormat="false" ht="15.75" hidden="false" customHeight="true" outlineLevel="0" collapsed="false">
      <c r="A657" s="2"/>
      <c r="B657" s="2"/>
      <c r="C657" s="2"/>
      <c r="D657" s="222"/>
      <c r="E657" s="222"/>
      <c r="F657" s="222"/>
      <c r="G657" s="222"/>
      <c r="H657" s="222"/>
      <c r="I657" s="22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customFormat="false" ht="15.75" hidden="false" customHeight="true" outlineLevel="0" collapsed="false">
      <c r="A658" s="2"/>
      <c r="B658" s="2"/>
      <c r="C658" s="2"/>
      <c r="D658" s="222"/>
      <c r="E658" s="222"/>
      <c r="F658" s="222"/>
      <c r="G658" s="222"/>
      <c r="H658" s="222"/>
      <c r="I658" s="22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customFormat="false" ht="15.75" hidden="false" customHeight="true" outlineLevel="0" collapsed="false">
      <c r="A659" s="2"/>
      <c r="B659" s="2"/>
      <c r="C659" s="2"/>
      <c r="D659" s="222"/>
      <c r="E659" s="222"/>
      <c r="F659" s="222"/>
      <c r="G659" s="222"/>
      <c r="H659" s="222"/>
      <c r="I659" s="22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customFormat="false" ht="15.75" hidden="false" customHeight="true" outlineLevel="0" collapsed="false">
      <c r="A660" s="2"/>
      <c r="B660" s="2"/>
      <c r="C660" s="2"/>
      <c r="D660" s="222"/>
      <c r="E660" s="222"/>
      <c r="F660" s="222"/>
      <c r="G660" s="222"/>
      <c r="H660" s="222"/>
      <c r="I660" s="22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customFormat="false" ht="15.75" hidden="false" customHeight="true" outlineLevel="0" collapsed="false">
      <c r="A661" s="2"/>
      <c r="B661" s="2"/>
      <c r="C661" s="2"/>
      <c r="D661" s="222"/>
      <c r="E661" s="222"/>
      <c r="F661" s="222"/>
      <c r="G661" s="222"/>
      <c r="H661" s="222"/>
      <c r="I661" s="22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customFormat="false" ht="15.75" hidden="false" customHeight="true" outlineLevel="0" collapsed="false">
      <c r="A662" s="2"/>
      <c r="B662" s="2"/>
      <c r="C662" s="2"/>
      <c r="D662" s="222"/>
      <c r="E662" s="222"/>
      <c r="F662" s="222"/>
      <c r="G662" s="222"/>
      <c r="H662" s="222"/>
      <c r="I662" s="22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customFormat="false" ht="15.75" hidden="false" customHeight="true" outlineLevel="0" collapsed="false">
      <c r="A663" s="2"/>
      <c r="B663" s="2"/>
      <c r="C663" s="2"/>
      <c r="D663" s="222"/>
      <c r="E663" s="222"/>
      <c r="F663" s="222"/>
      <c r="G663" s="222"/>
      <c r="H663" s="222"/>
      <c r="I663" s="22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customFormat="false" ht="15.75" hidden="false" customHeight="true" outlineLevel="0" collapsed="false">
      <c r="A664" s="2"/>
      <c r="B664" s="2"/>
      <c r="C664" s="2"/>
      <c r="D664" s="222"/>
      <c r="E664" s="222"/>
      <c r="F664" s="222"/>
      <c r="G664" s="222"/>
      <c r="H664" s="222"/>
      <c r="I664" s="22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customFormat="false" ht="15.75" hidden="false" customHeight="true" outlineLevel="0" collapsed="false">
      <c r="A665" s="2"/>
      <c r="B665" s="2"/>
      <c r="C665" s="2"/>
      <c r="D665" s="222"/>
      <c r="E665" s="222"/>
      <c r="F665" s="222"/>
      <c r="G665" s="222"/>
      <c r="H665" s="222"/>
      <c r="I665" s="22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customFormat="false" ht="15.75" hidden="false" customHeight="true" outlineLevel="0" collapsed="false">
      <c r="A666" s="2"/>
      <c r="B666" s="2"/>
      <c r="C666" s="2"/>
      <c r="D666" s="222"/>
      <c r="E666" s="222"/>
      <c r="F666" s="222"/>
      <c r="G666" s="222"/>
      <c r="H666" s="222"/>
      <c r="I666" s="22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customFormat="false" ht="15.75" hidden="false" customHeight="true" outlineLevel="0" collapsed="false">
      <c r="A667" s="2"/>
      <c r="B667" s="2"/>
      <c r="C667" s="2"/>
      <c r="D667" s="222"/>
      <c r="E667" s="222"/>
      <c r="F667" s="222"/>
      <c r="G667" s="222"/>
      <c r="H667" s="222"/>
      <c r="I667" s="22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customFormat="false" ht="15.75" hidden="false" customHeight="true" outlineLevel="0" collapsed="false">
      <c r="A668" s="2"/>
      <c r="B668" s="2"/>
      <c r="C668" s="2"/>
      <c r="D668" s="222"/>
      <c r="E668" s="222"/>
      <c r="F668" s="222"/>
      <c r="G668" s="222"/>
      <c r="H668" s="222"/>
      <c r="I668" s="22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customFormat="false" ht="15.75" hidden="false" customHeight="true" outlineLevel="0" collapsed="false">
      <c r="A669" s="2"/>
      <c r="B669" s="2"/>
      <c r="C669" s="2"/>
      <c r="D669" s="222"/>
      <c r="E669" s="222"/>
      <c r="F669" s="222"/>
      <c r="G669" s="222"/>
      <c r="H669" s="222"/>
      <c r="I669" s="22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customFormat="false" ht="15.75" hidden="false" customHeight="true" outlineLevel="0" collapsed="false">
      <c r="A670" s="2"/>
      <c r="B670" s="2"/>
      <c r="C670" s="2"/>
      <c r="D670" s="222"/>
      <c r="E670" s="222"/>
      <c r="F670" s="222"/>
      <c r="G670" s="222"/>
      <c r="H670" s="222"/>
      <c r="I670" s="22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customFormat="false" ht="15.75" hidden="false" customHeight="true" outlineLevel="0" collapsed="false">
      <c r="A671" s="2"/>
      <c r="B671" s="2"/>
      <c r="C671" s="2"/>
      <c r="D671" s="222"/>
      <c r="E671" s="222"/>
      <c r="F671" s="222"/>
      <c r="G671" s="222"/>
      <c r="H671" s="222"/>
      <c r="I671" s="22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customFormat="false" ht="15.75" hidden="false" customHeight="true" outlineLevel="0" collapsed="false">
      <c r="A672" s="2"/>
      <c r="B672" s="2"/>
      <c r="C672" s="2"/>
      <c r="D672" s="222"/>
      <c r="E672" s="222"/>
      <c r="F672" s="222"/>
      <c r="G672" s="222"/>
      <c r="H672" s="222"/>
      <c r="I672" s="22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customFormat="false" ht="15.75" hidden="false" customHeight="true" outlineLevel="0" collapsed="false">
      <c r="A673" s="2"/>
      <c r="B673" s="2"/>
      <c r="C673" s="2"/>
      <c r="D673" s="222"/>
      <c r="E673" s="222"/>
      <c r="F673" s="222"/>
      <c r="G673" s="222"/>
      <c r="H673" s="222"/>
      <c r="I673" s="22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customFormat="false" ht="15.75" hidden="false" customHeight="true" outlineLevel="0" collapsed="false">
      <c r="A674" s="2"/>
      <c r="B674" s="2"/>
      <c r="C674" s="2"/>
      <c r="D674" s="222"/>
      <c r="E674" s="222"/>
      <c r="F674" s="222"/>
      <c r="G674" s="222"/>
      <c r="H674" s="222"/>
      <c r="I674" s="22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customFormat="false" ht="15.75" hidden="false" customHeight="true" outlineLevel="0" collapsed="false">
      <c r="A675" s="2"/>
      <c r="B675" s="2"/>
      <c r="C675" s="2"/>
      <c r="D675" s="222"/>
      <c r="E675" s="222"/>
      <c r="F675" s="222"/>
      <c r="G675" s="222"/>
      <c r="H675" s="222"/>
      <c r="I675" s="22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customFormat="false" ht="15.75" hidden="false" customHeight="true" outlineLevel="0" collapsed="false">
      <c r="A676" s="2"/>
      <c r="B676" s="2"/>
      <c r="C676" s="2"/>
      <c r="D676" s="222"/>
      <c r="E676" s="222"/>
      <c r="F676" s="222"/>
      <c r="G676" s="222"/>
      <c r="H676" s="222"/>
      <c r="I676" s="22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customFormat="false" ht="15.75" hidden="false" customHeight="true" outlineLevel="0" collapsed="false">
      <c r="A677" s="2"/>
      <c r="B677" s="2"/>
      <c r="C677" s="2"/>
      <c r="D677" s="222"/>
      <c r="E677" s="222"/>
      <c r="F677" s="222"/>
      <c r="G677" s="222"/>
      <c r="H677" s="222"/>
      <c r="I677" s="22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customFormat="false" ht="15.75" hidden="false" customHeight="true" outlineLevel="0" collapsed="false">
      <c r="A678" s="2"/>
      <c r="B678" s="2"/>
      <c r="C678" s="2"/>
      <c r="D678" s="222"/>
      <c r="E678" s="222"/>
      <c r="F678" s="222"/>
      <c r="G678" s="222"/>
      <c r="H678" s="222"/>
      <c r="I678" s="22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customFormat="false" ht="15.75" hidden="false" customHeight="true" outlineLevel="0" collapsed="false">
      <c r="A679" s="2"/>
      <c r="B679" s="2"/>
      <c r="C679" s="2"/>
      <c r="D679" s="222"/>
      <c r="E679" s="222"/>
      <c r="F679" s="222"/>
      <c r="G679" s="222"/>
      <c r="H679" s="222"/>
      <c r="I679" s="22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customFormat="false" ht="15.75" hidden="false" customHeight="true" outlineLevel="0" collapsed="false">
      <c r="A680" s="2"/>
      <c r="B680" s="2"/>
      <c r="C680" s="2"/>
      <c r="D680" s="222"/>
      <c r="E680" s="222"/>
      <c r="F680" s="222"/>
      <c r="G680" s="222"/>
      <c r="H680" s="222"/>
      <c r="I680" s="22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customFormat="false" ht="15.75" hidden="false" customHeight="true" outlineLevel="0" collapsed="false">
      <c r="A681" s="2"/>
      <c r="B681" s="2"/>
      <c r="C681" s="2"/>
      <c r="D681" s="222"/>
      <c r="E681" s="222"/>
      <c r="F681" s="222"/>
      <c r="G681" s="222"/>
      <c r="H681" s="222"/>
      <c r="I681" s="22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customFormat="false" ht="15.75" hidden="false" customHeight="true" outlineLevel="0" collapsed="false">
      <c r="A682" s="2"/>
      <c r="B682" s="2"/>
      <c r="C682" s="2"/>
      <c r="D682" s="222"/>
      <c r="E682" s="222"/>
      <c r="F682" s="222"/>
      <c r="G682" s="222"/>
      <c r="H682" s="222"/>
      <c r="I682" s="22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customFormat="false" ht="15.75" hidden="false" customHeight="true" outlineLevel="0" collapsed="false">
      <c r="A683" s="2"/>
      <c r="B683" s="2"/>
      <c r="C683" s="2"/>
      <c r="D683" s="222"/>
      <c r="E683" s="222"/>
      <c r="F683" s="222"/>
      <c r="G683" s="222"/>
      <c r="H683" s="222"/>
      <c r="I683" s="22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customFormat="false" ht="15.75" hidden="false" customHeight="true" outlineLevel="0" collapsed="false">
      <c r="A684" s="2"/>
      <c r="B684" s="2"/>
      <c r="C684" s="2"/>
      <c r="D684" s="222"/>
      <c r="E684" s="222"/>
      <c r="F684" s="222"/>
      <c r="G684" s="222"/>
      <c r="H684" s="222"/>
      <c r="I684" s="22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customFormat="false" ht="15.75" hidden="false" customHeight="true" outlineLevel="0" collapsed="false">
      <c r="A685" s="2"/>
      <c r="B685" s="2"/>
      <c r="C685" s="2"/>
      <c r="D685" s="222"/>
      <c r="E685" s="222"/>
      <c r="F685" s="222"/>
      <c r="G685" s="222"/>
      <c r="H685" s="222"/>
      <c r="I685" s="22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customFormat="false" ht="15.75" hidden="false" customHeight="true" outlineLevel="0" collapsed="false">
      <c r="A686" s="2"/>
      <c r="B686" s="2"/>
      <c r="C686" s="2"/>
      <c r="D686" s="222"/>
      <c r="E686" s="222"/>
      <c r="F686" s="222"/>
      <c r="G686" s="222"/>
      <c r="H686" s="222"/>
      <c r="I686" s="22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customFormat="false" ht="15.75" hidden="false" customHeight="true" outlineLevel="0" collapsed="false">
      <c r="A687" s="2"/>
      <c r="B687" s="2"/>
      <c r="C687" s="2"/>
      <c r="D687" s="222"/>
      <c r="E687" s="222"/>
      <c r="F687" s="222"/>
      <c r="G687" s="222"/>
      <c r="H687" s="222"/>
      <c r="I687" s="22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customFormat="false" ht="15.75" hidden="false" customHeight="true" outlineLevel="0" collapsed="false">
      <c r="A688" s="2"/>
      <c r="B688" s="2"/>
      <c r="C688" s="2"/>
      <c r="D688" s="222"/>
      <c r="E688" s="222"/>
      <c r="F688" s="222"/>
      <c r="G688" s="222"/>
      <c r="H688" s="222"/>
      <c r="I688" s="22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customFormat="false" ht="15.75" hidden="false" customHeight="true" outlineLevel="0" collapsed="false">
      <c r="A689" s="2"/>
      <c r="B689" s="2"/>
      <c r="C689" s="2"/>
      <c r="D689" s="222"/>
      <c r="E689" s="222"/>
      <c r="F689" s="222"/>
      <c r="G689" s="222"/>
      <c r="H689" s="222"/>
      <c r="I689" s="22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customFormat="false" ht="15.75" hidden="false" customHeight="true" outlineLevel="0" collapsed="false">
      <c r="A690" s="2"/>
      <c r="B690" s="2"/>
      <c r="C690" s="2"/>
      <c r="D690" s="222"/>
      <c r="E690" s="222"/>
      <c r="F690" s="222"/>
      <c r="G690" s="222"/>
      <c r="H690" s="222"/>
      <c r="I690" s="22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customFormat="false" ht="15.75" hidden="false" customHeight="true" outlineLevel="0" collapsed="false">
      <c r="A691" s="2"/>
      <c r="B691" s="2"/>
      <c r="C691" s="2"/>
      <c r="D691" s="222"/>
      <c r="E691" s="222"/>
      <c r="F691" s="222"/>
      <c r="G691" s="222"/>
      <c r="H691" s="222"/>
      <c r="I691" s="22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customFormat="false" ht="15.75" hidden="false" customHeight="true" outlineLevel="0" collapsed="false">
      <c r="A692" s="2"/>
      <c r="B692" s="2"/>
      <c r="C692" s="2"/>
      <c r="D692" s="222"/>
      <c r="E692" s="222"/>
      <c r="F692" s="222"/>
      <c r="G692" s="222"/>
      <c r="H692" s="222"/>
      <c r="I692" s="22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customFormat="false" ht="15.75" hidden="false" customHeight="true" outlineLevel="0" collapsed="false">
      <c r="A693" s="2"/>
      <c r="B693" s="2"/>
      <c r="C693" s="2"/>
      <c r="D693" s="222"/>
      <c r="E693" s="222"/>
      <c r="F693" s="222"/>
      <c r="G693" s="222"/>
      <c r="H693" s="222"/>
      <c r="I693" s="22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customFormat="false" ht="15.75" hidden="false" customHeight="true" outlineLevel="0" collapsed="false">
      <c r="A694" s="2"/>
      <c r="B694" s="2"/>
      <c r="C694" s="2"/>
      <c r="D694" s="222"/>
      <c r="E694" s="222"/>
      <c r="F694" s="222"/>
      <c r="G694" s="222"/>
      <c r="H694" s="222"/>
      <c r="I694" s="22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customFormat="false" ht="15.75" hidden="false" customHeight="true" outlineLevel="0" collapsed="false">
      <c r="A695" s="2"/>
      <c r="B695" s="2"/>
      <c r="C695" s="2"/>
      <c r="D695" s="222"/>
      <c r="E695" s="222"/>
      <c r="F695" s="222"/>
      <c r="G695" s="222"/>
      <c r="H695" s="222"/>
      <c r="I695" s="22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customFormat="false" ht="15.75" hidden="false" customHeight="true" outlineLevel="0" collapsed="false">
      <c r="A696" s="2"/>
      <c r="B696" s="2"/>
      <c r="C696" s="2"/>
      <c r="D696" s="222"/>
      <c r="E696" s="222"/>
      <c r="F696" s="222"/>
      <c r="G696" s="222"/>
      <c r="H696" s="222"/>
      <c r="I696" s="22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customFormat="false" ht="15.75" hidden="false" customHeight="true" outlineLevel="0" collapsed="false">
      <c r="A697" s="2"/>
      <c r="B697" s="2"/>
      <c r="C697" s="2"/>
      <c r="D697" s="222"/>
      <c r="E697" s="222"/>
      <c r="F697" s="222"/>
      <c r="G697" s="222"/>
      <c r="H697" s="222"/>
      <c r="I697" s="22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customFormat="false" ht="15.75" hidden="false" customHeight="true" outlineLevel="0" collapsed="false">
      <c r="A698" s="2"/>
      <c r="B698" s="2"/>
      <c r="C698" s="2"/>
      <c r="D698" s="222"/>
      <c r="E698" s="222"/>
      <c r="F698" s="222"/>
      <c r="G698" s="222"/>
      <c r="H698" s="222"/>
      <c r="I698" s="22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customFormat="false" ht="15.75" hidden="false" customHeight="true" outlineLevel="0" collapsed="false">
      <c r="A699" s="2"/>
      <c r="B699" s="2"/>
      <c r="C699" s="2"/>
      <c r="D699" s="222"/>
      <c r="E699" s="222"/>
      <c r="F699" s="222"/>
      <c r="G699" s="222"/>
      <c r="H699" s="222"/>
      <c r="I699" s="22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customFormat="false" ht="15.75" hidden="false" customHeight="true" outlineLevel="0" collapsed="false">
      <c r="A700" s="2"/>
      <c r="B700" s="2"/>
      <c r="C700" s="2"/>
      <c r="D700" s="222"/>
      <c r="E700" s="222"/>
      <c r="F700" s="222"/>
      <c r="G700" s="222"/>
      <c r="H700" s="222"/>
      <c r="I700" s="22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customFormat="false" ht="15.75" hidden="false" customHeight="true" outlineLevel="0" collapsed="false">
      <c r="A701" s="2"/>
      <c r="B701" s="2"/>
      <c r="C701" s="2"/>
      <c r="D701" s="222"/>
      <c r="E701" s="222"/>
      <c r="F701" s="222"/>
      <c r="G701" s="222"/>
      <c r="H701" s="222"/>
      <c r="I701" s="22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customFormat="false" ht="15.75" hidden="false" customHeight="true" outlineLevel="0" collapsed="false">
      <c r="A702" s="2"/>
      <c r="B702" s="2"/>
      <c r="C702" s="2"/>
      <c r="D702" s="222"/>
      <c r="E702" s="222"/>
      <c r="F702" s="222"/>
      <c r="G702" s="222"/>
      <c r="H702" s="222"/>
      <c r="I702" s="22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customFormat="false" ht="15.75" hidden="false" customHeight="true" outlineLevel="0" collapsed="false">
      <c r="A703" s="2"/>
      <c r="B703" s="2"/>
      <c r="C703" s="2"/>
      <c r="D703" s="222"/>
      <c r="E703" s="222"/>
      <c r="F703" s="222"/>
      <c r="G703" s="222"/>
      <c r="H703" s="222"/>
      <c r="I703" s="22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customFormat="false" ht="15.75" hidden="false" customHeight="true" outlineLevel="0" collapsed="false">
      <c r="A704" s="2"/>
      <c r="B704" s="2"/>
      <c r="C704" s="2"/>
      <c r="D704" s="222"/>
      <c r="E704" s="222"/>
      <c r="F704" s="222"/>
      <c r="G704" s="222"/>
      <c r="H704" s="222"/>
      <c r="I704" s="22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customFormat="false" ht="15.75" hidden="false" customHeight="true" outlineLevel="0" collapsed="false">
      <c r="A705" s="2"/>
      <c r="B705" s="2"/>
      <c r="C705" s="2"/>
      <c r="D705" s="222"/>
      <c r="E705" s="222"/>
      <c r="F705" s="222"/>
      <c r="G705" s="222"/>
      <c r="H705" s="222"/>
      <c r="I705" s="22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customFormat="false" ht="15.75" hidden="false" customHeight="true" outlineLevel="0" collapsed="false">
      <c r="A706" s="2"/>
      <c r="B706" s="2"/>
      <c r="C706" s="2"/>
      <c r="D706" s="222"/>
      <c r="E706" s="222"/>
      <c r="F706" s="222"/>
      <c r="G706" s="222"/>
      <c r="H706" s="222"/>
      <c r="I706" s="22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customFormat="false" ht="15.75" hidden="false" customHeight="true" outlineLevel="0" collapsed="false">
      <c r="A707" s="2"/>
      <c r="B707" s="2"/>
      <c r="C707" s="2"/>
      <c r="D707" s="222"/>
      <c r="E707" s="222"/>
      <c r="F707" s="222"/>
      <c r="G707" s="222"/>
      <c r="H707" s="222"/>
      <c r="I707" s="22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customFormat="false" ht="15.75" hidden="false" customHeight="true" outlineLevel="0" collapsed="false">
      <c r="A708" s="2"/>
      <c r="B708" s="2"/>
      <c r="C708" s="2"/>
      <c r="D708" s="222"/>
      <c r="E708" s="222"/>
      <c r="F708" s="222"/>
      <c r="G708" s="222"/>
      <c r="H708" s="222"/>
      <c r="I708" s="22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customFormat="false" ht="15.75" hidden="false" customHeight="true" outlineLevel="0" collapsed="false">
      <c r="A709" s="2"/>
      <c r="B709" s="2"/>
      <c r="C709" s="2"/>
      <c r="D709" s="222"/>
      <c r="E709" s="222"/>
      <c r="F709" s="222"/>
      <c r="G709" s="222"/>
      <c r="H709" s="222"/>
      <c r="I709" s="22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customFormat="false" ht="15.75" hidden="false" customHeight="true" outlineLevel="0" collapsed="false">
      <c r="A710" s="2"/>
      <c r="B710" s="2"/>
      <c r="C710" s="2"/>
      <c r="D710" s="222"/>
      <c r="E710" s="222"/>
      <c r="F710" s="222"/>
      <c r="G710" s="222"/>
      <c r="H710" s="222"/>
      <c r="I710" s="22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customFormat="false" ht="15.75" hidden="false" customHeight="true" outlineLevel="0" collapsed="false">
      <c r="A711" s="2"/>
      <c r="B711" s="2"/>
      <c r="C711" s="2"/>
      <c r="D711" s="222"/>
      <c r="E711" s="222"/>
      <c r="F711" s="222"/>
      <c r="G711" s="222"/>
      <c r="H711" s="222"/>
      <c r="I711" s="22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customFormat="false" ht="15.75" hidden="false" customHeight="true" outlineLevel="0" collapsed="false">
      <c r="A712" s="2"/>
      <c r="B712" s="2"/>
      <c r="C712" s="2"/>
      <c r="D712" s="222"/>
      <c r="E712" s="222"/>
      <c r="F712" s="222"/>
      <c r="G712" s="222"/>
      <c r="H712" s="222"/>
      <c r="I712" s="22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customFormat="false" ht="15.75" hidden="false" customHeight="true" outlineLevel="0" collapsed="false">
      <c r="A713" s="2"/>
      <c r="B713" s="2"/>
      <c r="C713" s="2"/>
      <c r="D713" s="222"/>
      <c r="E713" s="222"/>
      <c r="F713" s="222"/>
      <c r="G713" s="222"/>
      <c r="H713" s="222"/>
      <c r="I713" s="22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customFormat="false" ht="15.75" hidden="false" customHeight="true" outlineLevel="0" collapsed="false">
      <c r="A714" s="2"/>
      <c r="B714" s="2"/>
      <c r="C714" s="2"/>
      <c r="D714" s="222"/>
      <c r="E714" s="222"/>
      <c r="F714" s="222"/>
      <c r="G714" s="222"/>
      <c r="H714" s="222"/>
      <c r="I714" s="22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customFormat="false" ht="15.75" hidden="false" customHeight="true" outlineLevel="0" collapsed="false">
      <c r="A715" s="2"/>
      <c r="B715" s="2"/>
      <c r="C715" s="2"/>
      <c r="D715" s="222"/>
      <c r="E715" s="222"/>
      <c r="F715" s="222"/>
      <c r="G715" s="222"/>
      <c r="H715" s="222"/>
      <c r="I715" s="22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customFormat="false" ht="15.75" hidden="false" customHeight="true" outlineLevel="0" collapsed="false">
      <c r="A716" s="2"/>
      <c r="B716" s="2"/>
      <c r="C716" s="2"/>
      <c r="D716" s="222"/>
      <c r="E716" s="222"/>
      <c r="F716" s="222"/>
      <c r="G716" s="222"/>
      <c r="H716" s="222"/>
      <c r="I716" s="22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customFormat="false" ht="15.75" hidden="false" customHeight="true" outlineLevel="0" collapsed="false">
      <c r="A717" s="2"/>
      <c r="B717" s="2"/>
      <c r="C717" s="2"/>
      <c r="D717" s="222"/>
      <c r="E717" s="222"/>
      <c r="F717" s="222"/>
      <c r="G717" s="222"/>
      <c r="H717" s="222"/>
      <c r="I717" s="22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customFormat="false" ht="15.75" hidden="false" customHeight="true" outlineLevel="0" collapsed="false">
      <c r="A718" s="2"/>
      <c r="B718" s="2"/>
      <c r="C718" s="2"/>
      <c r="D718" s="222"/>
      <c r="E718" s="222"/>
      <c r="F718" s="222"/>
      <c r="G718" s="222"/>
      <c r="H718" s="222"/>
      <c r="I718" s="22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customFormat="false" ht="15.75" hidden="false" customHeight="true" outlineLevel="0" collapsed="false">
      <c r="A719" s="2"/>
      <c r="B719" s="2"/>
      <c r="C719" s="2"/>
      <c r="D719" s="222"/>
      <c r="E719" s="222"/>
      <c r="F719" s="222"/>
      <c r="G719" s="222"/>
      <c r="H719" s="222"/>
      <c r="I719" s="22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customFormat="false" ht="15.75" hidden="false" customHeight="true" outlineLevel="0" collapsed="false">
      <c r="A720" s="2"/>
      <c r="B720" s="2"/>
      <c r="C720" s="2"/>
      <c r="D720" s="222"/>
      <c r="E720" s="222"/>
      <c r="F720" s="222"/>
      <c r="G720" s="222"/>
      <c r="H720" s="222"/>
      <c r="I720" s="22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customFormat="false" ht="15.75" hidden="false" customHeight="true" outlineLevel="0" collapsed="false">
      <c r="A721" s="2"/>
      <c r="B721" s="2"/>
      <c r="C721" s="2"/>
      <c r="D721" s="222"/>
      <c r="E721" s="222"/>
      <c r="F721" s="222"/>
      <c r="G721" s="222"/>
      <c r="H721" s="222"/>
      <c r="I721" s="22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customFormat="false" ht="15.75" hidden="false" customHeight="true" outlineLevel="0" collapsed="false">
      <c r="A722" s="2"/>
      <c r="B722" s="2"/>
      <c r="C722" s="2"/>
      <c r="D722" s="222"/>
      <c r="E722" s="222"/>
      <c r="F722" s="222"/>
      <c r="G722" s="222"/>
      <c r="H722" s="222"/>
      <c r="I722" s="22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customFormat="false" ht="15.75" hidden="false" customHeight="true" outlineLevel="0" collapsed="false">
      <c r="A723" s="2"/>
      <c r="B723" s="2"/>
      <c r="C723" s="2"/>
      <c r="D723" s="222"/>
      <c r="E723" s="222"/>
      <c r="F723" s="222"/>
      <c r="G723" s="222"/>
      <c r="H723" s="222"/>
      <c r="I723" s="22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customFormat="false" ht="15.75" hidden="false" customHeight="true" outlineLevel="0" collapsed="false">
      <c r="A724" s="2"/>
      <c r="B724" s="2"/>
      <c r="C724" s="2"/>
      <c r="D724" s="222"/>
      <c r="E724" s="222"/>
      <c r="F724" s="222"/>
      <c r="G724" s="222"/>
      <c r="H724" s="222"/>
      <c r="I724" s="22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customFormat="false" ht="15.75" hidden="false" customHeight="true" outlineLevel="0" collapsed="false">
      <c r="A725" s="2"/>
      <c r="B725" s="2"/>
      <c r="C725" s="2"/>
      <c r="D725" s="222"/>
      <c r="E725" s="222"/>
      <c r="F725" s="222"/>
      <c r="G725" s="222"/>
      <c r="H725" s="222"/>
      <c r="I725" s="22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customFormat="false" ht="15.75" hidden="false" customHeight="true" outlineLevel="0" collapsed="false">
      <c r="A726" s="2"/>
      <c r="B726" s="2"/>
      <c r="C726" s="2"/>
      <c r="D726" s="222"/>
      <c r="E726" s="222"/>
      <c r="F726" s="222"/>
      <c r="G726" s="222"/>
      <c r="H726" s="222"/>
      <c r="I726" s="22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customFormat="false" ht="15.75" hidden="false" customHeight="true" outlineLevel="0" collapsed="false">
      <c r="A727" s="2"/>
      <c r="B727" s="2"/>
      <c r="C727" s="2"/>
      <c r="D727" s="222"/>
      <c r="E727" s="222"/>
      <c r="F727" s="222"/>
      <c r="G727" s="222"/>
      <c r="H727" s="222"/>
      <c r="I727" s="22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customFormat="false" ht="15.75" hidden="false" customHeight="true" outlineLevel="0" collapsed="false">
      <c r="A728" s="2"/>
      <c r="B728" s="2"/>
      <c r="C728" s="2"/>
      <c r="D728" s="222"/>
      <c r="E728" s="222"/>
      <c r="F728" s="222"/>
      <c r="G728" s="222"/>
      <c r="H728" s="222"/>
      <c r="I728" s="22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customFormat="false" ht="15.75" hidden="false" customHeight="true" outlineLevel="0" collapsed="false">
      <c r="A729" s="2"/>
      <c r="B729" s="2"/>
      <c r="C729" s="2"/>
      <c r="D729" s="222"/>
      <c r="E729" s="222"/>
      <c r="F729" s="222"/>
      <c r="G729" s="222"/>
      <c r="H729" s="222"/>
      <c r="I729" s="22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customFormat="false" ht="15.75" hidden="false" customHeight="true" outlineLevel="0" collapsed="false">
      <c r="A730" s="2"/>
      <c r="B730" s="2"/>
      <c r="C730" s="2"/>
      <c r="D730" s="222"/>
      <c r="E730" s="222"/>
      <c r="F730" s="222"/>
      <c r="G730" s="222"/>
      <c r="H730" s="222"/>
      <c r="I730" s="22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customFormat="false" ht="15.75" hidden="false" customHeight="true" outlineLevel="0" collapsed="false">
      <c r="A731" s="2"/>
      <c r="B731" s="2"/>
      <c r="C731" s="2"/>
      <c r="D731" s="222"/>
      <c r="E731" s="222"/>
      <c r="F731" s="222"/>
      <c r="G731" s="222"/>
      <c r="H731" s="222"/>
      <c r="I731" s="22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customFormat="false" ht="15.75" hidden="false" customHeight="true" outlineLevel="0" collapsed="false">
      <c r="A732" s="2"/>
      <c r="B732" s="2"/>
      <c r="C732" s="2"/>
      <c r="D732" s="222"/>
      <c r="E732" s="222"/>
      <c r="F732" s="222"/>
      <c r="G732" s="222"/>
      <c r="H732" s="222"/>
      <c r="I732" s="22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customFormat="false" ht="15.75" hidden="false" customHeight="true" outlineLevel="0" collapsed="false">
      <c r="A733" s="2"/>
      <c r="B733" s="2"/>
      <c r="C733" s="2"/>
      <c r="D733" s="222"/>
      <c r="E733" s="222"/>
      <c r="F733" s="222"/>
      <c r="G733" s="222"/>
      <c r="H733" s="222"/>
      <c r="I733" s="22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customFormat="false" ht="15.75" hidden="false" customHeight="true" outlineLevel="0" collapsed="false">
      <c r="A734" s="2"/>
      <c r="B734" s="2"/>
      <c r="C734" s="2"/>
      <c r="D734" s="222"/>
      <c r="E734" s="222"/>
      <c r="F734" s="222"/>
      <c r="G734" s="222"/>
      <c r="H734" s="222"/>
      <c r="I734" s="22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customFormat="false" ht="15.75" hidden="false" customHeight="true" outlineLevel="0" collapsed="false">
      <c r="A735" s="2"/>
      <c r="B735" s="2"/>
      <c r="C735" s="2"/>
      <c r="D735" s="222"/>
      <c r="E735" s="222"/>
      <c r="F735" s="222"/>
      <c r="G735" s="222"/>
      <c r="H735" s="222"/>
      <c r="I735" s="22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customFormat="false" ht="15.75" hidden="false" customHeight="true" outlineLevel="0" collapsed="false">
      <c r="A736" s="2"/>
      <c r="B736" s="2"/>
      <c r="C736" s="2"/>
      <c r="D736" s="222"/>
      <c r="E736" s="222"/>
      <c r="F736" s="222"/>
      <c r="G736" s="222"/>
      <c r="H736" s="222"/>
      <c r="I736" s="22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customFormat="false" ht="15.75" hidden="false" customHeight="true" outlineLevel="0" collapsed="false">
      <c r="A737" s="2"/>
      <c r="B737" s="2"/>
      <c r="C737" s="2"/>
      <c r="D737" s="222"/>
      <c r="E737" s="222"/>
      <c r="F737" s="222"/>
      <c r="G737" s="222"/>
      <c r="H737" s="222"/>
      <c r="I737" s="22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customFormat="false" ht="15.75" hidden="false" customHeight="true" outlineLevel="0" collapsed="false">
      <c r="A738" s="2"/>
      <c r="B738" s="2"/>
      <c r="C738" s="2"/>
      <c r="D738" s="222"/>
      <c r="E738" s="222"/>
      <c r="F738" s="222"/>
      <c r="G738" s="222"/>
      <c r="H738" s="222"/>
      <c r="I738" s="22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customFormat="false" ht="15.75" hidden="false" customHeight="true" outlineLevel="0" collapsed="false">
      <c r="A739" s="2"/>
      <c r="B739" s="2"/>
      <c r="C739" s="2"/>
      <c r="D739" s="222"/>
      <c r="E739" s="222"/>
      <c r="F739" s="222"/>
      <c r="G739" s="222"/>
      <c r="H739" s="222"/>
      <c r="I739" s="22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customFormat="false" ht="15.75" hidden="false" customHeight="true" outlineLevel="0" collapsed="false">
      <c r="A740" s="2"/>
      <c r="B740" s="2"/>
      <c r="C740" s="2"/>
      <c r="D740" s="222"/>
      <c r="E740" s="222"/>
      <c r="F740" s="222"/>
      <c r="G740" s="222"/>
      <c r="H740" s="222"/>
      <c r="I740" s="22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customFormat="false" ht="15.75" hidden="false" customHeight="true" outlineLevel="0" collapsed="false">
      <c r="A741" s="2"/>
      <c r="B741" s="2"/>
      <c r="C741" s="2"/>
      <c r="D741" s="222"/>
      <c r="E741" s="222"/>
      <c r="F741" s="222"/>
      <c r="G741" s="222"/>
      <c r="H741" s="222"/>
      <c r="I741" s="22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customFormat="false" ht="15.75" hidden="false" customHeight="true" outlineLevel="0" collapsed="false">
      <c r="A742" s="2"/>
      <c r="B742" s="2"/>
      <c r="C742" s="2"/>
      <c r="D742" s="222"/>
      <c r="E742" s="222"/>
      <c r="F742" s="222"/>
      <c r="G742" s="222"/>
      <c r="H742" s="222"/>
      <c r="I742" s="22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customFormat="false" ht="15.75" hidden="false" customHeight="true" outlineLevel="0" collapsed="false">
      <c r="A743" s="2"/>
      <c r="B743" s="2"/>
      <c r="C743" s="2"/>
      <c r="D743" s="222"/>
      <c r="E743" s="222"/>
      <c r="F743" s="222"/>
      <c r="G743" s="222"/>
      <c r="H743" s="222"/>
      <c r="I743" s="22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customFormat="false" ht="15.75" hidden="false" customHeight="true" outlineLevel="0" collapsed="false">
      <c r="A744" s="2"/>
      <c r="B744" s="2"/>
      <c r="C744" s="2"/>
      <c r="D744" s="222"/>
      <c r="E744" s="222"/>
      <c r="F744" s="222"/>
      <c r="G744" s="222"/>
      <c r="H744" s="222"/>
      <c r="I744" s="22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customFormat="false" ht="15.75" hidden="false" customHeight="true" outlineLevel="0" collapsed="false">
      <c r="A745" s="2"/>
      <c r="B745" s="2"/>
      <c r="C745" s="2"/>
      <c r="D745" s="222"/>
      <c r="E745" s="222"/>
      <c r="F745" s="222"/>
      <c r="G745" s="222"/>
      <c r="H745" s="222"/>
      <c r="I745" s="22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customFormat="false" ht="15.75" hidden="false" customHeight="true" outlineLevel="0" collapsed="false">
      <c r="A746" s="2"/>
      <c r="B746" s="2"/>
      <c r="C746" s="2"/>
      <c r="D746" s="222"/>
      <c r="E746" s="222"/>
      <c r="F746" s="222"/>
      <c r="G746" s="222"/>
      <c r="H746" s="222"/>
      <c r="I746" s="22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customFormat="false" ht="15.75" hidden="false" customHeight="true" outlineLevel="0" collapsed="false">
      <c r="A747" s="2"/>
      <c r="B747" s="2"/>
      <c r="C747" s="2"/>
      <c r="D747" s="222"/>
      <c r="E747" s="222"/>
      <c r="F747" s="222"/>
      <c r="G747" s="222"/>
      <c r="H747" s="222"/>
      <c r="I747" s="22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customFormat="false" ht="15.75" hidden="false" customHeight="true" outlineLevel="0" collapsed="false">
      <c r="A748" s="2"/>
      <c r="B748" s="2"/>
      <c r="C748" s="2"/>
      <c r="D748" s="222"/>
      <c r="E748" s="222"/>
      <c r="F748" s="222"/>
      <c r="G748" s="222"/>
      <c r="H748" s="222"/>
      <c r="I748" s="22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customFormat="false" ht="15.75" hidden="false" customHeight="true" outlineLevel="0" collapsed="false">
      <c r="A749" s="2"/>
      <c r="B749" s="2"/>
      <c r="C749" s="2"/>
      <c r="D749" s="222"/>
      <c r="E749" s="222"/>
      <c r="F749" s="222"/>
      <c r="G749" s="222"/>
      <c r="H749" s="222"/>
      <c r="I749" s="22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customFormat="false" ht="15.75" hidden="false" customHeight="true" outlineLevel="0" collapsed="false">
      <c r="A750" s="2"/>
      <c r="B750" s="2"/>
      <c r="C750" s="2"/>
      <c r="D750" s="222"/>
      <c r="E750" s="222"/>
      <c r="F750" s="222"/>
      <c r="G750" s="222"/>
      <c r="H750" s="222"/>
      <c r="I750" s="22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customFormat="false" ht="15.75" hidden="false" customHeight="true" outlineLevel="0" collapsed="false">
      <c r="A751" s="2"/>
      <c r="B751" s="2"/>
      <c r="C751" s="2"/>
      <c r="D751" s="222"/>
      <c r="E751" s="222"/>
      <c r="F751" s="222"/>
      <c r="G751" s="222"/>
      <c r="H751" s="222"/>
      <c r="I751" s="22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customFormat="false" ht="15.75" hidden="false" customHeight="true" outlineLevel="0" collapsed="false">
      <c r="A752" s="2"/>
      <c r="B752" s="2"/>
      <c r="C752" s="2"/>
      <c r="D752" s="222"/>
      <c r="E752" s="222"/>
      <c r="F752" s="222"/>
      <c r="G752" s="222"/>
      <c r="H752" s="222"/>
      <c r="I752" s="22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customFormat="false" ht="15.75" hidden="false" customHeight="true" outlineLevel="0" collapsed="false">
      <c r="A753" s="2"/>
      <c r="B753" s="2"/>
      <c r="C753" s="2"/>
      <c r="D753" s="222"/>
      <c r="E753" s="222"/>
      <c r="F753" s="222"/>
      <c r="G753" s="222"/>
      <c r="H753" s="222"/>
      <c r="I753" s="22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customFormat="false" ht="15.75" hidden="false" customHeight="true" outlineLevel="0" collapsed="false">
      <c r="A754" s="2"/>
      <c r="B754" s="2"/>
      <c r="C754" s="2"/>
      <c r="D754" s="222"/>
      <c r="E754" s="222"/>
      <c r="F754" s="222"/>
      <c r="G754" s="222"/>
      <c r="H754" s="222"/>
      <c r="I754" s="22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customFormat="false" ht="15.75" hidden="false" customHeight="true" outlineLevel="0" collapsed="false">
      <c r="A755" s="2"/>
      <c r="B755" s="2"/>
      <c r="C755" s="2"/>
      <c r="D755" s="222"/>
      <c r="E755" s="222"/>
      <c r="F755" s="222"/>
      <c r="G755" s="222"/>
      <c r="H755" s="222"/>
      <c r="I755" s="22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customFormat="false" ht="15.75" hidden="false" customHeight="true" outlineLevel="0" collapsed="false">
      <c r="A756" s="2"/>
      <c r="B756" s="2"/>
      <c r="C756" s="2"/>
      <c r="D756" s="222"/>
      <c r="E756" s="222"/>
      <c r="F756" s="222"/>
      <c r="G756" s="222"/>
      <c r="H756" s="222"/>
      <c r="I756" s="22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customFormat="false" ht="15.75" hidden="false" customHeight="true" outlineLevel="0" collapsed="false">
      <c r="A757" s="2"/>
      <c r="B757" s="2"/>
      <c r="C757" s="2"/>
      <c r="D757" s="222"/>
      <c r="E757" s="222"/>
      <c r="F757" s="222"/>
      <c r="G757" s="222"/>
      <c r="H757" s="222"/>
      <c r="I757" s="22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customFormat="false" ht="15.75" hidden="false" customHeight="true" outlineLevel="0" collapsed="false">
      <c r="A758" s="2"/>
      <c r="B758" s="2"/>
      <c r="C758" s="2"/>
      <c r="D758" s="222"/>
      <c r="E758" s="222"/>
      <c r="F758" s="222"/>
      <c r="G758" s="222"/>
      <c r="H758" s="222"/>
      <c r="I758" s="22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customFormat="false" ht="15.75" hidden="false" customHeight="true" outlineLevel="0" collapsed="false">
      <c r="A759" s="2"/>
      <c r="B759" s="2"/>
      <c r="C759" s="2"/>
      <c r="D759" s="222"/>
      <c r="E759" s="222"/>
      <c r="F759" s="222"/>
      <c r="G759" s="222"/>
      <c r="H759" s="222"/>
      <c r="I759" s="22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customFormat="false" ht="15.75" hidden="false" customHeight="true" outlineLevel="0" collapsed="false">
      <c r="A760" s="2"/>
      <c r="B760" s="2"/>
      <c r="C760" s="2"/>
      <c r="D760" s="222"/>
      <c r="E760" s="222"/>
      <c r="F760" s="222"/>
      <c r="G760" s="222"/>
      <c r="H760" s="222"/>
      <c r="I760" s="22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customFormat="false" ht="15.75" hidden="false" customHeight="true" outlineLevel="0" collapsed="false">
      <c r="A761" s="2"/>
      <c r="B761" s="2"/>
      <c r="C761" s="2"/>
      <c r="D761" s="222"/>
      <c r="E761" s="222"/>
      <c r="F761" s="222"/>
      <c r="G761" s="222"/>
      <c r="H761" s="222"/>
      <c r="I761" s="22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customFormat="false" ht="15.75" hidden="false" customHeight="true" outlineLevel="0" collapsed="false">
      <c r="A762" s="2"/>
      <c r="B762" s="2"/>
      <c r="C762" s="2"/>
      <c r="D762" s="222"/>
      <c r="E762" s="222"/>
      <c r="F762" s="222"/>
      <c r="G762" s="222"/>
      <c r="H762" s="222"/>
      <c r="I762" s="22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customFormat="false" ht="15.75" hidden="false" customHeight="true" outlineLevel="0" collapsed="false">
      <c r="A763" s="2"/>
      <c r="B763" s="2"/>
      <c r="C763" s="2"/>
      <c r="D763" s="222"/>
      <c r="E763" s="222"/>
      <c r="F763" s="222"/>
      <c r="G763" s="222"/>
      <c r="H763" s="222"/>
      <c r="I763" s="22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customFormat="false" ht="15.75" hidden="false" customHeight="true" outlineLevel="0" collapsed="false">
      <c r="A764" s="2"/>
      <c r="B764" s="2"/>
      <c r="C764" s="2"/>
      <c r="D764" s="222"/>
      <c r="E764" s="222"/>
      <c r="F764" s="222"/>
      <c r="G764" s="222"/>
      <c r="H764" s="222"/>
      <c r="I764" s="22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customFormat="false" ht="15.75" hidden="false" customHeight="true" outlineLevel="0" collapsed="false">
      <c r="A765" s="2"/>
      <c r="B765" s="2"/>
      <c r="C765" s="2"/>
      <c r="D765" s="222"/>
      <c r="E765" s="222"/>
      <c r="F765" s="222"/>
      <c r="G765" s="222"/>
      <c r="H765" s="222"/>
      <c r="I765" s="22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customFormat="false" ht="15.75" hidden="false" customHeight="true" outlineLevel="0" collapsed="false">
      <c r="A766" s="2"/>
      <c r="B766" s="2"/>
      <c r="C766" s="2"/>
      <c r="D766" s="222"/>
      <c r="E766" s="222"/>
      <c r="F766" s="222"/>
      <c r="G766" s="222"/>
      <c r="H766" s="222"/>
      <c r="I766" s="22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customFormat="false" ht="15.75" hidden="false" customHeight="true" outlineLevel="0" collapsed="false">
      <c r="A767" s="2"/>
      <c r="B767" s="2"/>
      <c r="C767" s="2"/>
      <c r="D767" s="222"/>
      <c r="E767" s="222"/>
      <c r="F767" s="222"/>
      <c r="G767" s="222"/>
      <c r="H767" s="222"/>
      <c r="I767" s="22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customFormat="false" ht="15.75" hidden="false" customHeight="true" outlineLevel="0" collapsed="false">
      <c r="A768" s="2"/>
      <c r="B768" s="2"/>
      <c r="C768" s="2"/>
      <c r="D768" s="222"/>
      <c r="E768" s="222"/>
      <c r="F768" s="222"/>
      <c r="G768" s="222"/>
      <c r="H768" s="222"/>
      <c r="I768" s="22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customFormat="false" ht="15.75" hidden="false" customHeight="true" outlineLevel="0" collapsed="false">
      <c r="A769" s="2"/>
      <c r="B769" s="2"/>
      <c r="C769" s="2"/>
      <c r="D769" s="222"/>
      <c r="E769" s="222"/>
      <c r="F769" s="222"/>
      <c r="G769" s="222"/>
      <c r="H769" s="222"/>
      <c r="I769" s="22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customFormat="false" ht="15.75" hidden="false" customHeight="true" outlineLevel="0" collapsed="false">
      <c r="A770" s="2"/>
      <c r="B770" s="2"/>
      <c r="C770" s="2"/>
      <c r="D770" s="222"/>
      <c r="E770" s="222"/>
      <c r="F770" s="222"/>
      <c r="G770" s="222"/>
      <c r="H770" s="222"/>
      <c r="I770" s="22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customFormat="false" ht="15.75" hidden="false" customHeight="true" outlineLevel="0" collapsed="false">
      <c r="A771" s="2"/>
      <c r="B771" s="2"/>
      <c r="C771" s="2"/>
      <c r="D771" s="222"/>
      <c r="E771" s="222"/>
      <c r="F771" s="222"/>
      <c r="G771" s="222"/>
      <c r="H771" s="222"/>
      <c r="I771" s="22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customFormat="false" ht="15.75" hidden="false" customHeight="true" outlineLevel="0" collapsed="false">
      <c r="A772" s="2"/>
      <c r="B772" s="2"/>
      <c r="C772" s="2"/>
      <c r="D772" s="222"/>
      <c r="E772" s="222"/>
      <c r="F772" s="222"/>
      <c r="G772" s="222"/>
      <c r="H772" s="222"/>
      <c r="I772" s="22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customFormat="false" ht="15.75" hidden="false" customHeight="true" outlineLevel="0" collapsed="false">
      <c r="A773" s="2"/>
      <c r="B773" s="2"/>
      <c r="C773" s="2"/>
      <c r="D773" s="222"/>
      <c r="E773" s="222"/>
      <c r="F773" s="222"/>
      <c r="G773" s="222"/>
      <c r="H773" s="222"/>
      <c r="I773" s="22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customFormat="false" ht="15.75" hidden="false" customHeight="true" outlineLevel="0" collapsed="false">
      <c r="A774" s="2"/>
      <c r="B774" s="2"/>
      <c r="C774" s="2"/>
      <c r="D774" s="222"/>
      <c r="E774" s="222"/>
      <c r="F774" s="222"/>
      <c r="G774" s="222"/>
      <c r="H774" s="222"/>
      <c r="I774" s="22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customFormat="false" ht="15.75" hidden="false" customHeight="true" outlineLevel="0" collapsed="false">
      <c r="A775" s="2"/>
      <c r="B775" s="2"/>
      <c r="C775" s="2"/>
      <c r="D775" s="222"/>
      <c r="E775" s="222"/>
      <c r="F775" s="222"/>
      <c r="G775" s="222"/>
      <c r="H775" s="222"/>
      <c r="I775" s="22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customFormat="false" ht="15.75" hidden="false" customHeight="true" outlineLevel="0" collapsed="false">
      <c r="A776" s="2"/>
      <c r="B776" s="2"/>
      <c r="C776" s="2"/>
      <c r="D776" s="222"/>
      <c r="E776" s="222"/>
      <c r="F776" s="222"/>
      <c r="G776" s="222"/>
      <c r="H776" s="222"/>
      <c r="I776" s="22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customFormat="false" ht="15.75" hidden="false" customHeight="true" outlineLevel="0" collapsed="false">
      <c r="A777" s="2"/>
      <c r="B777" s="2"/>
      <c r="C777" s="2"/>
      <c r="D777" s="222"/>
      <c r="E777" s="222"/>
      <c r="F777" s="222"/>
      <c r="G777" s="222"/>
      <c r="H777" s="222"/>
      <c r="I777" s="22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customFormat="false" ht="15.75" hidden="false" customHeight="true" outlineLevel="0" collapsed="false">
      <c r="A778" s="2"/>
      <c r="B778" s="2"/>
      <c r="C778" s="2"/>
      <c r="D778" s="222"/>
      <c r="E778" s="222"/>
      <c r="F778" s="222"/>
      <c r="G778" s="222"/>
      <c r="H778" s="222"/>
      <c r="I778" s="22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customFormat="false" ht="15.75" hidden="false" customHeight="true" outlineLevel="0" collapsed="false">
      <c r="A779" s="2"/>
      <c r="B779" s="2"/>
      <c r="C779" s="2"/>
      <c r="D779" s="222"/>
      <c r="E779" s="222"/>
      <c r="F779" s="222"/>
      <c r="G779" s="222"/>
      <c r="H779" s="222"/>
      <c r="I779" s="22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customFormat="false" ht="15.75" hidden="false" customHeight="true" outlineLevel="0" collapsed="false">
      <c r="A780" s="2"/>
      <c r="B780" s="2"/>
      <c r="C780" s="2"/>
      <c r="D780" s="222"/>
      <c r="E780" s="222"/>
      <c r="F780" s="222"/>
      <c r="G780" s="222"/>
      <c r="H780" s="222"/>
      <c r="I780" s="22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customFormat="false" ht="15.75" hidden="false" customHeight="true" outlineLevel="0" collapsed="false">
      <c r="A781" s="2"/>
      <c r="B781" s="2"/>
      <c r="C781" s="2"/>
      <c r="D781" s="222"/>
      <c r="E781" s="222"/>
      <c r="F781" s="222"/>
      <c r="G781" s="222"/>
      <c r="H781" s="222"/>
      <c r="I781" s="22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customFormat="false" ht="15.75" hidden="false" customHeight="true" outlineLevel="0" collapsed="false">
      <c r="A782" s="2"/>
      <c r="B782" s="2"/>
      <c r="C782" s="2"/>
      <c r="D782" s="222"/>
      <c r="E782" s="222"/>
      <c r="F782" s="222"/>
      <c r="G782" s="222"/>
      <c r="H782" s="222"/>
      <c r="I782" s="22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customFormat="false" ht="15.75" hidden="false" customHeight="true" outlineLevel="0" collapsed="false">
      <c r="A783" s="2"/>
      <c r="B783" s="2"/>
      <c r="C783" s="2"/>
      <c r="D783" s="222"/>
      <c r="E783" s="222"/>
      <c r="F783" s="222"/>
      <c r="G783" s="222"/>
      <c r="H783" s="222"/>
      <c r="I783" s="22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customFormat="false" ht="15.75" hidden="false" customHeight="true" outlineLevel="0" collapsed="false">
      <c r="A784" s="2"/>
      <c r="B784" s="2"/>
      <c r="C784" s="2"/>
      <c r="D784" s="222"/>
      <c r="E784" s="222"/>
      <c r="F784" s="222"/>
      <c r="G784" s="222"/>
      <c r="H784" s="222"/>
      <c r="I784" s="22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customFormat="false" ht="15.75" hidden="false" customHeight="true" outlineLevel="0" collapsed="false">
      <c r="A785" s="2"/>
      <c r="B785" s="2"/>
      <c r="C785" s="2"/>
      <c r="D785" s="222"/>
      <c r="E785" s="222"/>
      <c r="F785" s="222"/>
      <c r="G785" s="222"/>
      <c r="H785" s="222"/>
      <c r="I785" s="22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customFormat="false" ht="15.75" hidden="false" customHeight="true" outlineLevel="0" collapsed="false">
      <c r="A786" s="2"/>
      <c r="B786" s="2"/>
      <c r="C786" s="2"/>
      <c r="D786" s="222"/>
      <c r="E786" s="222"/>
      <c r="F786" s="222"/>
      <c r="G786" s="222"/>
      <c r="H786" s="222"/>
      <c r="I786" s="22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customFormat="false" ht="15.75" hidden="false" customHeight="true" outlineLevel="0" collapsed="false">
      <c r="A787" s="2"/>
      <c r="B787" s="2"/>
      <c r="C787" s="2"/>
      <c r="D787" s="222"/>
      <c r="E787" s="222"/>
      <c r="F787" s="222"/>
      <c r="G787" s="222"/>
      <c r="H787" s="222"/>
      <c r="I787" s="22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customFormat="false" ht="15.75" hidden="false" customHeight="true" outlineLevel="0" collapsed="false">
      <c r="A788" s="2"/>
      <c r="B788" s="2"/>
      <c r="C788" s="2"/>
      <c r="D788" s="222"/>
      <c r="E788" s="222"/>
      <c r="F788" s="222"/>
      <c r="G788" s="222"/>
      <c r="H788" s="222"/>
      <c r="I788" s="22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customFormat="false" ht="15.75" hidden="false" customHeight="true" outlineLevel="0" collapsed="false">
      <c r="A789" s="2"/>
      <c r="B789" s="2"/>
      <c r="C789" s="2"/>
      <c r="D789" s="222"/>
      <c r="E789" s="222"/>
      <c r="F789" s="222"/>
      <c r="G789" s="222"/>
      <c r="H789" s="222"/>
      <c r="I789" s="22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customFormat="false" ht="15.75" hidden="false" customHeight="true" outlineLevel="0" collapsed="false">
      <c r="A790" s="2"/>
      <c r="B790" s="2"/>
      <c r="C790" s="2"/>
      <c r="D790" s="222"/>
      <c r="E790" s="222"/>
      <c r="F790" s="222"/>
      <c r="G790" s="222"/>
      <c r="H790" s="222"/>
      <c r="I790" s="22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customFormat="false" ht="15.75" hidden="false" customHeight="true" outlineLevel="0" collapsed="false">
      <c r="A791" s="2"/>
      <c r="B791" s="2"/>
      <c r="C791" s="2"/>
      <c r="D791" s="222"/>
      <c r="E791" s="222"/>
      <c r="F791" s="222"/>
      <c r="G791" s="222"/>
      <c r="H791" s="222"/>
      <c r="I791" s="22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customFormat="false" ht="15.75" hidden="false" customHeight="true" outlineLevel="0" collapsed="false">
      <c r="A792" s="2"/>
      <c r="B792" s="2"/>
      <c r="C792" s="2"/>
      <c r="D792" s="222"/>
      <c r="E792" s="222"/>
      <c r="F792" s="222"/>
      <c r="G792" s="222"/>
      <c r="H792" s="222"/>
      <c r="I792" s="22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customFormat="false" ht="15.75" hidden="false" customHeight="true" outlineLevel="0" collapsed="false">
      <c r="A793" s="2"/>
      <c r="B793" s="2"/>
      <c r="C793" s="2"/>
      <c r="D793" s="222"/>
      <c r="E793" s="222"/>
      <c r="F793" s="222"/>
      <c r="G793" s="222"/>
      <c r="H793" s="222"/>
      <c r="I793" s="22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customFormat="false" ht="15.75" hidden="false" customHeight="true" outlineLevel="0" collapsed="false">
      <c r="A794" s="2"/>
      <c r="B794" s="2"/>
      <c r="C794" s="2"/>
      <c r="D794" s="222"/>
      <c r="E794" s="222"/>
      <c r="F794" s="222"/>
      <c r="G794" s="222"/>
      <c r="H794" s="222"/>
      <c r="I794" s="22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customFormat="false" ht="15.75" hidden="false" customHeight="true" outlineLevel="0" collapsed="false">
      <c r="A795" s="2"/>
      <c r="B795" s="2"/>
      <c r="C795" s="2"/>
      <c r="D795" s="222"/>
      <c r="E795" s="222"/>
      <c r="F795" s="222"/>
      <c r="G795" s="222"/>
      <c r="H795" s="222"/>
      <c r="I795" s="22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customFormat="false" ht="15.75" hidden="false" customHeight="true" outlineLevel="0" collapsed="false">
      <c r="A796" s="2"/>
      <c r="B796" s="2"/>
      <c r="C796" s="2"/>
      <c r="D796" s="222"/>
      <c r="E796" s="222"/>
      <c r="F796" s="222"/>
      <c r="G796" s="222"/>
      <c r="H796" s="222"/>
      <c r="I796" s="22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customFormat="false" ht="15.75" hidden="false" customHeight="true" outlineLevel="0" collapsed="false">
      <c r="A797" s="2"/>
      <c r="B797" s="2"/>
      <c r="C797" s="2"/>
      <c r="D797" s="222"/>
      <c r="E797" s="222"/>
      <c r="F797" s="222"/>
      <c r="G797" s="222"/>
      <c r="H797" s="222"/>
      <c r="I797" s="22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customFormat="false" ht="15.75" hidden="false" customHeight="true" outlineLevel="0" collapsed="false">
      <c r="A798" s="2"/>
      <c r="B798" s="2"/>
      <c r="C798" s="2"/>
      <c r="D798" s="222"/>
      <c r="E798" s="222"/>
      <c r="F798" s="222"/>
      <c r="G798" s="222"/>
      <c r="H798" s="222"/>
      <c r="I798" s="22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customFormat="false" ht="15.75" hidden="false" customHeight="true" outlineLevel="0" collapsed="false">
      <c r="A799" s="2"/>
      <c r="B799" s="2"/>
      <c r="C799" s="2"/>
      <c r="D799" s="222"/>
      <c r="E799" s="222"/>
      <c r="F799" s="222"/>
      <c r="G799" s="222"/>
      <c r="H799" s="222"/>
      <c r="I799" s="22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customFormat="false" ht="15.75" hidden="false" customHeight="true" outlineLevel="0" collapsed="false">
      <c r="A800" s="2"/>
      <c r="B800" s="2"/>
      <c r="C800" s="2"/>
      <c r="D800" s="222"/>
      <c r="E800" s="222"/>
      <c r="F800" s="222"/>
      <c r="G800" s="222"/>
      <c r="H800" s="222"/>
      <c r="I800" s="22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customFormat="false" ht="15.75" hidden="false" customHeight="true" outlineLevel="0" collapsed="false">
      <c r="A801" s="2"/>
      <c r="B801" s="2"/>
      <c r="C801" s="2"/>
      <c r="D801" s="222"/>
      <c r="E801" s="222"/>
      <c r="F801" s="222"/>
      <c r="G801" s="222"/>
      <c r="H801" s="222"/>
      <c r="I801" s="22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customFormat="false" ht="15.75" hidden="false" customHeight="true" outlineLevel="0" collapsed="false">
      <c r="A802" s="2"/>
      <c r="B802" s="2"/>
      <c r="C802" s="2"/>
      <c r="D802" s="222"/>
      <c r="E802" s="222"/>
      <c r="F802" s="222"/>
      <c r="G802" s="222"/>
      <c r="H802" s="222"/>
      <c r="I802" s="22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customFormat="false" ht="15.75" hidden="false" customHeight="true" outlineLevel="0" collapsed="false">
      <c r="A803" s="2"/>
      <c r="B803" s="2"/>
      <c r="C803" s="2"/>
      <c r="D803" s="222"/>
      <c r="E803" s="222"/>
      <c r="F803" s="222"/>
      <c r="G803" s="222"/>
      <c r="H803" s="222"/>
      <c r="I803" s="22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customFormat="false" ht="15.75" hidden="false" customHeight="true" outlineLevel="0" collapsed="false">
      <c r="A804" s="2"/>
      <c r="B804" s="2"/>
      <c r="C804" s="2"/>
      <c r="D804" s="222"/>
      <c r="E804" s="222"/>
      <c r="F804" s="222"/>
      <c r="G804" s="222"/>
      <c r="H804" s="222"/>
      <c r="I804" s="22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customFormat="false" ht="15.75" hidden="false" customHeight="true" outlineLevel="0" collapsed="false">
      <c r="A805" s="2"/>
      <c r="B805" s="2"/>
      <c r="C805" s="2"/>
      <c r="D805" s="222"/>
      <c r="E805" s="222"/>
      <c r="F805" s="222"/>
      <c r="G805" s="222"/>
      <c r="H805" s="222"/>
      <c r="I805" s="22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customFormat="false" ht="15.75" hidden="false" customHeight="true" outlineLevel="0" collapsed="false">
      <c r="A806" s="2"/>
      <c r="B806" s="2"/>
      <c r="C806" s="2"/>
      <c r="D806" s="222"/>
      <c r="E806" s="222"/>
      <c r="F806" s="222"/>
      <c r="G806" s="222"/>
      <c r="H806" s="222"/>
      <c r="I806" s="22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customFormat="false" ht="15.75" hidden="false" customHeight="true" outlineLevel="0" collapsed="false">
      <c r="A807" s="2"/>
      <c r="B807" s="2"/>
      <c r="C807" s="2"/>
      <c r="D807" s="222"/>
      <c r="E807" s="222"/>
      <c r="F807" s="222"/>
      <c r="G807" s="222"/>
      <c r="H807" s="222"/>
      <c r="I807" s="22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customFormat="false" ht="15.75" hidden="false" customHeight="true" outlineLevel="0" collapsed="false">
      <c r="A808" s="2"/>
      <c r="B808" s="2"/>
      <c r="C808" s="2"/>
      <c r="D808" s="222"/>
      <c r="E808" s="222"/>
      <c r="F808" s="222"/>
      <c r="G808" s="222"/>
      <c r="H808" s="222"/>
      <c r="I808" s="22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customFormat="false" ht="15.75" hidden="false" customHeight="true" outlineLevel="0" collapsed="false">
      <c r="A809" s="2"/>
      <c r="B809" s="2"/>
      <c r="C809" s="2"/>
      <c r="D809" s="222"/>
      <c r="E809" s="222"/>
      <c r="F809" s="222"/>
      <c r="G809" s="222"/>
      <c r="H809" s="222"/>
      <c r="I809" s="22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customFormat="false" ht="15.75" hidden="false" customHeight="true" outlineLevel="0" collapsed="false">
      <c r="A810" s="2"/>
      <c r="B810" s="2"/>
      <c r="C810" s="2"/>
      <c r="D810" s="222"/>
      <c r="E810" s="222"/>
      <c r="F810" s="222"/>
      <c r="G810" s="222"/>
      <c r="H810" s="222"/>
      <c r="I810" s="22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customFormat="false" ht="15.75" hidden="false" customHeight="true" outlineLevel="0" collapsed="false">
      <c r="A811" s="2"/>
      <c r="B811" s="2"/>
      <c r="C811" s="2"/>
      <c r="D811" s="222"/>
      <c r="E811" s="222"/>
      <c r="F811" s="222"/>
      <c r="G811" s="222"/>
      <c r="H811" s="222"/>
      <c r="I811" s="22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customFormat="false" ht="15.75" hidden="false" customHeight="true" outlineLevel="0" collapsed="false">
      <c r="A812" s="2"/>
      <c r="B812" s="2"/>
      <c r="C812" s="2"/>
      <c r="D812" s="222"/>
      <c r="E812" s="222"/>
      <c r="F812" s="222"/>
      <c r="G812" s="222"/>
      <c r="H812" s="222"/>
      <c r="I812" s="22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customFormat="false" ht="15.75" hidden="false" customHeight="true" outlineLevel="0" collapsed="false">
      <c r="A813" s="2"/>
      <c r="B813" s="2"/>
      <c r="C813" s="2"/>
      <c r="D813" s="222"/>
      <c r="E813" s="222"/>
      <c r="F813" s="222"/>
      <c r="G813" s="222"/>
      <c r="H813" s="222"/>
      <c r="I813" s="22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customFormat="false" ht="15.75" hidden="false" customHeight="true" outlineLevel="0" collapsed="false">
      <c r="A814" s="2"/>
      <c r="B814" s="2"/>
      <c r="C814" s="2"/>
      <c r="D814" s="222"/>
      <c r="E814" s="222"/>
      <c r="F814" s="222"/>
      <c r="G814" s="222"/>
      <c r="H814" s="222"/>
      <c r="I814" s="22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customFormat="false" ht="15.75" hidden="false" customHeight="true" outlineLevel="0" collapsed="false">
      <c r="A815" s="2"/>
      <c r="B815" s="2"/>
      <c r="C815" s="2"/>
      <c r="D815" s="222"/>
      <c r="E815" s="222"/>
      <c r="F815" s="222"/>
      <c r="G815" s="222"/>
      <c r="H815" s="222"/>
      <c r="I815" s="22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customFormat="false" ht="15.75" hidden="false" customHeight="true" outlineLevel="0" collapsed="false">
      <c r="A816" s="2"/>
      <c r="B816" s="2"/>
      <c r="C816" s="2"/>
      <c r="D816" s="222"/>
      <c r="E816" s="222"/>
      <c r="F816" s="222"/>
      <c r="G816" s="222"/>
      <c r="H816" s="222"/>
      <c r="I816" s="22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customFormat="false" ht="15.75" hidden="false" customHeight="true" outlineLevel="0" collapsed="false">
      <c r="A817" s="2"/>
      <c r="B817" s="2"/>
      <c r="C817" s="2"/>
      <c r="D817" s="222"/>
      <c r="E817" s="222"/>
      <c r="F817" s="222"/>
      <c r="G817" s="222"/>
      <c r="H817" s="222"/>
      <c r="I817" s="22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customFormat="false" ht="15.75" hidden="false" customHeight="true" outlineLevel="0" collapsed="false">
      <c r="A818" s="2"/>
      <c r="B818" s="2"/>
      <c r="C818" s="2"/>
      <c r="D818" s="222"/>
      <c r="E818" s="222"/>
      <c r="F818" s="222"/>
      <c r="G818" s="222"/>
      <c r="H818" s="222"/>
      <c r="I818" s="22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customFormat="false" ht="15.75" hidden="false" customHeight="true" outlineLevel="0" collapsed="false">
      <c r="A819" s="2"/>
      <c r="B819" s="2"/>
      <c r="C819" s="2"/>
      <c r="D819" s="222"/>
      <c r="E819" s="222"/>
      <c r="F819" s="222"/>
      <c r="G819" s="222"/>
      <c r="H819" s="222"/>
      <c r="I819" s="22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customFormat="false" ht="15.75" hidden="false" customHeight="true" outlineLevel="0" collapsed="false">
      <c r="A820" s="2"/>
      <c r="B820" s="2"/>
      <c r="C820" s="2"/>
      <c r="D820" s="222"/>
      <c r="E820" s="222"/>
      <c r="F820" s="222"/>
      <c r="G820" s="222"/>
      <c r="H820" s="222"/>
      <c r="I820" s="22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customFormat="false" ht="15.75" hidden="false" customHeight="true" outlineLevel="0" collapsed="false">
      <c r="A821" s="2"/>
      <c r="B821" s="2"/>
      <c r="C821" s="2"/>
      <c r="D821" s="222"/>
      <c r="E821" s="222"/>
      <c r="F821" s="222"/>
      <c r="G821" s="222"/>
      <c r="H821" s="222"/>
      <c r="I821" s="22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customFormat="false" ht="15.75" hidden="false" customHeight="true" outlineLevel="0" collapsed="false">
      <c r="A822" s="2"/>
      <c r="B822" s="2"/>
      <c r="C822" s="2"/>
      <c r="D822" s="222"/>
      <c r="E822" s="222"/>
      <c r="F822" s="222"/>
      <c r="G822" s="222"/>
      <c r="H822" s="222"/>
      <c r="I822" s="22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customFormat="false" ht="15.75" hidden="false" customHeight="true" outlineLevel="0" collapsed="false">
      <c r="A823" s="2"/>
      <c r="B823" s="2"/>
      <c r="C823" s="2"/>
      <c r="D823" s="222"/>
      <c r="E823" s="222"/>
      <c r="F823" s="222"/>
      <c r="G823" s="222"/>
      <c r="H823" s="222"/>
      <c r="I823" s="22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customFormat="false" ht="15.75" hidden="false" customHeight="true" outlineLevel="0" collapsed="false">
      <c r="A824" s="2"/>
      <c r="B824" s="2"/>
      <c r="C824" s="2"/>
      <c r="D824" s="222"/>
      <c r="E824" s="222"/>
      <c r="F824" s="222"/>
      <c r="G824" s="222"/>
      <c r="H824" s="222"/>
      <c r="I824" s="22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customFormat="false" ht="15.75" hidden="false" customHeight="true" outlineLevel="0" collapsed="false">
      <c r="A825" s="2"/>
      <c r="B825" s="2"/>
      <c r="C825" s="2"/>
      <c r="D825" s="222"/>
      <c r="E825" s="222"/>
      <c r="F825" s="222"/>
      <c r="G825" s="222"/>
      <c r="H825" s="222"/>
      <c r="I825" s="22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customFormat="false" ht="15.75" hidden="false" customHeight="true" outlineLevel="0" collapsed="false">
      <c r="A826" s="2"/>
      <c r="B826" s="2"/>
      <c r="C826" s="2"/>
      <c r="D826" s="222"/>
      <c r="E826" s="222"/>
      <c r="F826" s="222"/>
      <c r="G826" s="222"/>
      <c r="H826" s="222"/>
      <c r="I826" s="22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customFormat="false" ht="15.75" hidden="false" customHeight="true" outlineLevel="0" collapsed="false">
      <c r="A827" s="2"/>
      <c r="B827" s="2"/>
      <c r="C827" s="2"/>
      <c r="D827" s="222"/>
      <c r="E827" s="222"/>
      <c r="F827" s="222"/>
      <c r="G827" s="222"/>
      <c r="H827" s="222"/>
      <c r="I827" s="22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customFormat="false" ht="15.75" hidden="false" customHeight="true" outlineLevel="0" collapsed="false">
      <c r="A828" s="2"/>
      <c r="B828" s="2"/>
      <c r="C828" s="2"/>
      <c r="D828" s="222"/>
      <c r="E828" s="222"/>
      <c r="F828" s="222"/>
      <c r="G828" s="222"/>
      <c r="H828" s="222"/>
      <c r="I828" s="22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customFormat="false" ht="15.75" hidden="false" customHeight="true" outlineLevel="0" collapsed="false">
      <c r="A829" s="2"/>
      <c r="B829" s="2"/>
      <c r="C829" s="2"/>
      <c r="D829" s="222"/>
      <c r="E829" s="222"/>
      <c r="F829" s="222"/>
      <c r="G829" s="222"/>
      <c r="H829" s="222"/>
      <c r="I829" s="22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customFormat="false" ht="15.75" hidden="false" customHeight="true" outlineLevel="0" collapsed="false">
      <c r="A830" s="2"/>
      <c r="B830" s="2"/>
      <c r="C830" s="2"/>
      <c r="D830" s="222"/>
      <c r="E830" s="222"/>
      <c r="F830" s="222"/>
      <c r="G830" s="222"/>
      <c r="H830" s="222"/>
      <c r="I830" s="22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customFormat="false" ht="15.75" hidden="false" customHeight="true" outlineLevel="0" collapsed="false">
      <c r="A831" s="2"/>
      <c r="B831" s="2"/>
      <c r="C831" s="2"/>
      <c r="D831" s="222"/>
      <c r="E831" s="222"/>
      <c r="F831" s="222"/>
      <c r="G831" s="222"/>
      <c r="H831" s="222"/>
      <c r="I831" s="22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customFormat="false" ht="15.75" hidden="false" customHeight="true" outlineLevel="0" collapsed="false">
      <c r="A832" s="2"/>
      <c r="B832" s="2"/>
      <c r="C832" s="2"/>
      <c r="D832" s="222"/>
      <c r="E832" s="222"/>
      <c r="F832" s="222"/>
      <c r="G832" s="222"/>
      <c r="H832" s="222"/>
      <c r="I832" s="22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customFormat="false" ht="15.75" hidden="false" customHeight="true" outlineLevel="0" collapsed="false">
      <c r="A833" s="2"/>
      <c r="B833" s="2"/>
      <c r="C833" s="2"/>
      <c r="D833" s="222"/>
      <c r="E833" s="222"/>
      <c r="F833" s="222"/>
      <c r="G833" s="222"/>
      <c r="H833" s="222"/>
      <c r="I833" s="22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customFormat="false" ht="15.75" hidden="false" customHeight="true" outlineLevel="0" collapsed="false">
      <c r="A834" s="2"/>
      <c r="B834" s="2"/>
      <c r="C834" s="2"/>
      <c r="D834" s="222"/>
      <c r="E834" s="222"/>
      <c r="F834" s="222"/>
      <c r="G834" s="222"/>
      <c r="H834" s="222"/>
      <c r="I834" s="22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customFormat="false" ht="15.75" hidden="false" customHeight="true" outlineLevel="0" collapsed="false">
      <c r="A835" s="2"/>
      <c r="B835" s="2"/>
      <c r="C835" s="2"/>
      <c r="D835" s="222"/>
      <c r="E835" s="222"/>
      <c r="F835" s="222"/>
      <c r="G835" s="222"/>
      <c r="H835" s="222"/>
      <c r="I835" s="22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customFormat="false" ht="15.75" hidden="false" customHeight="true" outlineLevel="0" collapsed="false">
      <c r="A836" s="2"/>
      <c r="B836" s="2"/>
      <c r="C836" s="2"/>
      <c r="D836" s="222"/>
      <c r="E836" s="222"/>
      <c r="F836" s="222"/>
      <c r="G836" s="222"/>
      <c r="H836" s="222"/>
      <c r="I836" s="22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customFormat="false" ht="15.75" hidden="false" customHeight="true" outlineLevel="0" collapsed="false">
      <c r="A837" s="2"/>
      <c r="B837" s="2"/>
      <c r="C837" s="2"/>
      <c r="D837" s="222"/>
      <c r="E837" s="222"/>
      <c r="F837" s="222"/>
      <c r="G837" s="222"/>
      <c r="H837" s="222"/>
      <c r="I837" s="22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customFormat="false" ht="15.75" hidden="false" customHeight="true" outlineLevel="0" collapsed="false">
      <c r="A838" s="2"/>
      <c r="B838" s="2"/>
      <c r="C838" s="2"/>
      <c r="D838" s="222"/>
      <c r="E838" s="222"/>
      <c r="F838" s="222"/>
      <c r="G838" s="222"/>
      <c r="H838" s="222"/>
      <c r="I838" s="22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customFormat="false" ht="15.75" hidden="false" customHeight="true" outlineLevel="0" collapsed="false">
      <c r="A839" s="2"/>
      <c r="B839" s="2"/>
      <c r="C839" s="2"/>
      <c r="D839" s="222"/>
      <c r="E839" s="222"/>
      <c r="F839" s="222"/>
      <c r="G839" s="222"/>
      <c r="H839" s="222"/>
      <c r="I839" s="22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customFormat="false" ht="15.75" hidden="false" customHeight="true" outlineLevel="0" collapsed="false">
      <c r="A840" s="2"/>
      <c r="B840" s="2"/>
      <c r="C840" s="2"/>
      <c r="D840" s="222"/>
      <c r="E840" s="222"/>
      <c r="F840" s="222"/>
      <c r="G840" s="222"/>
      <c r="H840" s="222"/>
      <c r="I840" s="22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customFormat="false" ht="15.75" hidden="false" customHeight="true" outlineLevel="0" collapsed="false">
      <c r="A841" s="2"/>
      <c r="B841" s="2"/>
      <c r="C841" s="2"/>
      <c r="D841" s="222"/>
      <c r="E841" s="222"/>
      <c r="F841" s="222"/>
      <c r="G841" s="222"/>
      <c r="H841" s="222"/>
      <c r="I841" s="22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customFormat="false" ht="15.75" hidden="false" customHeight="true" outlineLevel="0" collapsed="false">
      <c r="A842" s="2"/>
      <c r="B842" s="2"/>
      <c r="C842" s="2"/>
      <c r="D842" s="222"/>
      <c r="E842" s="222"/>
      <c r="F842" s="222"/>
      <c r="G842" s="222"/>
      <c r="H842" s="222"/>
      <c r="I842" s="22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customFormat="false" ht="15.75" hidden="false" customHeight="true" outlineLevel="0" collapsed="false">
      <c r="A843" s="2"/>
      <c r="B843" s="2"/>
      <c r="C843" s="2"/>
      <c r="D843" s="222"/>
      <c r="E843" s="222"/>
      <c r="F843" s="222"/>
      <c r="G843" s="222"/>
      <c r="H843" s="222"/>
      <c r="I843" s="22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customFormat="false" ht="15.75" hidden="false" customHeight="true" outlineLevel="0" collapsed="false">
      <c r="A844" s="2"/>
      <c r="B844" s="2"/>
      <c r="C844" s="2"/>
      <c r="D844" s="222"/>
      <c r="E844" s="222"/>
      <c r="F844" s="222"/>
      <c r="G844" s="222"/>
      <c r="H844" s="222"/>
      <c r="I844" s="22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customFormat="false" ht="15.75" hidden="false" customHeight="true" outlineLevel="0" collapsed="false">
      <c r="A845" s="2"/>
      <c r="B845" s="2"/>
      <c r="C845" s="2"/>
      <c r="D845" s="222"/>
      <c r="E845" s="222"/>
      <c r="F845" s="222"/>
      <c r="G845" s="222"/>
      <c r="H845" s="222"/>
      <c r="I845" s="22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customFormat="false" ht="15.75" hidden="false" customHeight="true" outlineLevel="0" collapsed="false">
      <c r="A846" s="2"/>
      <c r="B846" s="2"/>
      <c r="C846" s="2"/>
      <c r="D846" s="222"/>
      <c r="E846" s="222"/>
      <c r="F846" s="222"/>
      <c r="G846" s="222"/>
      <c r="H846" s="222"/>
      <c r="I846" s="22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customFormat="false" ht="15.75" hidden="false" customHeight="true" outlineLevel="0" collapsed="false">
      <c r="A847" s="2"/>
      <c r="B847" s="2"/>
      <c r="C847" s="2"/>
      <c r="D847" s="222"/>
      <c r="E847" s="222"/>
      <c r="F847" s="222"/>
      <c r="G847" s="222"/>
      <c r="H847" s="222"/>
      <c r="I847" s="22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customFormat="false" ht="15.75" hidden="false" customHeight="true" outlineLevel="0" collapsed="false">
      <c r="A848" s="2"/>
      <c r="B848" s="2"/>
      <c r="C848" s="2"/>
      <c r="D848" s="222"/>
      <c r="E848" s="222"/>
      <c r="F848" s="222"/>
      <c r="G848" s="222"/>
      <c r="H848" s="222"/>
      <c r="I848" s="22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customFormat="false" ht="15.75" hidden="false" customHeight="true" outlineLevel="0" collapsed="false">
      <c r="A849" s="2"/>
      <c r="B849" s="2"/>
      <c r="C849" s="2"/>
      <c r="D849" s="222"/>
      <c r="E849" s="222"/>
      <c r="F849" s="222"/>
      <c r="G849" s="222"/>
      <c r="H849" s="222"/>
      <c r="I849" s="22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customFormat="false" ht="15.75" hidden="false" customHeight="true" outlineLevel="0" collapsed="false">
      <c r="A850" s="2"/>
      <c r="B850" s="2"/>
      <c r="C850" s="2"/>
      <c r="D850" s="222"/>
      <c r="E850" s="222"/>
      <c r="F850" s="222"/>
      <c r="G850" s="222"/>
      <c r="H850" s="222"/>
      <c r="I850" s="22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customFormat="false" ht="15.75" hidden="false" customHeight="true" outlineLevel="0" collapsed="false">
      <c r="A851" s="2"/>
      <c r="B851" s="2"/>
      <c r="C851" s="2"/>
      <c r="D851" s="222"/>
      <c r="E851" s="222"/>
      <c r="F851" s="222"/>
      <c r="G851" s="222"/>
      <c r="H851" s="222"/>
      <c r="I851" s="22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customFormat="false" ht="15.75" hidden="false" customHeight="true" outlineLevel="0" collapsed="false">
      <c r="A852" s="2"/>
      <c r="B852" s="2"/>
      <c r="C852" s="2"/>
      <c r="D852" s="222"/>
      <c r="E852" s="222"/>
      <c r="F852" s="222"/>
      <c r="G852" s="222"/>
      <c r="H852" s="222"/>
      <c r="I852" s="22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customFormat="false" ht="15.75" hidden="false" customHeight="true" outlineLevel="0" collapsed="false">
      <c r="A853" s="2"/>
      <c r="B853" s="2"/>
      <c r="C853" s="2"/>
      <c r="D853" s="222"/>
      <c r="E853" s="222"/>
      <c r="F853" s="222"/>
      <c r="G853" s="222"/>
      <c r="H853" s="222"/>
      <c r="I853" s="22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customFormat="false" ht="15.75" hidden="false" customHeight="true" outlineLevel="0" collapsed="false">
      <c r="A854" s="2"/>
      <c r="B854" s="2"/>
      <c r="C854" s="2"/>
      <c r="D854" s="222"/>
      <c r="E854" s="222"/>
      <c r="F854" s="222"/>
      <c r="G854" s="222"/>
      <c r="H854" s="222"/>
      <c r="I854" s="22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customFormat="false" ht="15.75" hidden="false" customHeight="true" outlineLevel="0" collapsed="false">
      <c r="A855" s="2"/>
      <c r="B855" s="2"/>
      <c r="C855" s="2"/>
      <c r="D855" s="222"/>
      <c r="E855" s="222"/>
      <c r="F855" s="222"/>
      <c r="G855" s="222"/>
      <c r="H855" s="222"/>
      <c r="I855" s="22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customFormat="false" ht="15.75" hidden="false" customHeight="true" outlineLevel="0" collapsed="false">
      <c r="A856" s="2"/>
      <c r="B856" s="2"/>
      <c r="C856" s="2"/>
      <c r="D856" s="222"/>
      <c r="E856" s="222"/>
      <c r="F856" s="222"/>
      <c r="G856" s="222"/>
      <c r="H856" s="222"/>
      <c r="I856" s="22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customFormat="false" ht="15.75" hidden="false" customHeight="true" outlineLevel="0" collapsed="false">
      <c r="A857" s="2"/>
      <c r="B857" s="2"/>
      <c r="C857" s="2"/>
      <c r="D857" s="222"/>
      <c r="E857" s="222"/>
      <c r="F857" s="222"/>
      <c r="G857" s="222"/>
      <c r="H857" s="222"/>
      <c r="I857" s="22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customFormat="false" ht="15.75" hidden="false" customHeight="true" outlineLevel="0" collapsed="false">
      <c r="A858" s="2"/>
      <c r="B858" s="2"/>
      <c r="C858" s="2"/>
      <c r="D858" s="222"/>
      <c r="E858" s="222"/>
      <c r="F858" s="222"/>
      <c r="G858" s="222"/>
      <c r="H858" s="222"/>
      <c r="I858" s="22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customFormat="false" ht="15.75" hidden="false" customHeight="true" outlineLevel="0" collapsed="false">
      <c r="A859" s="2"/>
      <c r="B859" s="2"/>
      <c r="C859" s="2"/>
      <c r="D859" s="222"/>
      <c r="E859" s="222"/>
      <c r="F859" s="222"/>
      <c r="G859" s="222"/>
      <c r="H859" s="222"/>
      <c r="I859" s="22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customFormat="false" ht="15.75" hidden="false" customHeight="true" outlineLevel="0" collapsed="false">
      <c r="A860" s="2"/>
      <c r="B860" s="2"/>
      <c r="C860" s="2"/>
      <c r="D860" s="222"/>
      <c r="E860" s="222"/>
      <c r="F860" s="222"/>
      <c r="G860" s="222"/>
      <c r="H860" s="222"/>
      <c r="I860" s="22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customFormat="false" ht="15.75" hidden="false" customHeight="true" outlineLevel="0" collapsed="false">
      <c r="A861" s="2"/>
      <c r="B861" s="2"/>
      <c r="C861" s="2"/>
      <c r="D861" s="222"/>
      <c r="E861" s="222"/>
      <c r="F861" s="222"/>
      <c r="G861" s="222"/>
      <c r="H861" s="222"/>
      <c r="I861" s="22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customFormat="false" ht="15.75" hidden="false" customHeight="true" outlineLevel="0" collapsed="false">
      <c r="A862" s="2"/>
      <c r="B862" s="2"/>
      <c r="C862" s="2"/>
      <c r="D862" s="222"/>
      <c r="E862" s="222"/>
      <c r="F862" s="222"/>
      <c r="G862" s="222"/>
      <c r="H862" s="222"/>
      <c r="I862" s="22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customFormat="false" ht="15.75" hidden="false" customHeight="true" outlineLevel="0" collapsed="false">
      <c r="A863" s="2"/>
      <c r="B863" s="2"/>
      <c r="C863" s="2"/>
      <c r="D863" s="222"/>
      <c r="E863" s="222"/>
      <c r="F863" s="222"/>
      <c r="G863" s="222"/>
      <c r="H863" s="222"/>
      <c r="I863" s="22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customFormat="false" ht="15.75" hidden="false" customHeight="true" outlineLevel="0" collapsed="false">
      <c r="A864" s="2"/>
      <c r="B864" s="2"/>
      <c r="C864" s="2"/>
      <c r="D864" s="222"/>
      <c r="E864" s="222"/>
      <c r="F864" s="222"/>
      <c r="G864" s="222"/>
      <c r="H864" s="222"/>
      <c r="I864" s="22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customFormat="false" ht="15.75" hidden="false" customHeight="true" outlineLevel="0" collapsed="false">
      <c r="A865" s="2"/>
      <c r="B865" s="2"/>
      <c r="C865" s="2"/>
      <c r="D865" s="222"/>
      <c r="E865" s="222"/>
      <c r="F865" s="222"/>
      <c r="G865" s="222"/>
      <c r="H865" s="222"/>
      <c r="I865" s="22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customFormat="false" ht="15.75" hidden="false" customHeight="true" outlineLevel="0" collapsed="false">
      <c r="A866" s="2"/>
      <c r="B866" s="2"/>
      <c r="C866" s="2"/>
      <c r="D866" s="222"/>
      <c r="E866" s="222"/>
      <c r="F866" s="222"/>
      <c r="G866" s="222"/>
      <c r="H866" s="222"/>
      <c r="I866" s="22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customFormat="false" ht="15.75" hidden="false" customHeight="true" outlineLevel="0" collapsed="false">
      <c r="A867" s="2"/>
      <c r="B867" s="2"/>
      <c r="C867" s="2"/>
      <c r="D867" s="222"/>
      <c r="E867" s="222"/>
      <c r="F867" s="222"/>
      <c r="G867" s="222"/>
      <c r="H867" s="222"/>
      <c r="I867" s="22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customFormat="false" ht="15.75" hidden="false" customHeight="true" outlineLevel="0" collapsed="false">
      <c r="A868" s="2"/>
      <c r="B868" s="2"/>
      <c r="C868" s="2"/>
      <c r="D868" s="222"/>
      <c r="E868" s="222"/>
      <c r="F868" s="222"/>
      <c r="G868" s="222"/>
      <c r="H868" s="222"/>
      <c r="I868" s="22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customFormat="false" ht="15.75" hidden="false" customHeight="true" outlineLevel="0" collapsed="false">
      <c r="A869" s="2"/>
      <c r="B869" s="2"/>
      <c r="C869" s="2"/>
      <c r="D869" s="222"/>
      <c r="E869" s="222"/>
      <c r="F869" s="222"/>
      <c r="G869" s="222"/>
      <c r="H869" s="222"/>
      <c r="I869" s="22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customFormat="false" ht="15.75" hidden="false" customHeight="true" outlineLevel="0" collapsed="false">
      <c r="A870" s="2"/>
      <c r="B870" s="2"/>
      <c r="C870" s="2"/>
      <c r="D870" s="222"/>
      <c r="E870" s="222"/>
      <c r="F870" s="222"/>
      <c r="G870" s="222"/>
      <c r="H870" s="222"/>
      <c r="I870" s="22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customFormat="false" ht="15.75" hidden="false" customHeight="true" outlineLevel="0" collapsed="false">
      <c r="A871" s="2"/>
      <c r="B871" s="2"/>
      <c r="C871" s="2"/>
      <c r="D871" s="222"/>
      <c r="E871" s="222"/>
      <c r="F871" s="222"/>
      <c r="G871" s="222"/>
      <c r="H871" s="222"/>
      <c r="I871" s="22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customFormat="false" ht="15.75" hidden="false" customHeight="true" outlineLevel="0" collapsed="false">
      <c r="A872" s="2"/>
      <c r="B872" s="2"/>
      <c r="C872" s="2"/>
      <c r="D872" s="222"/>
      <c r="E872" s="222"/>
      <c r="F872" s="222"/>
      <c r="G872" s="222"/>
      <c r="H872" s="222"/>
      <c r="I872" s="22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customFormat="false" ht="15.75" hidden="false" customHeight="true" outlineLevel="0" collapsed="false">
      <c r="A873" s="2"/>
      <c r="B873" s="2"/>
      <c r="C873" s="2"/>
      <c r="D873" s="222"/>
      <c r="E873" s="222"/>
      <c r="F873" s="222"/>
      <c r="G873" s="222"/>
      <c r="H873" s="222"/>
      <c r="I873" s="22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customFormat="false" ht="15.75" hidden="false" customHeight="true" outlineLevel="0" collapsed="false">
      <c r="A874" s="2"/>
      <c r="B874" s="2"/>
      <c r="C874" s="2"/>
      <c r="D874" s="222"/>
      <c r="E874" s="222"/>
      <c r="F874" s="222"/>
      <c r="G874" s="222"/>
      <c r="H874" s="222"/>
      <c r="I874" s="22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customFormat="false" ht="15.75" hidden="false" customHeight="true" outlineLevel="0" collapsed="false">
      <c r="A875" s="2"/>
      <c r="B875" s="2"/>
      <c r="C875" s="2"/>
      <c r="D875" s="222"/>
      <c r="E875" s="222"/>
      <c r="F875" s="222"/>
      <c r="G875" s="222"/>
      <c r="H875" s="222"/>
      <c r="I875" s="22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customFormat="false" ht="15.75" hidden="false" customHeight="true" outlineLevel="0" collapsed="false">
      <c r="A876" s="2"/>
      <c r="B876" s="2"/>
      <c r="C876" s="2"/>
      <c r="D876" s="222"/>
      <c r="E876" s="222"/>
      <c r="F876" s="222"/>
      <c r="G876" s="222"/>
      <c r="H876" s="222"/>
      <c r="I876" s="22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customFormat="false" ht="15.75" hidden="false" customHeight="true" outlineLevel="0" collapsed="false">
      <c r="A877" s="2"/>
      <c r="B877" s="2"/>
      <c r="C877" s="2"/>
      <c r="D877" s="222"/>
      <c r="E877" s="222"/>
      <c r="F877" s="222"/>
      <c r="G877" s="222"/>
      <c r="H877" s="222"/>
      <c r="I877" s="22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customFormat="false" ht="15.75" hidden="false" customHeight="true" outlineLevel="0" collapsed="false">
      <c r="A878" s="2"/>
      <c r="B878" s="2"/>
      <c r="C878" s="2"/>
      <c r="D878" s="222"/>
      <c r="E878" s="222"/>
      <c r="F878" s="222"/>
      <c r="G878" s="222"/>
      <c r="H878" s="222"/>
      <c r="I878" s="22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customFormat="false" ht="15.75" hidden="false" customHeight="true" outlineLevel="0" collapsed="false">
      <c r="A879" s="2"/>
      <c r="B879" s="2"/>
      <c r="C879" s="2"/>
      <c r="D879" s="222"/>
      <c r="E879" s="222"/>
      <c r="F879" s="222"/>
      <c r="G879" s="222"/>
      <c r="H879" s="222"/>
      <c r="I879" s="22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customFormat="false" ht="15.75" hidden="false" customHeight="true" outlineLevel="0" collapsed="false">
      <c r="A880" s="2"/>
      <c r="B880" s="2"/>
      <c r="C880" s="2"/>
      <c r="D880" s="222"/>
      <c r="E880" s="222"/>
      <c r="F880" s="222"/>
      <c r="G880" s="222"/>
      <c r="H880" s="222"/>
      <c r="I880" s="22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customFormat="false" ht="15.75" hidden="false" customHeight="true" outlineLevel="0" collapsed="false">
      <c r="A881" s="2"/>
      <c r="B881" s="2"/>
      <c r="C881" s="2"/>
      <c r="D881" s="222"/>
      <c r="E881" s="222"/>
      <c r="F881" s="222"/>
      <c r="G881" s="222"/>
      <c r="H881" s="222"/>
      <c r="I881" s="22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customFormat="false" ht="15.75" hidden="false" customHeight="true" outlineLevel="0" collapsed="false">
      <c r="A882" s="2"/>
      <c r="B882" s="2"/>
      <c r="C882" s="2"/>
      <c r="D882" s="222"/>
      <c r="E882" s="222"/>
      <c r="F882" s="222"/>
      <c r="G882" s="222"/>
      <c r="H882" s="222"/>
      <c r="I882" s="22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customFormat="false" ht="15.75" hidden="false" customHeight="true" outlineLevel="0" collapsed="false">
      <c r="A883" s="2"/>
      <c r="B883" s="2"/>
      <c r="C883" s="2"/>
      <c r="D883" s="222"/>
      <c r="E883" s="222"/>
      <c r="F883" s="222"/>
      <c r="G883" s="222"/>
      <c r="H883" s="222"/>
      <c r="I883" s="22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customFormat="false" ht="15.75" hidden="false" customHeight="true" outlineLevel="0" collapsed="false">
      <c r="A884" s="2"/>
      <c r="B884" s="2"/>
      <c r="C884" s="2"/>
      <c r="D884" s="222"/>
      <c r="E884" s="222"/>
      <c r="F884" s="222"/>
      <c r="G884" s="222"/>
      <c r="H884" s="222"/>
      <c r="I884" s="22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customFormat="false" ht="15.75" hidden="false" customHeight="true" outlineLevel="0" collapsed="false">
      <c r="A885" s="2"/>
      <c r="B885" s="2"/>
      <c r="C885" s="2"/>
      <c r="D885" s="222"/>
      <c r="E885" s="222"/>
      <c r="F885" s="222"/>
      <c r="G885" s="222"/>
      <c r="H885" s="222"/>
      <c r="I885" s="22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customFormat="false" ht="15.75" hidden="false" customHeight="true" outlineLevel="0" collapsed="false">
      <c r="A886" s="2"/>
      <c r="B886" s="2"/>
      <c r="C886" s="2"/>
      <c r="D886" s="222"/>
      <c r="E886" s="222"/>
      <c r="F886" s="222"/>
      <c r="G886" s="222"/>
      <c r="H886" s="222"/>
      <c r="I886" s="22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customFormat="false" ht="15.75" hidden="false" customHeight="true" outlineLevel="0" collapsed="false">
      <c r="A887" s="2"/>
      <c r="B887" s="2"/>
      <c r="C887" s="2"/>
      <c r="D887" s="222"/>
      <c r="E887" s="222"/>
      <c r="F887" s="222"/>
      <c r="G887" s="222"/>
      <c r="H887" s="222"/>
      <c r="I887" s="22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customFormat="false" ht="15.75" hidden="false" customHeight="true" outlineLevel="0" collapsed="false">
      <c r="A888" s="2"/>
      <c r="B888" s="2"/>
      <c r="C888" s="2"/>
      <c r="D888" s="222"/>
      <c r="E888" s="222"/>
      <c r="F888" s="222"/>
      <c r="G888" s="222"/>
      <c r="H888" s="222"/>
      <c r="I888" s="22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customFormat="false" ht="15.75" hidden="false" customHeight="true" outlineLevel="0" collapsed="false">
      <c r="A889" s="2"/>
      <c r="B889" s="2"/>
      <c r="C889" s="2"/>
      <c r="D889" s="222"/>
      <c r="E889" s="222"/>
      <c r="F889" s="222"/>
      <c r="G889" s="222"/>
      <c r="H889" s="222"/>
      <c r="I889" s="22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customFormat="false" ht="15.75" hidden="false" customHeight="true" outlineLevel="0" collapsed="false">
      <c r="A890" s="2"/>
      <c r="B890" s="2"/>
      <c r="C890" s="2"/>
      <c r="D890" s="222"/>
      <c r="E890" s="222"/>
      <c r="F890" s="222"/>
      <c r="G890" s="222"/>
      <c r="H890" s="222"/>
      <c r="I890" s="22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customFormat="false" ht="15.75" hidden="false" customHeight="true" outlineLevel="0" collapsed="false">
      <c r="A891" s="2"/>
      <c r="B891" s="2"/>
      <c r="C891" s="2"/>
      <c r="D891" s="222"/>
      <c r="E891" s="222"/>
      <c r="F891" s="222"/>
      <c r="G891" s="222"/>
      <c r="H891" s="222"/>
      <c r="I891" s="22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customFormat="false" ht="15.75" hidden="false" customHeight="true" outlineLevel="0" collapsed="false">
      <c r="A892" s="2"/>
      <c r="B892" s="2"/>
      <c r="C892" s="2"/>
      <c r="D892" s="222"/>
      <c r="E892" s="222"/>
      <c r="F892" s="222"/>
      <c r="G892" s="222"/>
      <c r="H892" s="222"/>
      <c r="I892" s="22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customFormat="false" ht="15.75" hidden="false" customHeight="true" outlineLevel="0" collapsed="false">
      <c r="A893" s="2"/>
      <c r="B893" s="2"/>
      <c r="C893" s="2"/>
      <c r="D893" s="222"/>
      <c r="E893" s="222"/>
      <c r="F893" s="222"/>
      <c r="G893" s="222"/>
      <c r="H893" s="222"/>
      <c r="I893" s="22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customFormat="false" ht="15.75" hidden="false" customHeight="true" outlineLevel="0" collapsed="false">
      <c r="A894" s="2"/>
      <c r="B894" s="2"/>
      <c r="C894" s="2"/>
      <c r="D894" s="222"/>
      <c r="E894" s="222"/>
      <c r="F894" s="222"/>
      <c r="G894" s="222"/>
      <c r="H894" s="222"/>
      <c r="I894" s="22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customFormat="false" ht="15.75" hidden="false" customHeight="true" outlineLevel="0" collapsed="false">
      <c r="A895" s="2"/>
      <c r="B895" s="2"/>
      <c r="C895" s="2"/>
      <c r="D895" s="222"/>
      <c r="E895" s="222"/>
      <c r="F895" s="222"/>
      <c r="G895" s="222"/>
      <c r="H895" s="222"/>
      <c r="I895" s="22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customFormat="false" ht="15.75" hidden="false" customHeight="true" outlineLevel="0" collapsed="false">
      <c r="A896" s="2"/>
      <c r="B896" s="2"/>
      <c r="C896" s="2"/>
      <c r="D896" s="222"/>
      <c r="E896" s="222"/>
      <c r="F896" s="222"/>
      <c r="G896" s="222"/>
      <c r="H896" s="222"/>
      <c r="I896" s="22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customFormat="false" ht="15.75" hidden="false" customHeight="true" outlineLevel="0" collapsed="false">
      <c r="A897" s="2"/>
      <c r="B897" s="2"/>
      <c r="C897" s="2"/>
      <c r="D897" s="222"/>
      <c r="E897" s="222"/>
      <c r="F897" s="222"/>
      <c r="G897" s="222"/>
      <c r="H897" s="222"/>
      <c r="I897" s="22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customFormat="false" ht="15.75" hidden="false" customHeight="true" outlineLevel="0" collapsed="false">
      <c r="A898" s="2"/>
      <c r="B898" s="2"/>
      <c r="C898" s="2"/>
      <c r="D898" s="222"/>
      <c r="E898" s="222"/>
      <c r="F898" s="222"/>
      <c r="G898" s="222"/>
      <c r="H898" s="222"/>
      <c r="I898" s="22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customFormat="false" ht="15.75" hidden="false" customHeight="true" outlineLevel="0" collapsed="false">
      <c r="A899" s="2"/>
      <c r="B899" s="2"/>
      <c r="C899" s="2"/>
      <c r="D899" s="222"/>
      <c r="E899" s="222"/>
      <c r="F899" s="222"/>
      <c r="G899" s="222"/>
      <c r="H899" s="222"/>
      <c r="I899" s="22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customFormat="false" ht="15.75" hidden="false" customHeight="true" outlineLevel="0" collapsed="false">
      <c r="A900" s="2"/>
      <c r="B900" s="2"/>
      <c r="C900" s="2"/>
      <c r="D900" s="222"/>
      <c r="E900" s="222"/>
      <c r="F900" s="222"/>
      <c r="G900" s="222"/>
      <c r="H900" s="222"/>
      <c r="I900" s="22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customFormat="false" ht="15.75" hidden="false" customHeight="true" outlineLevel="0" collapsed="false">
      <c r="A901" s="2"/>
      <c r="B901" s="2"/>
      <c r="C901" s="2"/>
      <c r="D901" s="222"/>
      <c r="E901" s="222"/>
      <c r="F901" s="222"/>
      <c r="G901" s="222"/>
      <c r="H901" s="222"/>
      <c r="I901" s="22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customFormat="false" ht="15.75" hidden="false" customHeight="true" outlineLevel="0" collapsed="false">
      <c r="A902" s="2"/>
      <c r="B902" s="2"/>
      <c r="C902" s="2"/>
      <c r="D902" s="222"/>
      <c r="E902" s="222"/>
      <c r="F902" s="222"/>
      <c r="G902" s="222"/>
      <c r="H902" s="222"/>
      <c r="I902" s="22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customFormat="false" ht="15.75" hidden="false" customHeight="true" outlineLevel="0" collapsed="false">
      <c r="A903" s="2"/>
      <c r="B903" s="2"/>
      <c r="C903" s="2"/>
      <c r="D903" s="222"/>
      <c r="E903" s="222"/>
      <c r="F903" s="222"/>
      <c r="G903" s="222"/>
      <c r="H903" s="222"/>
      <c r="I903" s="22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customFormat="false" ht="15.75" hidden="false" customHeight="true" outlineLevel="0" collapsed="false">
      <c r="A904" s="2"/>
      <c r="B904" s="2"/>
      <c r="C904" s="2"/>
      <c r="D904" s="222"/>
      <c r="E904" s="222"/>
      <c r="F904" s="222"/>
      <c r="G904" s="222"/>
      <c r="H904" s="222"/>
      <c r="I904" s="22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customFormat="false" ht="15.75" hidden="false" customHeight="true" outlineLevel="0" collapsed="false">
      <c r="A905" s="2"/>
      <c r="B905" s="2"/>
      <c r="C905" s="2"/>
      <c r="D905" s="222"/>
      <c r="E905" s="222"/>
      <c r="F905" s="222"/>
      <c r="G905" s="222"/>
      <c r="H905" s="222"/>
      <c r="I905" s="22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customFormat="false" ht="15.75" hidden="false" customHeight="true" outlineLevel="0" collapsed="false">
      <c r="A906" s="2"/>
      <c r="B906" s="2"/>
      <c r="C906" s="2"/>
      <c r="D906" s="222"/>
      <c r="E906" s="222"/>
      <c r="F906" s="222"/>
      <c r="G906" s="222"/>
      <c r="H906" s="222"/>
      <c r="I906" s="22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customFormat="false" ht="15.75" hidden="false" customHeight="true" outlineLevel="0" collapsed="false">
      <c r="A907" s="2"/>
      <c r="B907" s="2"/>
      <c r="C907" s="2"/>
      <c r="D907" s="222"/>
      <c r="E907" s="222"/>
      <c r="F907" s="222"/>
      <c r="G907" s="222"/>
      <c r="H907" s="222"/>
      <c r="I907" s="22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customFormat="false" ht="15.75" hidden="false" customHeight="true" outlineLevel="0" collapsed="false">
      <c r="A908" s="2"/>
      <c r="B908" s="2"/>
      <c r="C908" s="2"/>
      <c r="D908" s="222"/>
      <c r="E908" s="222"/>
      <c r="F908" s="222"/>
      <c r="G908" s="222"/>
      <c r="H908" s="222"/>
      <c r="I908" s="22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customFormat="false" ht="15.75" hidden="false" customHeight="true" outlineLevel="0" collapsed="false">
      <c r="A909" s="2"/>
      <c r="B909" s="2"/>
      <c r="C909" s="2"/>
      <c r="D909" s="222"/>
      <c r="E909" s="222"/>
      <c r="F909" s="222"/>
      <c r="G909" s="222"/>
      <c r="H909" s="222"/>
      <c r="I909" s="22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customFormat="false" ht="15.75" hidden="false" customHeight="true" outlineLevel="0" collapsed="false">
      <c r="A910" s="2"/>
      <c r="B910" s="2"/>
      <c r="C910" s="2"/>
      <c r="D910" s="222"/>
      <c r="E910" s="222"/>
      <c r="F910" s="222"/>
      <c r="G910" s="222"/>
      <c r="H910" s="222"/>
      <c r="I910" s="22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customFormat="false" ht="15.75" hidden="false" customHeight="true" outlineLevel="0" collapsed="false">
      <c r="A911" s="2"/>
      <c r="B911" s="2"/>
      <c r="C911" s="2"/>
      <c r="D911" s="222"/>
      <c r="E911" s="222"/>
      <c r="F911" s="222"/>
      <c r="G911" s="222"/>
      <c r="H911" s="222"/>
      <c r="I911" s="22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customFormat="false" ht="15.75" hidden="false" customHeight="true" outlineLevel="0" collapsed="false">
      <c r="A912" s="2"/>
      <c r="B912" s="2"/>
      <c r="C912" s="2"/>
      <c r="D912" s="222"/>
      <c r="E912" s="222"/>
      <c r="F912" s="222"/>
      <c r="G912" s="222"/>
      <c r="H912" s="222"/>
      <c r="I912" s="22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customFormat="false" ht="15.75" hidden="false" customHeight="true" outlineLevel="0" collapsed="false">
      <c r="A913" s="2"/>
      <c r="B913" s="2"/>
      <c r="C913" s="2"/>
      <c r="D913" s="222"/>
      <c r="E913" s="222"/>
      <c r="F913" s="222"/>
      <c r="G913" s="222"/>
      <c r="H913" s="222"/>
      <c r="I913" s="22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customFormat="false" ht="15.75" hidden="false" customHeight="true" outlineLevel="0" collapsed="false">
      <c r="A914" s="2"/>
      <c r="B914" s="2"/>
      <c r="C914" s="2"/>
      <c r="D914" s="222"/>
      <c r="E914" s="222"/>
      <c r="F914" s="222"/>
      <c r="G914" s="222"/>
      <c r="H914" s="222"/>
      <c r="I914" s="22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customFormat="false" ht="15.75" hidden="false" customHeight="true" outlineLevel="0" collapsed="false">
      <c r="A915" s="2"/>
      <c r="B915" s="2"/>
      <c r="C915" s="2"/>
      <c r="D915" s="222"/>
      <c r="E915" s="222"/>
      <c r="F915" s="222"/>
      <c r="G915" s="222"/>
      <c r="H915" s="222"/>
      <c r="I915" s="22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customFormat="false" ht="15.75" hidden="false" customHeight="true" outlineLevel="0" collapsed="false">
      <c r="A916" s="2"/>
      <c r="B916" s="2"/>
      <c r="C916" s="2"/>
      <c r="D916" s="222"/>
      <c r="E916" s="222"/>
      <c r="F916" s="222"/>
      <c r="G916" s="222"/>
      <c r="H916" s="222"/>
      <c r="I916" s="22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customFormat="false" ht="15.75" hidden="false" customHeight="true" outlineLevel="0" collapsed="false">
      <c r="A917" s="2"/>
      <c r="B917" s="2"/>
      <c r="C917" s="2"/>
      <c r="D917" s="222"/>
      <c r="E917" s="222"/>
      <c r="F917" s="222"/>
      <c r="G917" s="222"/>
      <c r="H917" s="222"/>
      <c r="I917" s="22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customFormat="false" ht="15.75" hidden="false" customHeight="true" outlineLevel="0" collapsed="false">
      <c r="A918" s="2"/>
      <c r="B918" s="2"/>
      <c r="C918" s="2"/>
      <c r="D918" s="222"/>
      <c r="E918" s="222"/>
      <c r="F918" s="222"/>
      <c r="G918" s="222"/>
      <c r="H918" s="222"/>
      <c r="I918" s="22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customFormat="false" ht="15.75" hidden="false" customHeight="true" outlineLevel="0" collapsed="false">
      <c r="A919" s="2"/>
      <c r="B919" s="2"/>
      <c r="C919" s="2"/>
      <c r="D919" s="222"/>
      <c r="E919" s="222"/>
      <c r="F919" s="222"/>
      <c r="G919" s="222"/>
      <c r="H919" s="222"/>
      <c r="I919" s="22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customFormat="false" ht="15.75" hidden="false" customHeight="true" outlineLevel="0" collapsed="false">
      <c r="A920" s="2"/>
      <c r="B920" s="2"/>
      <c r="C920" s="2"/>
      <c r="D920" s="222"/>
      <c r="E920" s="222"/>
      <c r="F920" s="222"/>
      <c r="G920" s="222"/>
      <c r="H920" s="222"/>
      <c r="I920" s="22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customFormat="false" ht="15.75" hidden="false" customHeight="true" outlineLevel="0" collapsed="false">
      <c r="A921" s="2"/>
      <c r="B921" s="2"/>
      <c r="C921" s="2"/>
      <c r="D921" s="222"/>
      <c r="E921" s="222"/>
      <c r="F921" s="222"/>
      <c r="G921" s="222"/>
      <c r="H921" s="222"/>
      <c r="I921" s="22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customFormat="false" ht="15.75" hidden="false" customHeight="true" outlineLevel="0" collapsed="false">
      <c r="A922" s="2"/>
      <c r="B922" s="2"/>
      <c r="C922" s="2"/>
      <c r="D922" s="222"/>
      <c r="E922" s="222"/>
      <c r="F922" s="222"/>
      <c r="G922" s="222"/>
      <c r="H922" s="222"/>
      <c r="I922" s="22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customFormat="false" ht="15.75" hidden="false" customHeight="true" outlineLevel="0" collapsed="false">
      <c r="A923" s="2"/>
      <c r="B923" s="2"/>
      <c r="C923" s="2"/>
      <c r="D923" s="222"/>
      <c r="E923" s="222"/>
      <c r="F923" s="222"/>
      <c r="G923" s="222"/>
      <c r="H923" s="222"/>
      <c r="I923" s="22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customFormat="false" ht="15.75" hidden="false" customHeight="true" outlineLevel="0" collapsed="false">
      <c r="A924" s="2"/>
      <c r="B924" s="2"/>
      <c r="C924" s="2"/>
      <c r="D924" s="222"/>
      <c r="E924" s="222"/>
      <c r="F924" s="222"/>
      <c r="G924" s="222"/>
      <c r="H924" s="222"/>
      <c r="I924" s="22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customFormat="false" ht="15.75" hidden="false" customHeight="true" outlineLevel="0" collapsed="false">
      <c r="A925" s="2"/>
      <c r="B925" s="2"/>
      <c r="C925" s="2"/>
      <c r="D925" s="222"/>
      <c r="E925" s="222"/>
      <c r="F925" s="222"/>
      <c r="G925" s="222"/>
      <c r="H925" s="222"/>
      <c r="I925" s="22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customFormat="false" ht="15.75" hidden="false" customHeight="true" outlineLevel="0" collapsed="false">
      <c r="A926" s="2"/>
      <c r="B926" s="2"/>
      <c r="C926" s="2"/>
      <c r="D926" s="222"/>
      <c r="E926" s="222"/>
      <c r="F926" s="222"/>
      <c r="G926" s="222"/>
      <c r="H926" s="222"/>
      <c r="I926" s="22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customFormat="false" ht="15.75" hidden="false" customHeight="true" outlineLevel="0" collapsed="false">
      <c r="A927" s="2"/>
      <c r="B927" s="2"/>
      <c r="C927" s="2"/>
      <c r="D927" s="222"/>
      <c r="E927" s="222"/>
      <c r="F927" s="222"/>
      <c r="G927" s="222"/>
      <c r="H927" s="222"/>
      <c r="I927" s="22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customFormat="false" ht="15.75" hidden="false" customHeight="true" outlineLevel="0" collapsed="false">
      <c r="A928" s="2"/>
      <c r="B928" s="2"/>
      <c r="C928" s="2"/>
      <c r="D928" s="222"/>
      <c r="E928" s="222"/>
      <c r="F928" s="222"/>
      <c r="G928" s="222"/>
      <c r="H928" s="222"/>
      <c r="I928" s="22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customFormat="false" ht="15.75" hidden="false" customHeight="true" outlineLevel="0" collapsed="false">
      <c r="A929" s="2"/>
      <c r="B929" s="2"/>
      <c r="C929" s="2"/>
      <c r="D929" s="222"/>
      <c r="E929" s="222"/>
      <c r="F929" s="222"/>
      <c r="G929" s="222"/>
      <c r="H929" s="222"/>
      <c r="I929" s="22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customFormat="false" ht="15.75" hidden="false" customHeight="true" outlineLevel="0" collapsed="false">
      <c r="A930" s="2"/>
      <c r="B930" s="2"/>
      <c r="C930" s="2"/>
      <c r="D930" s="222"/>
      <c r="E930" s="222"/>
      <c r="F930" s="222"/>
      <c r="G930" s="222"/>
      <c r="H930" s="222"/>
      <c r="I930" s="22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customFormat="false" ht="15.75" hidden="false" customHeight="true" outlineLevel="0" collapsed="false">
      <c r="A931" s="2"/>
      <c r="B931" s="2"/>
      <c r="C931" s="2"/>
      <c r="D931" s="222"/>
      <c r="E931" s="222"/>
      <c r="F931" s="222"/>
      <c r="G931" s="222"/>
      <c r="H931" s="222"/>
      <c r="I931" s="22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customFormat="false" ht="15.75" hidden="false" customHeight="true" outlineLevel="0" collapsed="false">
      <c r="A932" s="2"/>
      <c r="B932" s="2"/>
      <c r="C932" s="2"/>
      <c r="D932" s="222"/>
      <c r="E932" s="222"/>
      <c r="F932" s="222"/>
      <c r="G932" s="222"/>
      <c r="H932" s="222"/>
      <c r="I932" s="22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customFormat="false" ht="15.75" hidden="false" customHeight="true" outlineLevel="0" collapsed="false">
      <c r="A933" s="2"/>
      <c r="B933" s="2"/>
      <c r="C933" s="2"/>
      <c r="D933" s="222"/>
      <c r="E933" s="222"/>
      <c r="F933" s="222"/>
      <c r="G933" s="222"/>
      <c r="H933" s="222"/>
      <c r="I933" s="22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customFormat="false" ht="15.75" hidden="false" customHeight="true" outlineLevel="0" collapsed="false">
      <c r="A934" s="2"/>
      <c r="B934" s="2"/>
      <c r="C934" s="2"/>
      <c r="D934" s="222"/>
      <c r="E934" s="222"/>
      <c r="F934" s="222"/>
      <c r="G934" s="222"/>
      <c r="H934" s="222"/>
      <c r="I934" s="22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customFormat="false" ht="15.75" hidden="false" customHeight="true" outlineLevel="0" collapsed="false">
      <c r="A935" s="2"/>
      <c r="B935" s="2"/>
      <c r="C935" s="2"/>
      <c r="D935" s="222"/>
      <c r="E935" s="222"/>
      <c r="F935" s="222"/>
      <c r="G935" s="222"/>
      <c r="H935" s="222"/>
      <c r="I935" s="22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customFormat="false" ht="15.75" hidden="false" customHeight="true" outlineLevel="0" collapsed="false">
      <c r="A936" s="2"/>
      <c r="B936" s="2"/>
      <c r="C936" s="2"/>
      <c r="D936" s="222"/>
      <c r="E936" s="222"/>
      <c r="F936" s="222"/>
      <c r="G936" s="222"/>
      <c r="H936" s="222"/>
      <c r="I936" s="22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customFormat="false" ht="15.75" hidden="false" customHeight="true" outlineLevel="0" collapsed="false">
      <c r="A937" s="2"/>
      <c r="B937" s="2"/>
      <c r="C937" s="2"/>
      <c r="D937" s="222"/>
      <c r="E937" s="222"/>
      <c r="F937" s="222"/>
      <c r="G937" s="222"/>
      <c r="H937" s="222"/>
      <c r="I937" s="22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customFormat="false" ht="15.75" hidden="false" customHeight="true" outlineLevel="0" collapsed="false">
      <c r="A938" s="2"/>
      <c r="B938" s="2"/>
      <c r="C938" s="2"/>
      <c r="D938" s="222"/>
      <c r="E938" s="222"/>
      <c r="F938" s="222"/>
      <c r="G938" s="222"/>
      <c r="H938" s="222"/>
      <c r="I938" s="22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customFormat="false" ht="15.75" hidden="false" customHeight="true" outlineLevel="0" collapsed="false">
      <c r="A939" s="2"/>
      <c r="B939" s="2"/>
      <c r="C939" s="2"/>
      <c r="D939" s="222"/>
      <c r="E939" s="222"/>
      <c r="F939" s="222"/>
      <c r="G939" s="222"/>
      <c r="H939" s="222"/>
      <c r="I939" s="22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customFormat="false" ht="15.75" hidden="false" customHeight="true" outlineLevel="0" collapsed="false">
      <c r="A940" s="2"/>
      <c r="B940" s="2"/>
      <c r="C940" s="2"/>
      <c r="D940" s="222"/>
      <c r="E940" s="222"/>
      <c r="F940" s="222"/>
      <c r="G940" s="222"/>
      <c r="H940" s="222"/>
      <c r="I940" s="22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customFormat="false" ht="15.75" hidden="false" customHeight="true" outlineLevel="0" collapsed="false">
      <c r="A941" s="2"/>
      <c r="B941" s="2"/>
      <c r="C941" s="2"/>
      <c r="D941" s="222"/>
      <c r="E941" s="222"/>
      <c r="F941" s="222"/>
      <c r="G941" s="222"/>
      <c r="H941" s="222"/>
      <c r="I941" s="22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customFormat="false" ht="15.75" hidden="false" customHeight="true" outlineLevel="0" collapsed="false">
      <c r="A942" s="2"/>
      <c r="B942" s="2"/>
      <c r="C942" s="2"/>
      <c r="D942" s="222"/>
      <c r="E942" s="222"/>
      <c r="F942" s="222"/>
      <c r="G942" s="222"/>
      <c r="H942" s="222"/>
      <c r="I942" s="22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customFormat="false" ht="15.75" hidden="false" customHeight="true" outlineLevel="0" collapsed="false">
      <c r="A943" s="2"/>
      <c r="B943" s="2"/>
      <c r="C943" s="2"/>
      <c r="D943" s="222"/>
      <c r="E943" s="222"/>
      <c r="F943" s="222"/>
      <c r="G943" s="222"/>
      <c r="H943" s="222"/>
      <c r="I943" s="22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customFormat="false" ht="15.75" hidden="false" customHeight="true" outlineLevel="0" collapsed="false">
      <c r="A944" s="2"/>
      <c r="B944" s="2"/>
      <c r="C944" s="2"/>
      <c r="D944" s="222"/>
      <c r="E944" s="222"/>
      <c r="F944" s="222"/>
      <c r="G944" s="222"/>
      <c r="H944" s="222"/>
      <c r="I944" s="22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customFormat="false" ht="15.75" hidden="false" customHeight="true" outlineLevel="0" collapsed="false">
      <c r="A945" s="2"/>
      <c r="B945" s="2"/>
      <c r="C945" s="2"/>
      <c r="D945" s="222"/>
      <c r="E945" s="222"/>
      <c r="F945" s="222"/>
      <c r="G945" s="222"/>
      <c r="H945" s="222"/>
      <c r="I945" s="22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customFormat="false" ht="15.75" hidden="false" customHeight="true" outlineLevel="0" collapsed="false">
      <c r="A946" s="2"/>
      <c r="B946" s="2"/>
      <c r="C946" s="2"/>
      <c r="D946" s="222"/>
      <c r="E946" s="222"/>
      <c r="F946" s="222"/>
      <c r="G946" s="222"/>
      <c r="H946" s="222"/>
      <c r="I946" s="22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customFormat="false" ht="15.75" hidden="false" customHeight="true" outlineLevel="0" collapsed="false">
      <c r="A947" s="2"/>
      <c r="B947" s="2"/>
      <c r="C947" s="2"/>
      <c r="D947" s="222"/>
      <c r="E947" s="222"/>
      <c r="F947" s="222"/>
      <c r="G947" s="222"/>
      <c r="H947" s="222"/>
      <c r="I947" s="22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customFormat="false" ht="15.75" hidden="false" customHeight="true" outlineLevel="0" collapsed="false">
      <c r="A948" s="2"/>
      <c r="B948" s="2"/>
      <c r="C948" s="2"/>
      <c r="D948" s="222"/>
      <c r="E948" s="222"/>
      <c r="F948" s="222"/>
      <c r="G948" s="222"/>
      <c r="H948" s="222"/>
      <c r="I948" s="22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customFormat="false" ht="15.75" hidden="false" customHeight="true" outlineLevel="0" collapsed="false">
      <c r="A949" s="2"/>
      <c r="B949" s="2"/>
      <c r="C949" s="2"/>
      <c r="D949" s="222"/>
      <c r="E949" s="222"/>
      <c r="F949" s="222"/>
      <c r="G949" s="222"/>
      <c r="H949" s="222"/>
      <c r="I949" s="22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customFormat="false" ht="15.75" hidden="false" customHeight="true" outlineLevel="0" collapsed="false">
      <c r="A950" s="2"/>
      <c r="B950" s="2"/>
      <c r="C950" s="2"/>
      <c r="D950" s="222"/>
      <c r="E950" s="222"/>
      <c r="F950" s="222"/>
      <c r="G950" s="222"/>
      <c r="H950" s="222"/>
      <c r="I950" s="22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customFormat="false" ht="15.75" hidden="false" customHeight="true" outlineLevel="0" collapsed="false">
      <c r="A951" s="2"/>
      <c r="B951" s="2"/>
      <c r="C951" s="2"/>
      <c r="D951" s="222"/>
      <c r="E951" s="222"/>
      <c r="F951" s="222"/>
      <c r="G951" s="222"/>
      <c r="H951" s="222"/>
      <c r="I951" s="22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customFormat="false" ht="15.75" hidden="false" customHeight="true" outlineLevel="0" collapsed="false">
      <c r="A952" s="2"/>
      <c r="B952" s="2"/>
      <c r="C952" s="2"/>
      <c r="D952" s="222"/>
      <c r="E952" s="222"/>
      <c r="F952" s="222"/>
      <c r="G952" s="222"/>
      <c r="H952" s="222"/>
      <c r="I952" s="22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customFormat="false" ht="15.75" hidden="false" customHeight="true" outlineLevel="0" collapsed="false">
      <c r="A953" s="2"/>
      <c r="B953" s="2"/>
      <c r="C953" s="2"/>
      <c r="D953" s="222"/>
      <c r="E953" s="222"/>
      <c r="F953" s="222"/>
      <c r="G953" s="222"/>
      <c r="H953" s="222"/>
      <c r="I953" s="22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customFormat="false" ht="15.75" hidden="false" customHeight="true" outlineLevel="0" collapsed="false">
      <c r="A954" s="2"/>
      <c r="B954" s="2"/>
      <c r="C954" s="2"/>
      <c r="D954" s="222"/>
      <c r="E954" s="222"/>
      <c r="F954" s="222"/>
      <c r="G954" s="222"/>
      <c r="H954" s="222"/>
      <c r="I954" s="22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customFormat="false" ht="15.75" hidden="false" customHeight="true" outlineLevel="0" collapsed="false">
      <c r="A955" s="2"/>
      <c r="B955" s="2"/>
      <c r="C955" s="2"/>
      <c r="D955" s="222"/>
      <c r="E955" s="222"/>
      <c r="F955" s="222"/>
      <c r="G955" s="222"/>
      <c r="H955" s="222"/>
      <c r="I955" s="22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customFormat="false" ht="15.75" hidden="false" customHeight="true" outlineLevel="0" collapsed="false">
      <c r="A956" s="2"/>
      <c r="B956" s="2"/>
      <c r="C956" s="2"/>
      <c r="D956" s="222"/>
      <c r="E956" s="222"/>
      <c r="F956" s="222"/>
      <c r="G956" s="222"/>
      <c r="H956" s="222"/>
      <c r="I956" s="22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customFormat="false" ht="15.75" hidden="false" customHeight="true" outlineLevel="0" collapsed="false">
      <c r="A957" s="2"/>
      <c r="B957" s="2"/>
      <c r="C957" s="2"/>
      <c r="D957" s="222"/>
      <c r="E957" s="222"/>
      <c r="F957" s="222"/>
      <c r="G957" s="222"/>
      <c r="H957" s="222"/>
      <c r="I957" s="22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customFormat="false" ht="15.75" hidden="false" customHeight="true" outlineLevel="0" collapsed="false">
      <c r="A958" s="2"/>
      <c r="B958" s="2"/>
      <c r="C958" s="2"/>
      <c r="D958" s="222"/>
      <c r="E958" s="222"/>
      <c r="F958" s="222"/>
      <c r="G958" s="222"/>
      <c r="H958" s="222"/>
      <c r="I958" s="22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customFormat="false" ht="15.75" hidden="false" customHeight="true" outlineLevel="0" collapsed="false">
      <c r="A959" s="2"/>
      <c r="B959" s="2"/>
      <c r="C959" s="2"/>
      <c r="D959" s="222"/>
      <c r="E959" s="222"/>
      <c r="F959" s="222"/>
      <c r="G959" s="222"/>
      <c r="H959" s="222"/>
      <c r="I959" s="22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customFormat="false" ht="15.75" hidden="false" customHeight="true" outlineLevel="0" collapsed="false">
      <c r="A960" s="2"/>
      <c r="B960" s="2"/>
      <c r="C960" s="2"/>
      <c r="D960" s="222"/>
      <c r="E960" s="222"/>
      <c r="F960" s="222"/>
      <c r="G960" s="222"/>
      <c r="H960" s="222"/>
      <c r="I960" s="22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customFormat="false" ht="15.75" hidden="false" customHeight="true" outlineLevel="0" collapsed="false">
      <c r="A961" s="2"/>
      <c r="B961" s="2"/>
      <c r="C961" s="2"/>
      <c r="D961" s="222"/>
      <c r="E961" s="222"/>
      <c r="F961" s="222"/>
      <c r="G961" s="222"/>
      <c r="H961" s="222"/>
      <c r="I961" s="22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customFormat="false" ht="15.75" hidden="false" customHeight="true" outlineLevel="0" collapsed="false">
      <c r="A962" s="2"/>
      <c r="B962" s="2"/>
      <c r="C962" s="2"/>
      <c r="D962" s="222"/>
      <c r="E962" s="222"/>
      <c r="F962" s="222"/>
      <c r="G962" s="222"/>
      <c r="H962" s="222"/>
      <c r="I962" s="22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customFormat="false" ht="15.75" hidden="false" customHeight="true" outlineLevel="0" collapsed="false">
      <c r="A963" s="2"/>
      <c r="B963" s="2"/>
      <c r="C963" s="2"/>
      <c r="D963" s="222"/>
      <c r="E963" s="222"/>
      <c r="F963" s="222"/>
      <c r="G963" s="222"/>
      <c r="H963" s="222"/>
      <c r="I963" s="22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customFormat="false" ht="15.75" hidden="false" customHeight="true" outlineLevel="0" collapsed="false">
      <c r="A964" s="2"/>
      <c r="B964" s="2"/>
      <c r="C964" s="2"/>
      <c r="D964" s="222"/>
      <c r="E964" s="222"/>
      <c r="F964" s="222"/>
      <c r="G964" s="222"/>
      <c r="H964" s="222"/>
      <c r="I964" s="22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customFormat="false" ht="15.75" hidden="false" customHeight="true" outlineLevel="0" collapsed="false">
      <c r="A965" s="2"/>
      <c r="B965" s="2"/>
      <c r="C965" s="2"/>
      <c r="D965" s="222"/>
      <c r="E965" s="222"/>
      <c r="F965" s="222"/>
      <c r="G965" s="222"/>
      <c r="H965" s="222"/>
      <c r="I965" s="22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customFormat="false" ht="15.75" hidden="false" customHeight="true" outlineLevel="0" collapsed="false">
      <c r="A966" s="2"/>
      <c r="B966" s="2"/>
      <c r="C966" s="2"/>
      <c r="D966" s="222"/>
      <c r="E966" s="222"/>
      <c r="F966" s="222"/>
      <c r="G966" s="222"/>
      <c r="H966" s="222"/>
      <c r="I966" s="22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customFormat="false" ht="15.75" hidden="false" customHeight="true" outlineLevel="0" collapsed="false">
      <c r="A967" s="2"/>
      <c r="B967" s="2"/>
      <c r="C967" s="2"/>
      <c r="D967" s="222"/>
      <c r="E967" s="222"/>
      <c r="F967" s="222"/>
      <c r="G967" s="222"/>
      <c r="H967" s="222"/>
      <c r="I967" s="22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customFormat="false" ht="15.75" hidden="false" customHeight="true" outlineLevel="0" collapsed="false">
      <c r="A968" s="2"/>
      <c r="B968" s="2"/>
      <c r="C968" s="2"/>
      <c r="D968" s="222"/>
      <c r="E968" s="222"/>
      <c r="F968" s="222"/>
      <c r="G968" s="222"/>
      <c r="H968" s="222"/>
      <c r="I968" s="22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customFormat="false" ht="15.75" hidden="false" customHeight="true" outlineLevel="0" collapsed="false">
      <c r="A969" s="2"/>
      <c r="B969" s="2"/>
      <c r="C969" s="2"/>
      <c r="D969" s="222"/>
      <c r="E969" s="222"/>
      <c r="F969" s="222"/>
      <c r="G969" s="222"/>
      <c r="H969" s="222"/>
      <c r="I969" s="22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customFormat="false" ht="15.75" hidden="false" customHeight="true" outlineLevel="0" collapsed="false">
      <c r="A970" s="2"/>
      <c r="B970" s="2"/>
      <c r="C970" s="2"/>
      <c r="D970" s="222"/>
      <c r="E970" s="222"/>
      <c r="F970" s="222"/>
      <c r="G970" s="222"/>
      <c r="H970" s="222"/>
      <c r="I970" s="22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customFormat="false" ht="15.75" hidden="false" customHeight="true" outlineLevel="0" collapsed="false">
      <c r="A971" s="2"/>
      <c r="B971" s="2"/>
      <c r="C971" s="2"/>
      <c r="D971" s="222"/>
      <c r="E971" s="222"/>
      <c r="F971" s="222"/>
      <c r="G971" s="222"/>
      <c r="H971" s="222"/>
      <c r="I971" s="22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customFormat="false" ht="15.75" hidden="false" customHeight="true" outlineLevel="0" collapsed="false">
      <c r="A972" s="2"/>
      <c r="B972" s="2"/>
      <c r="C972" s="2"/>
      <c r="D972" s="222"/>
      <c r="E972" s="222"/>
      <c r="F972" s="222"/>
      <c r="G972" s="222"/>
      <c r="H972" s="222"/>
      <c r="I972" s="22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customFormat="false" ht="15.75" hidden="false" customHeight="true" outlineLevel="0" collapsed="false">
      <c r="A973" s="2"/>
      <c r="B973" s="2"/>
      <c r="C973" s="2"/>
      <c r="D973" s="222"/>
      <c r="E973" s="222"/>
      <c r="F973" s="222"/>
      <c r="G973" s="222"/>
      <c r="H973" s="222"/>
      <c r="I973" s="22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customFormat="false" ht="15.75" hidden="false" customHeight="true" outlineLevel="0" collapsed="false">
      <c r="A974" s="2"/>
      <c r="B974" s="2"/>
      <c r="C974" s="2"/>
      <c r="D974" s="222"/>
      <c r="E974" s="222"/>
      <c r="F974" s="222"/>
      <c r="G974" s="222"/>
      <c r="H974" s="222"/>
      <c r="I974" s="22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customFormat="false" ht="15.75" hidden="false" customHeight="true" outlineLevel="0" collapsed="false">
      <c r="A975" s="2"/>
      <c r="B975" s="2"/>
      <c r="C975" s="2"/>
      <c r="D975" s="222"/>
      <c r="E975" s="222"/>
      <c r="F975" s="222"/>
      <c r="G975" s="222"/>
      <c r="H975" s="222"/>
      <c r="I975" s="22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customFormat="false" ht="15.75" hidden="false" customHeight="true" outlineLevel="0" collapsed="false">
      <c r="A976" s="2"/>
      <c r="B976" s="2"/>
      <c r="C976" s="2"/>
      <c r="D976" s="222"/>
      <c r="E976" s="222"/>
      <c r="F976" s="222"/>
      <c r="G976" s="222"/>
      <c r="H976" s="222"/>
      <c r="I976" s="22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customFormat="false" ht="15.75" hidden="false" customHeight="true" outlineLevel="0" collapsed="false">
      <c r="A977" s="2"/>
      <c r="B977" s="2"/>
      <c r="C977" s="2"/>
      <c r="D977" s="222"/>
      <c r="E977" s="222"/>
      <c r="F977" s="222"/>
      <c r="G977" s="222"/>
      <c r="H977" s="222"/>
      <c r="I977" s="22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customFormat="false" ht="15.75" hidden="false" customHeight="true" outlineLevel="0" collapsed="false">
      <c r="A978" s="2"/>
      <c r="B978" s="2"/>
      <c r="C978" s="2"/>
      <c r="D978" s="222"/>
      <c r="E978" s="222"/>
      <c r="F978" s="222"/>
      <c r="G978" s="222"/>
      <c r="H978" s="222"/>
      <c r="I978" s="22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customFormat="false" ht="15.75" hidden="false" customHeight="true" outlineLevel="0" collapsed="false">
      <c r="A979" s="2"/>
      <c r="B979" s="2"/>
      <c r="C979" s="2"/>
      <c r="D979" s="222"/>
      <c r="E979" s="222"/>
      <c r="F979" s="222"/>
      <c r="G979" s="222"/>
      <c r="H979" s="222"/>
      <c r="I979" s="22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customFormat="false" ht="15.75" hidden="false" customHeight="true" outlineLevel="0" collapsed="false">
      <c r="A980" s="2"/>
      <c r="B980" s="2"/>
      <c r="C980" s="2"/>
      <c r="D980" s="222"/>
      <c r="E980" s="222"/>
      <c r="F980" s="222"/>
      <c r="G980" s="222"/>
      <c r="H980" s="222"/>
      <c r="I980" s="22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customFormat="false" ht="15.75" hidden="false" customHeight="true" outlineLevel="0" collapsed="false">
      <c r="A981" s="2"/>
      <c r="B981" s="2"/>
      <c r="C981" s="2"/>
      <c r="D981" s="222"/>
      <c r="E981" s="222"/>
      <c r="F981" s="222"/>
      <c r="G981" s="222"/>
      <c r="H981" s="222"/>
      <c r="I981" s="22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customFormat="false" ht="15.75" hidden="false" customHeight="true" outlineLevel="0" collapsed="false">
      <c r="A982" s="2"/>
      <c r="B982" s="2"/>
      <c r="C982" s="2"/>
      <c r="D982" s="222"/>
      <c r="E982" s="222"/>
      <c r="F982" s="222"/>
      <c r="G982" s="222"/>
      <c r="H982" s="222"/>
      <c r="I982" s="22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customFormat="false" ht="15.75" hidden="false" customHeight="true" outlineLevel="0" collapsed="false">
      <c r="A983" s="2"/>
      <c r="B983" s="2"/>
      <c r="C983" s="2"/>
      <c r="D983" s="222"/>
      <c r="E983" s="222"/>
      <c r="F983" s="222"/>
      <c r="G983" s="222"/>
      <c r="H983" s="222"/>
      <c r="I983" s="22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customFormat="false" ht="15.75" hidden="false" customHeight="true" outlineLevel="0" collapsed="false">
      <c r="A984" s="2"/>
      <c r="B984" s="2"/>
      <c r="C984" s="2"/>
      <c r="D984" s="222"/>
      <c r="E984" s="222"/>
      <c r="F984" s="222"/>
      <c r="G984" s="222"/>
      <c r="H984" s="222"/>
      <c r="I984" s="22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customFormat="false" ht="15.75" hidden="false" customHeight="true" outlineLevel="0" collapsed="false">
      <c r="A985" s="2"/>
      <c r="B985" s="2"/>
      <c r="C985" s="2"/>
      <c r="D985" s="222"/>
      <c r="E985" s="222"/>
      <c r="F985" s="222"/>
      <c r="G985" s="222"/>
      <c r="H985" s="222"/>
      <c r="I985" s="22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customFormat="false" ht="15.75" hidden="false" customHeight="true" outlineLevel="0" collapsed="false">
      <c r="A986" s="2"/>
      <c r="B986" s="2"/>
      <c r="C986" s="2"/>
      <c r="D986" s="222"/>
      <c r="E986" s="222"/>
      <c r="F986" s="222"/>
      <c r="G986" s="222"/>
      <c r="H986" s="222"/>
      <c r="I986" s="22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customFormat="false" ht="15.75" hidden="false" customHeight="true" outlineLevel="0" collapsed="false">
      <c r="A987" s="2"/>
      <c r="B987" s="2"/>
      <c r="C987" s="2"/>
      <c r="D987" s="222"/>
      <c r="E987" s="222"/>
      <c r="F987" s="222"/>
      <c r="G987" s="222"/>
      <c r="H987" s="222"/>
      <c r="I987" s="22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customFormat="false" ht="15.75" hidden="false" customHeight="true" outlineLevel="0" collapsed="false">
      <c r="A988" s="2"/>
      <c r="B988" s="2"/>
      <c r="C988" s="2"/>
      <c r="D988" s="222"/>
      <c r="E988" s="222"/>
      <c r="F988" s="222"/>
      <c r="G988" s="222"/>
      <c r="H988" s="222"/>
      <c r="I988" s="22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customFormat="false" ht="15" hidden="false" customHeight="true" outlineLevel="0" collapsed="false">
      <c r="B989" s="2"/>
      <c r="C989" s="2"/>
      <c r="D989" s="222"/>
      <c r="E989" s="222"/>
      <c r="F989" s="222"/>
      <c r="G989" s="222"/>
      <c r="H989" s="222"/>
      <c r="I989" s="222"/>
      <c r="J989" s="2"/>
      <c r="K989" s="2"/>
    </row>
  </sheetData>
  <mergeCells count="32">
    <mergeCell ref="A7:J7"/>
    <mergeCell ref="A9:A10"/>
    <mergeCell ref="B9:B10"/>
    <mergeCell ref="C9:C10"/>
    <mergeCell ref="J9:J10"/>
    <mergeCell ref="K9:K10"/>
    <mergeCell ref="L9:L10"/>
    <mergeCell ref="A70:C70"/>
    <mergeCell ref="L70:L76"/>
    <mergeCell ref="A71:C71"/>
    <mergeCell ref="A72:C72"/>
    <mergeCell ref="A73:C73"/>
    <mergeCell ref="A74:C74"/>
    <mergeCell ref="A75:C75"/>
    <mergeCell ref="A76:C76"/>
    <mergeCell ref="B78:D78"/>
    <mergeCell ref="E78:F78"/>
    <mergeCell ref="B79:D79"/>
    <mergeCell ref="E79:F79"/>
    <mergeCell ref="B80:D80"/>
    <mergeCell ref="E80:F80"/>
    <mergeCell ref="B81:D81"/>
    <mergeCell ref="E81:F81"/>
    <mergeCell ref="B82:D82"/>
    <mergeCell ref="E82:F82"/>
    <mergeCell ref="B83:D83"/>
    <mergeCell ref="E83:F83"/>
    <mergeCell ref="B84:I84"/>
    <mergeCell ref="B85:B86"/>
    <mergeCell ref="D85:I85"/>
    <mergeCell ref="B87:B88"/>
    <mergeCell ref="B116:C116"/>
  </mergeCells>
  <conditionalFormatting sqref="J11:J68 J71:J72 J74:J76">
    <cfRule type="cellIs" priority="2" operator="lessThan" aboveAverage="0" equalAverage="0" bottom="0" percent="0" rank="0" text="" dxfId="2">
      <formula>50</formula>
    </cfRule>
  </conditionalFormatting>
  <conditionalFormatting sqref="J11:J68 J71:J72 J74:J76">
    <cfRule type="cellIs" priority="3" operator="equal" aboveAverage="0" equalAverage="0" bottom="0" percent="0" rank="0" text="" dxfId="2">
      <formula>"AB"</formula>
    </cfRule>
  </conditionalFormatting>
  <printOptions headings="false" gridLines="false" gridLinesSet="true" horizontalCentered="false" verticalCentered="false"/>
  <pageMargins left="0.315277777777778" right="0.154166666666667" top="0.315277777777778" bottom="0.118055555555556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88" man="true" max="16383" min="0"/>
  </rowBreaks>
  <colBreaks count="1" manualBreakCount="1">
    <brk id="12" man="true" max="65535" min="0"/>
  </colBreaks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Y9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9.25"/>
    <col collapsed="false" customWidth="true" hidden="false" outlineLevel="0" max="2" min="2" style="0" width="17.88"/>
    <col collapsed="false" customWidth="true" hidden="false" outlineLevel="0" max="3" min="3" style="0" width="20.51"/>
    <col collapsed="false" customWidth="true" hidden="false" outlineLevel="0" max="4" min="4" style="0" width="15.63"/>
    <col collapsed="false" customWidth="true" hidden="false" outlineLevel="0" max="5" min="5" style="0" width="14.51"/>
    <col collapsed="false" customWidth="true" hidden="false" outlineLevel="0" max="6" min="6" style="0" width="14"/>
    <col collapsed="false" customWidth="true" hidden="false" outlineLevel="0" max="8" min="7" style="0" width="13.88"/>
    <col collapsed="false" customWidth="true" hidden="false" outlineLevel="0" max="9" min="9" style="0" width="16"/>
    <col collapsed="false" customWidth="true" hidden="false" outlineLevel="0" max="10" min="10" style="0" width="16.12"/>
  </cols>
  <sheetData>
    <row r="1" customFormat="false" ht="15.75" hidden="false" customHeight="true" outlineLevel="0" collapsed="false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5.75" hidden="false" customHeight="true" outlineLevel="0" collapsed="false">
      <c r="A2" s="2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5.75" hidden="false" customHeight="true" outlineLevel="0" collapsed="false">
      <c r="A3" s="2"/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15.75" hidden="false" customHeight="true" outlineLevel="0" collapsed="false">
      <c r="A4" s="2"/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customFormat="false" ht="15.75" hidden="false" customHeight="true" outlineLevel="0" collapsed="false">
      <c r="A5" s="2"/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customFormat="false" ht="15.75" hidden="false" customHeight="true" outlineLevel="0" collapsed="false">
      <c r="A6" s="2"/>
      <c r="B6" s="2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customFormat="false" ht="15.75" hidden="false" customHeight="true" outlineLevel="0" collapsed="false">
      <c r="A7" s="4" t="s">
        <v>424</v>
      </c>
      <c r="B7" s="4"/>
      <c r="C7" s="4"/>
      <c r="D7" s="4"/>
      <c r="E7" s="4"/>
      <c r="F7" s="4"/>
      <c r="G7" s="4"/>
      <c r="H7" s="4"/>
      <c r="I7" s="4"/>
      <c r="J7" s="4"/>
      <c r="K7" s="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customFormat="false" ht="15.75" hidden="false" customHeight="true" outlineLevel="0" collapsed="false">
      <c r="A8" s="6" t="s">
        <v>1</v>
      </c>
      <c r="B8" s="6"/>
      <c r="C8" s="7"/>
      <c r="D8" s="8"/>
      <c r="E8" s="9" t="s">
        <v>2</v>
      </c>
      <c r="F8" s="9"/>
      <c r="G8" s="9" t="s">
        <v>425</v>
      </c>
      <c r="I8" s="9" t="s">
        <v>4</v>
      </c>
      <c r="J8" s="226"/>
      <c r="K8" s="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customFormat="false" ht="21.75" hidden="false" customHeight="true" outlineLevel="0" collapsed="false">
      <c r="A9" s="262" t="s">
        <v>426</v>
      </c>
      <c r="B9" s="11" t="s">
        <v>6</v>
      </c>
      <c r="C9" s="11" t="s">
        <v>7</v>
      </c>
      <c r="D9" s="263"/>
      <c r="E9" s="13"/>
      <c r="F9" s="13"/>
      <c r="G9" s="13"/>
      <c r="H9" s="264"/>
      <c r="I9" s="13"/>
      <c r="J9" s="265" t="s">
        <v>8</v>
      </c>
      <c r="K9" s="14" t="s">
        <v>9</v>
      </c>
      <c r="L9" s="15" t="s">
        <v>10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customFormat="false" ht="60" hidden="false" customHeight="true" outlineLevel="0" collapsed="false">
      <c r="A10" s="262"/>
      <c r="B10" s="262"/>
      <c r="C10" s="262"/>
      <c r="D10" s="266" t="s">
        <v>427</v>
      </c>
      <c r="E10" s="266" t="s">
        <v>428</v>
      </c>
      <c r="F10" s="266" t="s">
        <v>429</v>
      </c>
      <c r="G10" s="266" t="s">
        <v>430</v>
      </c>
      <c r="H10" s="267" t="s">
        <v>431</v>
      </c>
      <c r="I10" s="266" t="s">
        <v>432</v>
      </c>
      <c r="J10" s="265"/>
      <c r="K10" s="265"/>
      <c r="L10" s="265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customFormat="false" ht="24.75" hidden="false" customHeight="true" outlineLevel="0" collapsed="false">
      <c r="A11" s="42" t="n">
        <v>1</v>
      </c>
      <c r="B11" s="198" t="n">
        <v>511523243001</v>
      </c>
      <c r="C11" s="199" t="s">
        <v>433</v>
      </c>
      <c r="D11" s="206" t="n">
        <v>26</v>
      </c>
      <c r="E11" s="24" t="n">
        <v>18</v>
      </c>
      <c r="F11" s="24" t="n">
        <v>39</v>
      </c>
      <c r="G11" s="24" t="s">
        <v>362</v>
      </c>
      <c r="H11" s="206" t="n">
        <v>14</v>
      </c>
      <c r="I11" s="15" t="n">
        <v>5</v>
      </c>
      <c r="J11" s="19" t="n">
        <f aca="false">SUM(D11:I11)</f>
        <v>102</v>
      </c>
      <c r="K11" s="19" t="n">
        <f aca="false">COUNTIF(D11:I11,"&lt;=49")+COUNTIF(D11:I11,"AB")</f>
        <v>6</v>
      </c>
      <c r="L11" s="19" t="n">
        <f aca="false">COUNTIF(C11:J11,"AB")</f>
        <v>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customFormat="false" ht="24.75" hidden="false" customHeight="true" outlineLevel="0" collapsed="false">
      <c r="A12" s="42" t="n">
        <v>2</v>
      </c>
      <c r="B12" s="203" t="n">
        <v>511523243002</v>
      </c>
      <c r="C12" s="204" t="s">
        <v>434</v>
      </c>
      <c r="D12" s="206" t="n">
        <v>28</v>
      </c>
      <c r="E12" s="24" t="n">
        <v>38</v>
      </c>
      <c r="F12" s="24" t="n">
        <v>28</v>
      </c>
      <c r="G12" s="15" t="n">
        <v>26</v>
      </c>
      <c r="H12" s="206" t="s">
        <v>24</v>
      </c>
      <c r="I12" s="15" t="n">
        <v>17</v>
      </c>
      <c r="J12" s="19" t="n">
        <f aca="false">SUM(D12:I12)</f>
        <v>137</v>
      </c>
      <c r="K12" s="19" t="n">
        <f aca="false">COUNTIF(D12:I12,"&lt;=49")+COUNTIF(D12:I12,"AB")</f>
        <v>6</v>
      </c>
      <c r="L12" s="19" t="n">
        <f aca="false">COUNTIF(E12:J12,"AB")</f>
        <v>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customFormat="false" ht="24.75" hidden="false" customHeight="true" outlineLevel="0" collapsed="false">
      <c r="A13" s="42" t="n">
        <v>3</v>
      </c>
      <c r="B13" s="203" t="n">
        <v>511523243003</v>
      </c>
      <c r="C13" s="204" t="s">
        <v>435</v>
      </c>
      <c r="D13" s="206" t="n">
        <v>64</v>
      </c>
      <c r="E13" s="24" t="n">
        <v>36</v>
      </c>
      <c r="F13" s="24" t="n">
        <v>31</v>
      </c>
      <c r="G13" s="24" t="n">
        <v>19</v>
      </c>
      <c r="H13" s="206" t="n">
        <v>15</v>
      </c>
      <c r="I13" s="15" t="n">
        <v>50</v>
      </c>
      <c r="J13" s="19" t="n">
        <f aca="false">SUM(D13:I13)</f>
        <v>215</v>
      </c>
      <c r="K13" s="19" t="n">
        <f aca="false">COUNTIF(D13:I13,"&lt;=49")+COUNTIF(D13:I13,"AB")</f>
        <v>4</v>
      </c>
      <c r="L13" s="19" t="n">
        <f aca="false">COUNTIF(E13:J13,"AB")</f>
        <v>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customFormat="false" ht="24.75" hidden="false" customHeight="true" outlineLevel="0" collapsed="false">
      <c r="A14" s="42" t="n">
        <v>4</v>
      </c>
      <c r="B14" s="203" t="n">
        <v>511523243004</v>
      </c>
      <c r="C14" s="204" t="s">
        <v>436</v>
      </c>
      <c r="D14" s="206" t="n">
        <v>44</v>
      </c>
      <c r="E14" s="24" t="n">
        <v>20</v>
      </c>
      <c r="F14" s="24" t="s">
        <v>24</v>
      </c>
      <c r="G14" s="24" t="n">
        <v>38</v>
      </c>
      <c r="H14" s="206" t="n">
        <v>25</v>
      </c>
      <c r="I14" s="15" t="n">
        <v>2</v>
      </c>
      <c r="J14" s="19" t="n">
        <f aca="false">SUM(D14:I14)</f>
        <v>129</v>
      </c>
      <c r="K14" s="19" t="n">
        <f aca="false">COUNTIF(D14:I14,"&lt;=49")+COUNTIF(D14:I14,"AB")</f>
        <v>6</v>
      </c>
      <c r="L14" s="19" t="n">
        <f aca="false">COUNTIF(E14:J14,"AB")</f>
        <v>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customFormat="false" ht="24.75" hidden="false" customHeight="true" outlineLevel="0" collapsed="false">
      <c r="A15" s="42" t="n">
        <v>5</v>
      </c>
      <c r="B15" s="203" t="n">
        <v>511523243005</v>
      </c>
      <c r="C15" s="204" t="s">
        <v>437</v>
      </c>
      <c r="D15" s="206" t="n">
        <v>52</v>
      </c>
      <c r="E15" s="24" t="n">
        <v>41</v>
      </c>
      <c r="F15" s="24" t="n">
        <v>45</v>
      </c>
      <c r="G15" s="15" t="n">
        <v>17</v>
      </c>
      <c r="H15" s="206" t="n">
        <v>21</v>
      </c>
      <c r="I15" s="15" t="n">
        <v>50</v>
      </c>
      <c r="J15" s="19" t="n">
        <f aca="false">SUM(D15:I15)</f>
        <v>226</v>
      </c>
      <c r="K15" s="19" t="n">
        <f aca="false">COUNTIF(D15:I15,"&lt;=49")+COUNTIF(D15:I15,"AB")</f>
        <v>4</v>
      </c>
      <c r="L15" s="19" t="n">
        <f aca="false">COUNTIF(E15:J15,"AB")</f>
        <v>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customFormat="false" ht="24.75" hidden="false" customHeight="true" outlineLevel="0" collapsed="false">
      <c r="A16" s="53" t="n">
        <v>6</v>
      </c>
      <c r="B16" s="203" t="n">
        <v>511523243007</v>
      </c>
      <c r="C16" s="204" t="s">
        <v>438</v>
      </c>
      <c r="D16" s="206" t="n">
        <v>21</v>
      </c>
      <c r="E16" s="24" t="n">
        <v>48</v>
      </c>
      <c r="F16" s="24" t="n">
        <v>38</v>
      </c>
      <c r="G16" s="15" t="n">
        <v>35</v>
      </c>
      <c r="H16" s="206" t="n">
        <v>9</v>
      </c>
      <c r="I16" s="15" t="n">
        <v>22</v>
      </c>
      <c r="J16" s="19" t="n">
        <f aca="false">SUM(D16:I16)</f>
        <v>173</v>
      </c>
      <c r="K16" s="19" t="n">
        <f aca="false">COUNTIF(D16:I16,"&lt;=49")+COUNTIF(D16:I16,"AB")</f>
        <v>6</v>
      </c>
      <c r="L16" s="19" t="n">
        <f aca="false">COUNTIF(E16:J16,"AB")</f>
        <v>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customFormat="false" ht="24.75" hidden="false" customHeight="true" outlineLevel="0" collapsed="false">
      <c r="A17" s="42" t="n">
        <v>7</v>
      </c>
      <c r="B17" s="203" t="n">
        <v>511523243008</v>
      </c>
      <c r="C17" s="204" t="s">
        <v>439</v>
      </c>
      <c r="D17" s="142" t="n">
        <v>14</v>
      </c>
      <c r="E17" s="24" t="n">
        <v>7</v>
      </c>
      <c r="F17" s="24" t="n">
        <v>12</v>
      </c>
      <c r="G17" s="24" t="n">
        <v>10</v>
      </c>
      <c r="H17" s="142" t="n">
        <v>5</v>
      </c>
      <c r="I17" s="24" t="n">
        <v>2</v>
      </c>
      <c r="J17" s="19" t="n">
        <f aca="false">SUM(D17:I17)</f>
        <v>50</v>
      </c>
      <c r="K17" s="19" t="n">
        <f aca="false">COUNTIF(D17:I17,"&lt;=49")+COUNTIF(D17:I17,"AB")</f>
        <v>6</v>
      </c>
      <c r="L17" s="19" t="n">
        <f aca="false">COUNTIF(E17:J17,"AB")</f>
        <v>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customFormat="false" ht="24.75" hidden="false" customHeight="true" outlineLevel="0" collapsed="false">
      <c r="A18" s="42" t="n">
        <v>8</v>
      </c>
      <c r="B18" s="203" t="n">
        <v>511523243009</v>
      </c>
      <c r="C18" s="204" t="s">
        <v>440</v>
      </c>
      <c r="D18" s="206" t="n">
        <v>73</v>
      </c>
      <c r="E18" s="24" t="n">
        <v>30</v>
      </c>
      <c r="F18" s="24" t="n">
        <v>42</v>
      </c>
      <c r="G18" s="24" t="n">
        <v>53</v>
      </c>
      <c r="H18" s="206" t="n">
        <v>10</v>
      </c>
      <c r="I18" s="24" t="n">
        <v>65</v>
      </c>
      <c r="J18" s="19" t="n">
        <f aca="false">SUM(D18:I18)</f>
        <v>273</v>
      </c>
      <c r="K18" s="19" t="n">
        <f aca="false">COUNTIF(D18:I18,"&lt;=49")+COUNTIF(D18:I18,"AB")</f>
        <v>3</v>
      </c>
      <c r="L18" s="19" t="n">
        <f aca="false">COUNTIF(E18:J18,"AB")</f>
        <v>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customFormat="false" ht="24.75" hidden="false" customHeight="true" outlineLevel="0" collapsed="false">
      <c r="A19" s="42" t="n">
        <v>9</v>
      </c>
      <c r="B19" s="203" t="n">
        <v>511523243010</v>
      </c>
      <c r="C19" s="204" t="s">
        <v>441</v>
      </c>
      <c r="D19" s="206" t="n">
        <v>38</v>
      </c>
      <c r="E19" s="24" t="n">
        <v>25</v>
      </c>
      <c r="F19" s="24" t="n">
        <v>16</v>
      </c>
      <c r="G19" s="24" t="n">
        <v>29</v>
      </c>
      <c r="H19" s="206" t="n">
        <v>13</v>
      </c>
      <c r="I19" s="24" t="n">
        <v>12</v>
      </c>
      <c r="J19" s="19" t="n">
        <f aca="false">SUM(D19:I19)</f>
        <v>133</v>
      </c>
      <c r="K19" s="19" t="n">
        <f aca="false">COUNTIF(D19:I19,"&lt;=49")+COUNTIF(D19:I19,"AB")</f>
        <v>6</v>
      </c>
      <c r="L19" s="19" t="n">
        <f aca="false">COUNTIF(E19:J19,"AB")</f>
        <v>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customFormat="false" ht="24.75" hidden="false" customHeight="true" outlineLevel="0" collapsed="false">
      <c r="A20" s="42" t="n">
        <v>10</v>
      </c>
      <c r="B20" s="203" t="n">
        <v>511523243011</v>
      </c>
      <c r="C20" s="204" t="s">
        <v>442</v>
      </c>
      <c r="D20" s="206" t="n">
        <v>52</v>
      </c>
      <c r="E20" s="24" t="n">
        <v>27</v>
      </c>
      <c r="F20" s="24" t="n">
        <v>40</v>
      </c>
      <c r="G20" s="24" t="n">
        <v>45</v>
      </c>
      <c r="H20" s="206" t="n">
        <v>3</v>
      </c>
      <c r="I20" s="24" t="n">
        <v>27</v>
      </c>
      <c r="J20" s="19" t="n">
        <f aca="false">SUM(D20:I20)</f>
        <v>194</v>
      </c>
      <c r="K20" s="19" t="n">
        <f aca="false">COUNTIF(D20:I20,"&lt;=49")+COUNTIF(D20:I20,"AB")</f>
        <v>5</v>
      </c>
      <c r="L20" s="19" t="n">
        <f aca="false">COUNTIF(E20:J20,"AB")</f>
        <v>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customFormat="false" ht="24.75" hidden="false" customHeight="true" outlineLevel="0" collapsed="false">
      <c r="A21" s="42" t="n">
        <v>11</v>
      </c>
      <c r="B21" s="203" t="n">
        <v>511523243012</v>
      </c>
      <c r="C21" s="204" t="s">
        <v>443</v>
      </c>
      <c r="D21" s="142" t="n">
        <v>35</v>
      </c>
      <c r="E21" s="24" t="n">
        <v>11</v>
      </c>
      <c r="F21" s="24" t="n">
        <v>39</v>
      </c>
      <c r="G21" s="24" t="n">
        <v>9</v>
      </c>
      <c r="H21" s="142" t="n">
        <v>9</v>
      </c>
      <c r="I21" s="24" t="n">
        <v>11</v>
      </c>
      <c r="J21" s="19" t="n">
        <f aca="false">SUM(D21:I21)</f>
        <v>114</v>
      </c>
      <c r="K21" s="19" t="n">
        <f aca="false">COUNTIF(D21:I21,"&lt;=49")+COUNTIF(D21:I21,"AB")</f>
        <v>6</v>
      </c>
      <c r="L21" s="19" t="n">
        <f aca="false">COUNTIF(E21:J21,"AB")</f>
        <v>0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customFormat="false" ht="24.75" hidden="false" customHeight="true" outlineLevel="0" collapsed="false">
      <c r="A22" s="42" t="n">
        <v>12</v>
      </c>
      <c r="B22" s="203" t="n">
        <v>511523243013</v>
      </c>
      <c r="C22" s="204" t="s">
        <v>444</v>
      </c>
      <c r="D22" s="142" t="n">
        <v>68</v>
      </c>
      <c r="E22" s="24" t="n">
        <v>37</v>
      </c>
      <c r="F22" s="24" t="n">
        <v>50</v>
      </c>
      <c r="G22" s="24" t="n">
        <v>27</v>
      </c>
      <c r="H22" s="142" t="n">
        <v>3</v>
      </c>
      <c r="I22" s="24" t="n">
        <v>56</v>
      </c>
      <c r="J22" s="19" t="n">
        <f aca="false">SUM(D22:I22)</f>
        <v>241</v>
      </c>
      <c r="K22" s="19" t="n">
        <f aca="false">COUNTIF(D22:I22,"&lt;=49")+COUNTIF(D22:I22,"AB")</f>
        <v>3</v>
      </c>
      <c r="L22" s="19" t="n">
        <f aca="false">COUNTIF(E22:J22,"AB")</f>
        <v>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customFormat="false" ht="24.75" hidden="false" customHeight="true" outlineLevel="0" collapsed="false">
      <c r="A23" s="42" t="n">
        <v>13</v>
      </c>
      <c r="B23" s="203" t="n">
        <v>511523243014</v>
      </c>
      <c r="C23" s="204" t="s">
        <v>445</v>
      </c>
      <c r="D23" s="142" t="n">
        <v>63</v>
      </c>
      <c r="E23" s="24" t="n">
        <v>18</v>
      </c>
      <c r="F23" s="24" t="n">
        <v>34</v>
      </c>
      <c r="G23" s="24" t="n">
        <v>23</v>
      </c>
      <c r="H23" s="142" t="n">
        <v>14</v>
      </c>
      <c r="I23" s="24" t="n">
        <v>45</v>
      </c>
      <c r="J23" s="19" t="n">
        <f aca="false">SUM(D23:I23)</f>
        <v>197</v>
      </c>
      <c r="K23" s="19" t="n">
        <f aca="false">COUNTIF(D23:I23,"&lt;=49")+COUNTIF(D23:I23,"AB")</f>
        <v>5</v>
      </c>
      <c r="L23" s="19" t="n">
        <f aca="false">COUNTIF(E23:J23,"AB")</f>
        <v>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customFormat="false" ht="24.75" hidden="false" customHeight="true" outlineLevel="0" collapsed="false">
      <c r="A24" s="42" t="n">
        <v>14</v>
      </c>
      <c r="B24" s="203" t="n">
        <v>511523243015</v>
      </c>
      <c r="C24" s="204" t="s">
        <v>446</v>
      </c>
      <c r="D24" s="142" t="n">
        <v>59</v>
      </c>
      <c r="E24" s="24" t="n">
        <v>39</v>
      </c>
      <c r="F24" s="24" t="n">
        <v>44</v>
      </c>
      <c r="G24" s="24" t="n">
        <v>32</v>
      </c>
      <c r="H24" s="142" t="n">
        <v>31</v>
      </c>
      <c r="I24" s="24" t="n">
        <v>50</v>
      </c>
      <c r="J24" s="19" t="n">
        <f aca="false">SUM(D24:I24)</f>
        <v>255</v>
      </c>
      <c r="K24" s="19" t="n">
        <f aca="false">COUNTIF(D24:I24,"&lt;=49")+COUNTIF(D24:I24,"AB")</f>
        <v>4</v>
      </c>
      <c r="L24" s="19" t="n">
        <f aca="false">COUNTIF(E24:J24,"AB")</f>
        <v>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customFormat="false" ht="24.75" hidden="false" customHeight="true" outlineLevel="0" collapsed="false">
      <c r="A25" s="42" t="n">
        <v>15</v>
      </c>
      <c r="B25" s="203" t="n">
        <v>511523243016</v>
      </c>
      <c r="C25" s="268" t="s">
        <v>447</v>
      </c>
      <c r="D25" s="142" t="n">
        <v>62</v>
      </c>
      <c r="E25" s="24" t="n">
        <v>52</v>
      </c>
      <c r="F25" s="24" t="n">
        <v>50</v>
      </c>
      <c r="G25" s="24" t="n">
        <v>62</v>
      </c>
      <c r="H25" s="142" t="n">
        <v>10</v>
      </c>
      <c r="I25" s="24" t="n">
        <v>50</v>
      </c>
      <c r="J25" s="19" t="n">
        <f aca="false">SUM(D25:I25)</f>
        <v>286</v>
      </c>
      <c r="K25" s="19" t="n">
        <f aca="false">COUNTIF(D25:I25,"&lt;=49")+COUNTIF(D25:I25,"AB")</f>
        <v>1</v>
      </c>
      <c r="L25" s="19" t="n">
        <f aca="false">COUNTIF(E25:J25,"AB")</f>
        <v>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customFormat="false" ht="24.75" hidden="false" customHeight="true" outlineLevel="0" collapsed="false">
      <c r="A26" s="42" t="n">
        <v>16</v>
      </c>
      <c r="B26" s="203" t="n">
        <v>511523243017</v>
      </c>
      <c r="C26" s="204" t="s">
        <v>448</v>
      </c>
      <c r="D26" s="142" t="n">
        <v>45</v>
      </c>
      <c r="E26" s="24" t="n">
        <v>38</v>
      </c>
      <c r="F26" s="24" t="n">
        <v>50</v>
      </c>
      <c r="G26" s="24" t="n">
        <v>12</v>
      </c>
      <c r="H26" s="142" t="n">
        <v>20</v>
      </c>
      <c r="I26" s="24" t="n">
        <v>26</v>
      </c>
      <c r="J26" s="19" t="n">
        <f aca="false">SUM(D26:I26)</f>
        <v>191</v>
      </c>
      <c r="K26" s="19" t="n">
        <f aca="false">COUNTIF(D26:I26,"&lt;=49")+COUNTIF(D26:I26,"AB")</f>
        <v>5</v>
      </c>
      <c r="L26" s="19" t="n">
        <f aca="false">COUNTIF(E26:J26,"AB")</f>
        <v>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customFormat="false" ht="24.75" hidden="false" customHeight="true" outlineLevel="0" collapsed="false">
      <c r="A27" s="42" t="n">
        <v>17</v>
      </c>
      <c r="B27" s="209" t="n">
        <v>511523243018</v>
      </c>
      <c r="C27" s="210" t="s">
        <v>449</v>
      </c>
      <c r="D27" s="269" t="n">
        <v>51</v>
      </c>
      <c r="E27" s="24" t="n">
        <v>31</v>
      </c>
      <c r="F27" s="231" t="n">
        <v>53</v>
      </c>
      <c r="G27" s="231" t="n">
        <v>27</v>
      </c>
      <c r="H27" s="269" t="n">
        <v>22</v>
      </c>
      <c r="I27" s="231" t="n">
        <v>62</v>
      </c>
      <c r="J27" s="31" t="n">
        <f aca="false">SUM(D27:I27)</f>
        <v>246</v>
      </c>
      <c r="K27" s="19" t="n">
        <f aca="false">COUNTIF(D27:I27,"&lt;=49")+COUNTIF(D27:I27,"AB")</f>
        <v>3</v>
      </c>
      <c r="L27" s="19" t="n">
        <f aca="false">COUNTIF(E27:J27,"AB")</f>
        <v>0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customFormat="false" ht="24.75" hidden="false" customHeight="true" outlineLevel="0" collapsed="false">
      <c r="A28" s="42" t="n">
        <v>18</v>
      </c>
      <c r="B28" s="203" t="n">
        <v>511523243019</v>
      </c>
      <c r="C28" s="204" t="s">
        <v>450</v>
      </c>
      <c r="D28" s="206" t="n">
        <v>14</v>
      </c>
      <c r="E28" s="24" t="n">
        <v>6</v>
      </c>
      <c r="F28" s="24" t="n">
        <v>23</v>
      </c>
      <c r="G28" s="24" t="n">
        <v>3</v>
      </c>
      <c r="H28" s="206" t="n">
        <v>7</v>
      </c>
      <c r="I28" s="24" t="n">
        <v>7</v>
      </c>
      <c r="J28" s="19" t="n">
        <f aca="false">SUM(D28:I28)</f>
        <v>60</v>
      </c>
      <c r="K28" s="19" t="n">
        <f aca="false">COUNTIF(D28:I28,"&lt;=49")+COUNTIF(D28:I28,"AB")</f>
        <v>6</v>
      </c>
      <c r="L28" s="19" t="n">
        <f aca="false">COUNTIF(E28:J28,"AB")</f>
        <v>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customFormat="false" ht="24.75" hidden="false" customHeight="true" outlineLevel="0" collapsed="false">
      <c r="A29" s="42" t="n">
        <v>19</v>
      </c>
      <c r="B29" s="203" t="n">
        <v>511523243021</v>
      </c>
      <c r="C29" s="204" t="s">
        <v>451</v>
      </c>
      <c r="D29" s="142" t="n">
        <v>16</v>
      </c>
      <c r="E29" s="24" t="n">
        <v>34</v>
      </c>
      <c r="F29" s="24" t="n">
        <v>40</v>
      </c>
      <c r="G29" s="24" t="n">
        <v>26</v>
      </c>
      <c r="H29" s="142" t="n">
        <v>6</v>
      </c>
      <c r="I29" s="24" t="n">
        <v>45</v>
      </c>
      <c r="J29" s="19" t="n">
        <f aca="false">SUM(D29:I29)</f>
        <v>167</v>
      </c>
      <c r="K29" s="19" t="n">
        <f aca="false">COUNTIF(D29:I29,"&lt;=49")+COUNTIF(D29:I29,"AB")</f>
        <v>6</v>
      </c>
      <c r="L29" s="19" t="n">
        <f aca="false">COUNTIF(E29:J29,"AB")</f>
        <v>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customFormat="false" ht="24.75" hidden="false" customHeight="true" outlineLevel="0" collapsed="false">
      <c r="A30" s="53" t="n">
        <v>20</v>
      </c>
      <c r="B30" s="203" t="n">
        <v>511523243022</v>
      </c>
      <c r="C30" s="204" t="s">
        <v>452</v>
      </c>
      <c r="D30" s="206" t="n">
        <v>89</v>
      </c>
      <c r="E30" s="24" t="n">
        <v>32</v>
      </c>
      <c r="F30" s="24" t="n">
        <v>68</v>
      </c>
      <c r="G30" s="24" t="n">
        <v>56</v>
      </c>
      <c r="H30" s="206" t="n">
        <v>14</v>
      </c>
      <c r="I30" s="24" t="n">
        <v>50</v>
      </c>
      <c r="J30" s="19" t="n">
        <f aca="false">SUM(D30:I30)</f>
        <v>309</v>
      </c>
      <c r="K30" s="19" t="n">
        <f aca="false">COUNTIF(D30:I30,"&lt;=49")+COUNTIF(D30:I30,"AB")</f>
        <v>2</v>
      </c>
      <c r="L30" s="19" t="n">
        <f aca="false">COUNTIF(E30:J30,"AB")</f>
        <v>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customFormat="false" ht="24.75" hidden="false" customHeight="true" outlineLevel="0" collapsed="false">
      <c r="A31" s="42" t="n">
        <v>21</v>
      </c>
      <c r="B31" s="203" t="n">
        <v>511523243023</v>
      </c>
      <c r="C31" s="204" t="s">
        <v>453</v>
      </c>
      <c r="D31" s="206" t="n">
        <v>73</v>
      </c>
      <c r="E31" s="24" t="n">
        <v>43</v>
      </c>
      <c r="F31" s="24" t="n">
        <v>54</v>
      </c>
      <c r="G31" s="24" t="n">
        <v>50</v>
      </c>
      <c r="H31" s="206" t="n">
        <v>15</v>
      </c>
      <c r="I31" s="24" t="n">
        <v>45</v>
      </c>
      <c r="J31" s="19" t="n">
        <f aca="false">SUM(D31:I31)</f>
        <v>280</v>
      </c>
      <c r="K31" s="19" t="n">
        <f aca="false">COUNTIF(D31:I31,"&lt;=49")+COUNTIF(D31:I31,"AB")</f>
        <v>3</v>
      </c>
      <c r="L31" s="19" t="n">
        <f aca="false">COUNTIF(E31:J31,"AB")</f>
        <v>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customFormat="false" ht="24.75" hidden="false" customHeight="true" outlineLevel="0" collapsed="false">
      <c r="A32" s="42" t="n">
        <v>22</v>
      </c>
      <c r="B32" s="203" t="n">
        <v>511523243024</v>
      </c>
      <c r="C32" s="204" t="s">
        <v>454</v>
      </c>
      <c r="D32" s="142" t="n">
        <v>58</v>
      </c>
      <c r="E32" s="24" t="n">
        <v>29</v>
      </c>
      <c r="F32" s="24" t="n">
        <v>40</v>
      </c>
      <c r="G32" s="24" t="n">
        <v>37</v>
      </c>
      <c r="H32" s="24" t="n">
        <v>19</v>
      </c>
      <c r="I32" s="24" t="n">
        <v>24</v>
      </c>
      <c r="J32" s="19" t="n">
        <f aca="false">SUM(D32:I32)</f>
        <v>207</v>
      </c>
      <c r="K32" s="19" t="n">
        <f aca="false">COUNTIF(D32:I32,"&lt;=49")+COUNTIF(D32:I32,"AB")</f>
        <v>5</v>
      </c>
      <c r="L32" s="19" t="n">
        <f aca="false">COUNTIF(E32:J32,"AB")</f>
        <v>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customFormat="false" ht="24.75" hidden="false" customHeight="true" outlineLevel="0" collapsed="false">
      <c r="A33" s="42" t="n">
        <v>23</v>
      </c>
      <c r="B33" s="203" t="n">
        <v>511523243026</v>
      </c>
      <c r="C33" s="204" t="s">
        <v>455</v>
      </c>
      <c r="D33" s="142" t="n">
        <v>56</v>
      </c>
      <c r="E33" s="24" t="n">
        <v>10</v>
      </c>
      <c r="F33" s="24" t="n">
        <v>8</v>
      </c>
      <c r="G33" s="24" t="n">
        <v>37</v>
      </c>
      <c r="H33" s="142" t="n">
        <v>22</v>
      </c>
      <c r="I33" s="24" t="n">
        <v>4</v>
      </c>
      <c r="J33" s="19" t="n">
        <f aca="false">SUM(D33:I33)</f>
        <v>137</v>
      </c>
      <c r="K33" s="19" t="n">
        <f aca="false">COUNTIF(D33:I33,"&lt;=49")+COUNTIF(D33:I33,"AB")</f>
        <v>5</v>
      </c>
      <c r="L33" s="19" t="n">
        <f aca="false">COUNTIF(E33:J33,"AB")</f>
        <v>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customFormat="false" ht="24.75" hidden="false" customHeight="true" outlineLevel="0" collapsed="false">
      <c r="A34" s="42" t="n">
        <v>24</v>
      </c>
      <c r="B34" s="203" t="n">
        <v>511523243027</v>
      </c>
      <c r="C34" s="204" t="s">
        <v>456</v>
      </c>
      <c r="D34" s="142" t="n">
        <v>66</v>
      </c>
      <c r="E34" s="24" t="n">
        <v>61</v>
      </c>
      <c r="F34" s="24" t="n">
        <v>61</v>
      </c>
      <c r="G34" s="24" t="n">
        <v>57</v>
      </c>
      <c r="H34" s="142" t="n">
        <v>36</v>
      </c>
      <c r="I34" s="24" t="n">
        <v>60</v>
      </c>
      <c r="J34" s="19" t="n">
        <f aca="false">SUM(D34:I34)</f>
        <v>341</v>
      </c>
      <c r="K34" s="19" t="n">
        <f aca="false">COUNTIF(D34:I34,"&lt;=49")+COUNTIF(D34:I34,"AB")</f>
        <v>1</v>
      </c>
      <c r="L34" s="19" t="n">
        <f aca="false">COUNTIF(E34:J34,"AB")</f>
        <v>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customFormat="false" ht="24.75" hidden="false" customHeight="true" outlineLevel="0" collapsed="false">
      <c r="A35" s="42" t="n">
        <v>25</v>
      </c>
      <c r="B35" s="203" t="n">
        <v>511523243028</v>
      </c>
      <c r="C35" s="204" t="s">
        <v>457</v>
      </c>
      <c r="D35" s="206" t="n">
        <v>50</v>
      </c>
      <c r="E35" s="24" t="n">
        <v>28</v>
      </c>
      <c r="F35" s="24" t="n">
        <v>12</v>
      </c>
      <c r="G35" s="24" t="n">
        <v>37</v>
      </c>
      <c r="H35" s="206" t="n">
        <v>11</v>
      </c>
      <c r="I35" s="24" t="n">
        <v>17</v>
      </c>
      <c r="J35" s="19" t="n">
        <f aca="false">SUM(D35:I35)</f>
        <v>155</v>
      </c>
      <c r="K35" s="19" t="n">
        <f aca="false">COUNTIF(D35:I35,"&lt;=49")+COUNTIF(D35:I35,"AB")</f>
        <v>5</v>
      </c>
      <c r="L35" s="19" t="n">
        <f aca="false">COUNTIF(E35:J35,"AB")</f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customFormat="false" ht="24.75" hidden="false" customHeight="true" outlineLevel="0" collapsed="false">
      <c r="A36" s="42" t="n">
        <v>26</v>
      </c>
      <c r="B36" s="203" t="n">
        <v>511523243029</v>
      </c>
      <c r="C36" s="204" t="s">
        <v>458</v>
      </c>
      <c r="D36" s="142" t="n">
        <v>42</v>
      </c>
      <c r="E36" s="24" t="n">
        <v>20</v>
      </c>
      <c r="F36" s="24" t="n">
        <v>29</v>
      </c>
      <c r="G36" s="24" t="n">
        <v>32</v>
      </c>
      <c r="H36" s="142" t="n">
        <v>7</v>
      </c>
      <c r="I36" s="24" t="n">
        <v>24</v>
      </c>
      <c r="J36" s="19" t="n">
        <f aca="false">SUM(D36:I36)</f>
        <v>154</v>
      </c>
      <c r="K36" s="19" t="n">
        <f aca="false">COUNTIF(D36:I36,"&lt;=49")+COUNTIF(D36:I36,"AB")</f>
        <v>6</v>
      </c>
      <c r="L36" s="19" t="n">
        <f aca="false">COUNTIF(E36:J36,"AB")</f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customFormat="false" ht="24.75" hidden="false" customHeight="true" outlineLevel="0" collapsed="false">
      <c r="A37" s="42" t="n">
        <v>27</v>
      </c>
      <c r="B37" s="203" t="n">
        <v>511523243030</v>
      </c>
      <c r="C37" s="204" t="s">
        <v>459</v>
      </c>
      <c r="D37" s="206" t="n">
        <v>43</v>
      </c>
      <c r="E37" s="24" t="n">
        <v>17</v>
      </c>
      <c r="F37" s="24" t="n">
        <v>27</v>
      </c>
      <c r="G37" s="24" t="n">
        <v>33</v>
      </c>
      <c r="H37" s="206" t="n">
        <v>16</v>
      </c>
      <c r="I37" s="24" t="n">
        <v>50</v>
      </c>
      <c r="J37" s="19" t="n">
        <f aca="false">SUM(D37:I37)</f>
        <v>186</v>
      </c>
      <c r="K37" s="19" t="n">
        <f aca="false">COUNTIF(D37:I37,"&lt;=49")+COUNTIF(D37:I37,"AB")</f>
        <v>5</v>
      </c>
      <c r="L37" s="19" t="n">
        <f aca="false">COUNTIF(E37:J37,"AB")</f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customFormat="false" ht="24.75" hidden="false" customHeight="true" outlineLevel="0" collapsed="false">
      <c r="A38" s="42" t="n">
        <v>28</v>
      </c>
      <c r="B38" s="203" t="n">
        <v>511523243031</v>
      </c>
      <c r="C38" s="204" t="s">
        <v>460</v>
      </c>
      <c r="D38" s="142" t="n">
        <v>10</v>
      </c>
      <c r="E38" s="24" t="n">
        <v>4</v>
      </c>
      <c r="F38" s="24" t="n">
        <v>21</v>
      </c>
      <c r="G38" s="24" t="n">
        <v>18</v>
      </c>
      <c r="H38" s="142" t="n">
        <v>9</v>
      </c>
      <c r="I38" s="24" t="n">
        <v>4</v>
      </c>
      <c r="J38" s="19" t="n">
        <f aca="false">SUM(D38:I38)</f>
        <v>66</v>
      </c>
      <c r="K38" s="19" t="n">
        <f aca="false">COUNTIF(D38:I38,"&lt;=49")+COUNTIF(D38:I38,"AB")</f>
        <v>6</v>
      </c>
      <c r="L38" s="19" t="n">
        <f aca="false">COUNTIF(E38:J38,"AB")</f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customFormat="false" ht="24.75" hidden="false" customHeight="true" outlineLevel="0" collapsed="false">
      <c r="A39" s="42" t="n">
        <v>29</v>
      </c>
      <c r="B39" s="203" t="n">
        <v>511523243032</v>
      </c>
      <c r="C39" s="204" t="s">
        <v>461</v>
      </c>
      <c r="D39" s="142" t="s">
        <v>24</v>
      </c>
      <c r="E39" s="24" t="n">
        <v>0</v>
      </c>
      <c r="F39" s="24" t="n">
        <v>8</v>
      </c>
      <c r="G39" s="24" t="s">
        <v>362</v>
      </c>
      <c r="H39" s="142" t="n">
        <v>0</v>
      </c>
      <c r="I39" s="24" t="n">
        <v>1</v>
      </c>
      <c r="J39" s="19" t="n">
        <f aca="false">SUM(D39:I39)</f>
        <v>9</v>
      </c>
      <c r="K39" s="19" t="n">
        <f aca="false">COUNTIF(D39:I39,"&lt;=49")+COUNTIF(D39:I39,"AB")</f>
        <v>6</v>
      </c>
      <c r="L39" s="19" t="n">
        <f aca="false">COUNTIF(E39:J39,"AB")</f>
        <v>1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customFormat="false" ht="24.75" hidden="false" customHeight="true" outlineLevel="0" collapsed="false">
      <c r="A40" s="42" t="n">
        <v>30</v>
      </c>
      <c r="B40" s="203" t="n">
        <v>511523243033</v>
      </c>
      <c r="C40" s="204" t="s">
        <v>462</v>
      </c>
      <c r="D40" s="142" t="n">
        <v>0</v>
      </c>
      <c r="E40" s="24" t="s">
        <v>24</v>
      </c>
      <c r="F40" s="24" t="s">
        <v>24</v>
      </c>
      <c r="G40" s="24" t="n">
        <v>1</v>
      </c>
      <c r="H40" s="24" t="n">
        <v>10</v>
      </c>
      <c r="I40" s="24" t="n">
        <v>1</v>
      </c>
      <c r="J40" s="19" t="n">
        <f aca="false">SUM(D40:I40)</f>
        <v>12</v>
      </c>
      <c r="K40" s="19" t="n">
        <f aca="false">COUNTIF(D40:I40,"&lt;=49")+COUNTIF(D40:I40,"AB")</f>
        <v>6</v>
      </c>
      <c r="L40" s="19" t="n">
        <f aca="false">COUNTIF(E40:J40,"AB")</f>
        <v>2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customFormat="false" ht="24.75" hidden="false" customHeight="true" outlineLevel="0" collapsed="false">
      <c r="A41" s="42" t="n">
        <v>31</v>
      </c>
      <c r="B41" s="203" t="n">
        <v>511523243034</v>
      </c>
      <c r="C41" s="204" t="s">
        <v>463</v>
      </c>
      <c r="D41" s="206" t="n">
        <v>39</v>
      </c>
      <c r="E41" s="24" t="n">
        <v>17</v>
      </c>
      <c r="F41" s="24" t="n">
        <v>40</v>
      </c>
      <c r="G41" s="24" t="n">
        <v>16</v>
      </c>
      <c r="H41" s="206" t="s">
        <v>24</v>
      </c>
      <c r="I41" s="24" t="n">
        <v>50</v>
      </c>
      <c r="J41" s="19" t="n">
        <f aca="false">SUM(D41:I41)</f>
        <v>162</v>
      </c>
      <c r="K41" s="19" t="n">
        <f aca="false">COUNTIF(D41:I41,"&lt;=49")+COUNTIF(D41:I41,"AB")</f>
        <v>5</v>
      </c>
      <c r="L41" s="19" t="n">
        <f aca="false">COUNTIF(E41:J41,"AB")</f>
        <v>1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customFormat="false" ht="24.75" hidden="false" customHeight="true" outlineLevel="0" collapsed="false">
      <c r="A42" s="42" t="n">
        <v>32</v>
      </c>
      <c r="B42" s="203" t="n">
        <v>511523243035</v>
      </c>
      <c r="C42" s="204" t="s">
        <v>464</v>
      </c>
      <c r="D42" s="206" t="n">
        <v>52</v>
      </c>
      <c r="E42" s="24" t="n">
        <v>15</v>
      </c>
      <c r="F42" s="24" t="n">
        <v>41</v>
      </c>
      <c r="G42" s="24" t="n">
        <v>39</v>
      </c>
      <c r="H42" s="206" t="n">
        <v>19</v>
      </c>
      <c r="I42" s="24" t="n">
        <v>16</v>
      </c>
      <c r="J42" s="19" t="n">
        <f aca="false">SUM(D42:I42)</f>
        <v>182</v>
      </c>
      <c r="K42" s="19" t="n">
        <f aca="false">COUNTIF(D42:I42,"&lt;=49")+COUNTIF(D42:I42,"AB")</f>
        <v>5</v>
      </c>
      <c r="L42" s="19" t="n">
        <f aca="false">COUNTIF(E42:J42,"AB")</f>
        <v>0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customFormat="false" ht="24.75" hidden="false" customHeight="true" outlineLevel="0" collapsed="false">
      <c r="A43" s="42" t="n">
        <v>33</v>
      </c>
      <c r="B43" s="203" t="n">
        <v>511523243036</v>
      </c>
      <c r="C43" s="204" t="s">
        <v>465</v>
      </c>
      <c r="D43" s="142" t="n">
        <v>87</v>
      </c>
      <c r="E43" s="24" t="n">
        <v>50</v>
      </c>
      <c r="F43" s="24" t="n">
        <v>64</v>
      </c>
      <c r="G43" s="24" t="s">
        <v>362</v>
      </c>
      <c r="H43" s="142" t="n">
        <v>52</v>
      </c>
      <c r="I43" s="24" t="n">
        <v>56</v>
      </c>
      <c r="J43" s="19" t="n">
        <f aca="false">SUM(D43:I43)</f>
        <v>309</v>
      </c>
      <c r="K43" s="19" t="n">
        <f aca="false">COUNTIF(D43:I43,"&lt;=49")+COUNTIF(D43:I43,"AB")</f>
        <v>1</v>
      </c>
      <c r="L43" s="19" t="n">
        <f aca="false">COUNTIF(E43:J43,"AB")</f>
        <v>1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customFormat="false" ht="24.75" hidden="false" customHeight="true" outlineLevel="0" collapsed="false">
      <c r="A44" s="42" t="n">
        <v>34</v>
      </c>
      <c r="B44" s="203" t="n">
        <v>511523243037</v>
      </c>
      <c r="C44" s="204" t="s">
        <v>466</v>
      </c>
      <c r="D44" s="142" t="n">
        <v>50</v>
      </c>
      <c r="E44" s="24" t="n">
        <v>10</v>
      </c>
      <c r="F44" s="24" t="n">
        <v>20</v>
      </c>
      <c r="G44" s="24" t="n">
        <v>27</v>
      </c>
      <c r="H44" s="142" t="n">
        <v>13</v>
      </c>
      <c r="I44" s="24" t="n">
        <v>24</v>
      </c>
      <c r="J44" s="19" t="n">
        <f aca="false">SUM(D44:I44)</f>
        <v>144</v>
      </c>
      <c r="K44" s="19" t="n">
        <f aca="false">COUNTIF(D44:I44,"&lt;=49")+COUNTIF(D44:I44,"AB")</f>
        <v>5</v>
      </c>
      <c r="L44" s="19" t="n">
        <f aca="false">COUNTIF(E44:J44,"AB")</f>
        <v>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customFormat="false" ht="24.75" hidden="false" customHeight="true" outlineLevel="0" collapsed="false">
      <c r="A45" s="42" t="n">
        <v>35</v>
      </c>
      <c r="B45" s="203" t="n">
        <v>511523243038</v>
      </c>
      <c r="C45" s="204" t="s">
        <v>467</v>
      </c>
      <c r="D45" s="206" t="n">
        <v>52</v>
      </c>
      <c r="E45" s="24" t="n">
        <v>38</v>
      </c>
      <c r="F45" s="24" t="n">
        <v>43</v>
      </c>
      <c r="G45" s="24" t="n">
        <v>29</v>
      </c>
      <c r="H45" s="206" t="n">
        <v>13</v>
      </c>
      <c r="I45" s="24" t="n">
        <v>45</v>
      </c>
      <c r="J45" s="19" t="n">
        <f aca="false">SUM(D45:I45)</f>
        <v>220</v>
      </c>
      <c r="K45" s="19" t="n">
        <f aca="false">COUNTIF(D45:I45,"&lt;=49")+COUNTIF(D45:I45,"AB")</f>
        <v>5</v>
      </c>
      <c r="L45" s="19" t="n">
        <f aca="false">COUNTIF(E45:J45,"AB")</f>
        <v>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customFormat="false" ht="24.75" hidden="false" customHeight="true" outlineLevel="0" collapsed="false">
      <c r="A46" s="42" t="n">
        <v>36</v>
      </c>
      <c r="B46" s="203" t="n">
        <v>511523243039</v>
      </c>
      <c r="C46" s="204" t="s">
        <v>468</v>
      </c>
      <c r="D46" s="142" t="n">
        <v>40</v>
      </c>
      <c r="E46" s="24" t="s">
        <v>24</v>
      </c>
      <c r="F46" s="24" t="n">
        <v>19</v>
      </c>
      <c r="G46" s="24" t="n">
        <v>30</v>
      </c>
      <c r="H46" s="142" t="n">
        <v>5</v>
      </c>
      <c r="I46" s="24" t="n">
        <v>5</v>
      </c>
      <c r="J46" s="19" t="n">
        <f aca="false">SUM(D46:I46)</f>
        <v>99</v>
      </c>
      <c r="K46" s="19" t="n">
        <f aca="false">COUNTIF(D46:I46,"&lt;=49")+COUNTIF(D46:I46,"AB")</f>
        <v>6</v>
      </c>
      <c r="L46" s="19" t="n">
        <f aca="false">COUNTIF(E46:J46,"AB")</f>
        <v>1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customFormat="false" ht="24.75" hidden="false" customHeight="true" outlineLevel="0" collapsed="false">
      <c r="A47" s="42" t="n">
        <v>37</v>
      </c>
      <c r="B47" s="203" t="n">
        <v>511523243040</v>
      </c>
      <c r="C47" s="204" t="s">
        <v>469</v>
      </c>
      <c r="D47" s="142" t="n">
        <v>57</v>
      </c>
      <c r="E47" s="24" t="n">
        <v>11</v>
      </c>
      <c r="F47" s="24" t="n">
        <v>42</v>
      </c>
      <c r="G47" s="24" t="n">
        <v>27</v>
      </c>
      <c r="H47" s="142" t="n">
        <v>13</v>
      </c>
      <c r="I47" s="24" t="n">
        <v>10</v>
      </c>
      <c r="J47" s="19" t="n">
        <f aca="false">SUM(D47:I47)</f>
        <v>160</v>
      </c>
      <c r="K47" s="19" t="n">
        <f aca="false">COUNTIF(D47:I47,"&lt;=49")+COUNTIF(D47:I47,"AB")</f>
        <v>5</v>
      </c>
      <c r="L47" s="19" t="n">
        <f aca="false">COUNTIF(E47:J47,"AB")</f>
        <v>0</v>
      </c>
      <c r="M47" s="37"/>
      <c r="N47" s="37"/>
      <c r="O47" s="37"/>
      <c r="P47" s="37"/>
      <c r="Q47" s="37"/>
      <c r="R47" s="37"/>
      <c r="S47" s="2"/>
      <c r="T47" s="2"/>
      <c r="U47" s="2"/>
      <c r="V47" s="2"/>
      <c r="W47" s="2"/>
      <c r="X47" s="2"/>
      <c r="Y47" s="2"/>
    </row>
    <row r="48" customFormat="false" ht="24.75" hidden="false" customHeight="true" outlineLevel="0" collapsed="false">
      <c r="A48" s="42" t="n">
        <v>38</v>
      </c>
      <c r="B48" s="203" t="n">
        <v>511523243041</v>
      </c>
      <c r="C48" s="204" t="s">
        <v>470</v>
      </c>
      <c r="D48" s="142" t="n">
        <v>50</v>
      </c>
      <c r="E48" s="24" t="n">
        <v>23</v>
      </c>
      <c r="F48" s="24" t="n">
        <v>35</v>
      </c>
      <c r="G48" s="24" t="n">
        <v>11</v>
      </c>
      <c r="H48" s="142" t="n">
        <v>4</v>
      </c>
      <c r="I48" s="24" t="n">
        <v>22</v>
      </c>
      <c r="J48" s="19" t="n">
        <f aca="false">SUM(D48:I48)</f>
        <v>145</v>
      </c>
      <c r="K48" s="19" t="n">
        <f aca="false">COUNTIF(D48:I48,"&lt;=49")+COUNTIF(D48:I48,"AB")</f>
        <v>5</v>
      </c>
      <c r="L48" s="19" t="n">
        <f aca="false">COUNTIF(E48:J48,"AB")</f>
        <v>0</v>
      </c>
      <c r="M48" s="38"/>
      <c r="N48" s="38"/>
      <c r="O48" s="38"/>
      <c r="P48" s="38"/>
      <c r="Q48" s="38"/>
      <c r="R48" s="38"/>
      <c r="S48" s="2"/>
      <c r="T48" s="2"/>
      <c r="U48" s="2"/>
      <c r="V48" s="2"/>
      <c r="W48" s="2"/>
      <c r="X48" s="2"/>
      <c r="Y48" s="2"/>
    </row>
    <row r="49" customFormat="false" ht="24.75" hidden="false" customHeight="true" outlineLevel="0" collapsed="false">
      <c r="A49" s="42" t="n">
        <v>39</v>
      </c>
      <c r="B49" s="203" t="n">
        <v>511523243042</v>
      </c>
      <c r="C49" s="204" t="s">
        <v>471</v>
      </c>
      <c r="D49" s="142" t="n">
        <v>79</v>
      </c>
      <c r="E49" s="24" t="n">
        <v>38</v>
      </c>
      <c r="F49" s="24" t="n">
        <v>61</v>
      </c>
      <c r="G49" s="24" t="n">
        <v>50</v>
      </c>
      <c r="H49" s="142" t="n">
        <v>26</v>
      </c>
      <c r="I49" s="24" t="n">
        <v>56</v>
      </c>
      <c r="J49" s="19" t="n">
        <f aca="false">SUM(D49:I49)</f>
        <v>310</v>
      </c>
      <c r="K49" s="19" t="n">
        <f aca="false">COUNTIF(D49:I49,"&lt;=49")+COUNTIF(D49:I49,"AB")</f>
        <v>2</v>
      </c>
      <c r="L49" s="19" t="n">
        <f aca="false">COUNTIF(E49:J49,"AB")</f>
        <v>0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customFormat="false" ht="24.75" hidden="false" customHeight="true" outlineLevel="0" collapsed="false">
      <c r="A50" s="42" t="n">
        <v>40</v>
      </c>
      <c r="B50" s="203" t="n">
        <v>511523243043</v>
      </c>
      <c r="C50" s="204" t="s">
        <v>472</v>
      </c>
      <c r="D50" s="142" t="n">
        <v>59</v>
      </c>
      <c r="E50" s="24" t="n">
        <v>55</v>
      </c>
      <c r="F50" s="24" t="n">
        <v>47</v>
      </c>
      <c r="G50" s="24" t="n">
        <v>52</v>
      </c>
      <c r="H50" s="142" t="n">
        <v>14</v>
      </c>
      <c r="I50" s="24" t="n">
        <v>50</v>
      </c>
      <c r="J50" s="19" t="n">
        <f aca="false">SUM(D50:I50)</f>
        <v>277</v>
      </c>
      <c r="K50" s="19" t="n">
        <f aca="false">COUNTIF(D50:I50,"&lt;=49")+COUNTIF(D50:I50,"AB")</f>
        <v>2</v>
      </c>
      <c r="L50" s="19" t="n">
        <f aca="false">COUNTIF(E50:J50,"AB")</f>
        <v>0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customFormat="false" ht="24.75" hidden="false" customHeight="true" outlineLevel="0" collapsed="false">
      <c r="A51" s="42" t="n">
        <v>41</v>
      </c>
      <c r="B51" s="203" t="n">
        <v>511523243044</v>
      </c>
      <c r="C51" s="204" t="s">
        <v>473</v>
      </c>
      <c r="D51" s="142" t="n">
        <v>40</v>
      </c>
      <c r="E51" s="24" t="n">
        <v>18</v>
      </c>
      <c r="F51" s="24" t="n">
        <v>33</v>
      </c>
      <c r="G51" s="24" t="n">
        <v>8</v>
      </c>
      <c r="H51" s="142" t="n">
        <v>3</v>
      </c>
      <c r="I51" s="24" t="n">
        <v>13</v>
      </c>
      <c r="J51" s="19" t="n">
        <f aca="false">SUM(D51:I51)</f>
        <v>115</v>
      </c>
      <c r="K51" s="19" t="n">
        <f aca="false">COUNTIF(D51:I51,"&lt;=49")+COUNTIF(D51:I51,"AB")</f>
        <v>6</v>
      </c>
      <c r="L51" s="19" t="n">
        <f aca="false">COUNTIF(E51:J51,"AB")</f>
        <v>0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customFormat="false" ht="24.75" hidden="false" customHeight="true" outlineLevel="0" collapsed="false">
      <c r="A52" s="42" t="n">
        <v>42</v>
      </c>
      <c r="B52" s="203" t="n">
        <v>511523243045</v>
      </c>
      <c r="C52" s="204" t="s">
        <v>474</v>
      </c>
      <c r="D52" s="142" t="n">
        <v>54</v>
      </c>
      <c r="E52" s="24" t="n">
        <v>18</v>
      </c>
      <c r="F52" s="24" t="n">
        <v>21</v>
      </c>
      <c r="G52" s="24" t="n">
        <v>13</v>
      </c>
      <c r="H52" s="142" t="n">
        <v>8</v>
      </c>
      <c r="I52" s="24" t="n">
        <v>7</v>
      </c>
      <c r="J52" s="19" t="n">
        <f aca="false">SUM(D52:I52)</f>
        <v>121</v>
      </c>
      <c r="K52" s="19" t="n">
        <f aca="false">COUNTIF(D52:I52,"&lt;=49")+COUNTIF(D52:I52,"AB")</f>
        <v>5</v>
      </c>
      <c r="L52" s="19" t="n">
        <f aca="false">COUNTIF(E52:J52,"AB")</f>
        <v>0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customFormat="false" ht="24.75" hidden="false" customHeight="true" outlineLevel="0" collapsed="false">
      <c r="A53" s="42" t="n">
        <v>43</v>
      </c>
      <c r="B53" s="203" t="n">
        <v>511523243046</v>
      </c>
      <c r="C53" s="204" t="s">
        <v>475</v>
      </c>
      <c r="D53" s="142" t="n">
        <v>26</v>
      </c>
      <c r="E53" s="24" t="n">
        <v>24</v>
      </c>
      <c r="F53" s="24" t="n">
        <v>26</v>
      </c>
      <c r="G53" s="24" t="n">
        <v>33</v>
      </c>
      <c r="H53" s="142" t="n">
        <v>12</v>
      </c>
      <c r="I53" s="24" t="n">
        <v>25</v>
      </c>
      <c r="J53" s="19" t="n">
        <f aca="false">SUM(D53:I53)</f>
        <v>146</v>
      </c>
      <c r="K53" s="19" t="n">
        <f aca="false">COUNTIF(D53:I53,"&lt;=49")+COUNTIF(D53:I53,"AB")</f>
        <v>6</v>
      </c>
      <c r="L53" s="19" t="n">
        <f aca="false">COUNTIF(E53:J53,"AB")</f>
        <v>0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customFormat="false" ht="24.75" hidden="false" customHeight="true" outlineLevel="0" collapsed="false">
      <c r="A54" s="42" t="n">
        <v>44</v>
      </c>
      <c r="B54" s="203" t="n">
        <v>511523243047</v>
      </c>
      <c r="C54" s="204" t="s">
        <v>476</v>
      </c>
      <c r="D54" s="142" t="n">
        <v>54</v>
      </c>
      <c r="E54" s="24" t="n">
        <v>19</v>
      </c>
      <c r="F54" s="24" t="n">
        <v>35</v>
      </c>
      <c r="G54" s="24" t="n">
        <v>36</v>
      </c>
      <c r="H54" s="142" t="n">
        <v>22</v>
      </c>
      <c r="I54" s="24" t="n">
        <v>45</v>
      </c>
      <c r="J54" s="19" t="n">
        <f aca="false">SUM(D54:I54)</f>
        <v>211</v>
      </c>
      <c r="K54" s="19" t="n">
        <f aca="false">COUNTIF(D54:I54,"&lt;=49")+COUNTIF(D54:I54,"AB")</f>
        <v>5</v>
      </c>
      <c r="L54" s="19" t="n">
        <f aca="false">COUNTIF(E54:J54,"AB")</f>
        <v>0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customFormat="false" ht="24.75" hidden="false" customHeight="true" outlineLevel="0" collapsed="false">
      <c r="A55" s="42" t="n">
        <v>45</v>
      </c>
      <c r="B55" s="203" t="n">
        <v>511523243048</v>
      </c>
      <c r="C55" s="204" t="s">
        <v>477</v>
      </c>
      <c r="D55" s="206" t="n">
        <v>61</v>
      </c>
      <c r="E55" s="24" t="n">
        <v>28</v>
      </c>
      <c r="F55" s="24" t="n">
        <v>52</v>
      </c>
      <c r="G55" s="24" t="n">
        <v>46</v>
      </c>
      <c r="H55" s="206" t="n">
        <v>20</v>
      </c>
      <c r="I55" s="24" t="n">
        <v>15</v>
      </c>
      <c r="J55" s="19" t="n">
        <f aca="false">SUM(D55:I55)</f>
        <v>222</v>
      </c>
      <c r="K55" s="19" t="n">
        <f aca="false">COUNTIF(D55:I55,"&lt;=49")+COUNTIF(D55:I55,"AB")</f>
        <v>4</v>
      </c>
      <c r="L55" s="19" t="n">
        <f aca="false">COUNTIF(E55:J55,"AB")</f>
        <v>0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customFormat="false" ht="24.75" hidden="false" customHeight="true" outlineLevel="0" collapsed="false">
      <c r="A56" s="42" t="n">
        <v>46</v>
      </c>
      <c r="B56" s="203" t="n">
        <v>511523243049</v>
      </c>
      <c r="C56" s="204" t="s">
        <v>478</v>
      </c>
      <c r="D56" s="142" t="n">
        <v>55</v>
      </c>
      <c r="E56" s="24" t="n">
        <v>39</v>
      </c>
      <c r="F56" s="24" t="s">
        <v>24</v>
      </c>
      <c r="G56" s="24" t="n">
        <v>46</v>
      </c>
      <c r="H56" s="206" t="s">
        <v>24</v>
      </c>
      <c r="I56" s="24" t="n">
        <v>55</v>
      </c>
      <c r="J56" s="19" t="n">
        <f aca="false">SUM(D56:I56)</f>
        <v>195</v>
      </c>
      <c r="K56" s="19" t="n">
        <f aca="false">COUNTIF(D56:I56,"&lt;=49")+COUNTIF(D56:I56,"AB")</f>
        <v>4</v>
      </c>
      <c r="L56" s="19" t="n">
        <f aca="false">COUNTIF(E56:J56,"AB")</f>
        <v>2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customFormat="false" ht="24.75" hidden="false" customHeight="true" outlineLevel="0" collapsed="false">
      <c r="A57" s="42" t="n">
        <v>47</v>
      </c>
      <c r="B57" s="203" t="n">
        <v>511523243050</v>
      </c>
      <c r="C57" s="204" t="s">
        <v>479</v>
      </c>
      <c r="D57" s="142" t="n">
        <v>57</v>
      </c>
      <c r="E57" s="24" t="n">
        <v>33</v>
      </c>
      <c r="F57" s="24" t="n">
        <v>45</v>
      </c>
      <c r="G57" s="24" t="s">
        <v>362</v>
      </c>
      <c r="H57" s="142" t="n">
        <v>9</v>
      </c>
      <c r="I57" s="24" t="n">
        <v>52</v>
      </c>
      <c r="J57" s="19" t="n">
        <f aca="false">SUM(D57:I57)</f>
        <v>196</v>
      </c>
      <c r="K57" s="19" t="n">
        <f aca="false">COUNTIF(D57:I57,"&lt;=49")+COUNTIF(D57:I57,"AB")</f>
        <v>4</v>
      </c>
      <c r="L57" s="19" t="n">
        <f aca="false">COUNTIF(E57:J57,"AB")</f>
        <v>1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customFormat="false" ht="24.75" hidden="false" customHeight="true" outlineLevel="0" collapsed="false">
      <c r="A58" s="42" t="n">
        <v>48</v>
      </c>
      <c r="B58" s="203" t="n">
        <v>511523243051</v>
      </c>
      <c r="C58" s="204" t="s">
        <v>480</v>
      </c>
      <c r="D58" s="142" t="n">
        <v>40</v>
      </c>
      <c r="E58" s="24" t="n">
        <v>7</v>
      </c>
      <c r="F58" s="24" t="n">
        <v>19</v>
      </c>
      <c r="G58" s="24" t="n">
        <v>22</v>
      </c>
      <c r="H58" s="142" t="n">
        <v>11</v>
      </c>
      <c r="I58" s="24" t="n">
        <v>5</v>
      </c>
      <c r="J58" s="19" t="n">
        <f aca="false">SUM(D58:I58)</f>
        <v>104</v>
      </c>
      <c r="K58" s="19" t="n">
        <f aca="false">COUNTIF(D58:I58,"&lt;=49")+COUNTIF(D58:I58,"AB")</f>
        <v>6</v>
      </c>
      <c r="L58" s="19" t="n">
        <f aca="false">COUNTIF(E58:J58,"AB")</f>
        <v>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customFormat="false" ht="24.75" hidden="false" customHeight="true" outlineLevel="0" collapsed="false">
      <c r="A59" s="42" t="n">
        <v>49</v>
      </c>
      <c r="B59" s="203" t="n">
        <v>511523243052</v>
      </c>
      <c r="C59" s="204" t="s">
        <v>481</v>
      </c>
      <c r="D59" s="142" t="n">
        <v>8</v>
      </c>
      <c r="E59" s="24" t="n">
        <v>5</v>
      </c>
      <c r="F59" s="24" t="n">
        <v>6</v>
      </c>
      <c r="G59" s="24" t="n">
        <v>7</v>
      </c>
      <c r="H59" s="142" t="n">
        <v>6</v>
      </c>
      <c r="I59" s="24" t="n">
        <v>6</v>
      </c>
      <c r="J59" s="19" t="n">
        <f aca="false">SUM(D59:I59)</f>
        <v>38</v>
      </c>
      <c r="K59" s="19" t="n">
        <f aca="false">COUNTIF(D59:I59,"&lt;=49")+COUNTIF(D59:I59,"AB")</f>
        <v>6</v>
      </c>
      <c r="L59" s="19" t="n">
        <f aca="false">COUNTIF(E59:J59,"AB")</f>
        <v>0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customFormat="false" ht="24.75" hidden="false" customHeight="true" outlineLevel="0" collapsed="false">
      <c r="A60" s="42" t="n">
        <v>50</v>
      </c>
      <c r="B60" s="203" t="n">
        <v>511523243053</v>
      </c>
      <c r="C60" s="204" t="s">
        <v>482</v>
      </c>
      <c r="D60" s="142" t="n">
        <v>11</v>
      </c>
      <c r="E60" s="24" t="n">
        <v>53</v>
      </c>
      <c r="F60" s="24" t="n">
        <v>46</v>
      </c>
      <c r="G60" s="24" t="n">
        <v>30</v>
      </c>
      <c r="H60" s="206" t="s">
        <v>24</v>
      </c>
      <c r="I60" s="24" t="n">
        <v>50</v>
      </c>
      <c r="J60" s="19" t="n">
        <f aca="false">SUM(D60:I60)</f>
        <v>190</v>
      </c>
      <c r="K60" s="19" t="n">
        <f aca="false">COUNTIF(D60:I60,"&lt;=49")+COUNTIF(D60:I60,"AB")</f>
        <v>4</v>
      </c>
      <c r="L60" s="19" t="n">
        <f aca="false">COUNTIF(E60:J60,"AB")</f>
        <v>1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customFormat="false" ht="24.75" hidden="false" customHeight="true" outlineLevel="0" collapsed="false">
      <c r="A61" s="42" t="n">
        <v>51</v>
      </c>
      <c r="B61" s="203" t="n">
        <v>511523243054</v>
      </c>
      <c r="C61" s="204" t="s">
        <v>483</v>
      </c>
      <c r="D61" s="142" t="n">
        <v>55</v>
      </c>
      <c r="E61" s="24" t="n">
        <v>42</v>
      </c>
      <c r="F61" s="24" t="n">
        <v>41</v>
      </c>
      <c r="G61" s="24" t="n">
        <v>24</v>
      </c>
      <c r="H61" s="142" t="n">
        <v>18</v>
      </c>
      <c r="I61" s="24" t="s">
        <v>24</v>
      </c>
      <c r="J61" s="19" t="n">
        <f aca="false">SUM(D61:I61)</f>
        <v>180</v>
      </c>
      <c r="K61" s="19" t="n">
        <f aca="false">COUNTIF(D61:I61,"&lt;=49")+COUNTIF(D61:I61,"AB")</f>
        <v>5</v>
      </c>
      <c r="L61" s="19" t="n">
        <f aca="false">COUNTIF(E61:J61,"AB")</f>
        <v>1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customFormat="false" ht="24.75" hidden="false" customHeight="true" outlineLevel="0" collapsed="false">
      <c r="A62" s="42" t="n">
        <v>52</v>
      </c>
      <c r="B62" s="203" t="n">
        <v>511523243055</v>
      </c>
      <c r="C62" s="204" t="s">
        <v>484</v>
      </c>
      <c r="D62" s="142" t="n">
        <v>50</v>
      </c>
      <c r="E62" s="24" t="n">
        <v>46</v>
      </c>
      <c r="F62" s="24" t="n">
        <v>40</v>
      </c>
      <c r="G62" s="24" t="n">
        <v>59</v>
      </c>
      <c r="H62" s="142" t="n">
        <v>19</v>
      </c>
      <c r="I62" s="24" t="n">
        <v>50</v>
      </c>
      <c r="J62" s="19" t="n">
        <f aca="false">SUM(D62:I62)</f>
        <v>264</v>
      </c>
      <c r="K62" s="19" t="n">
        <f aca="false">COUNTIF(D62:I62,"&lt;=49")+COUNTIF(D62:I62,"AB")</f>
        <v>3</v>
      </c>
      <c r="L62" s="19" t="n">
        <f aca="false">COUNTIF(E62:J62,"AB")</f>
        <v>0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customFormat="false" ht="24.75" hidden="false" customHeight="true" outlineLevel="0" collapsed="false">
      <c r="A63" s="42" t="n">
        <v>53</v>
      </c>
      <c r="B63" s="20" t="n">
        <v>511523243301</v>
      </c>
      <c r="C63" s="40" t="s">
        <v>485</v>
      </c>
      <c r="D63" s="142" t="n">
        <v>50</v>
      </c>
      <c r="E63" s="24" t="s">
        <v>24</v>
      </c>
      <c r="F63" s="24" t="n">
        <v>29</v>
      </c>
      <c r="G63" s="24" t="n">
        <v>25</v>
      </c>
      <c r="H63" s="142" t="n">
        <v>22</v>
      </c>
      <c r="I63" s="24" t="n">
        <v>30</v>
      </c>
      <c r="J63" s="19" t="n">
        <f aca="false">SUM(D63:I63)</f>
        <v>156</v>
      </c>
      <c r="K63" s="19" t="n">
        <f aca="false">COUNTIF(D63:I63,"&lt;=49")+COUNTIF(D63:I63,"AB")</f>
        <v>5</v>
      </c>
      <c r="L63" s="19" t="n">
        <f aca="false">COUNTIF(E63:J63,"AB")</f>
        <v>1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customFormat="false" ht="24.75" hidden="false" customHeight="true" outlineLevel="0" collapsed="false">
      <c r="A64" s="42" t="n">
        <v>54</v>
      </c>
      <c r="B64" s="20" t="n">
        <v>511523243302</v>
      </c>
      <c r="C64" s="40" t="s">
        <v>486</v>
      </c>
      <c r="D64" s="142" t="n">
        <v>39</v>
      </c>
      <c r="E64" s="24" t="n">
        <v>48</v>
      </c>
      <c r="F64" s="24" t="n">
        <v>50</v>
      </c>
      <c r="G64" s="24" t="n">
        <v>44</v>
      </c>
      <c r="H64" s="142" t="n">
        <v>25</v>
      </c>
      <c r="I64" s="24" t="n">
        <v>50</v>
      </c>
      <c r="J64" s="19" t="n">
        <f aca="false">SUM(D64:I64)</f>
        <v>256</v>
      </c>
      <c r="K64" s="19" t="n">
        <f aca="false">COUNTIF(D64:I64,"&lt;=49")+COUNTIF(D64:I64,"AB")</f>
        <v>4</v>
      </c>
      <c r="L64" s="19" t="n">
        <f aca="false">COUNTIF(E64:J64,"AB")</f>
        <v>0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customFormat="false" ht="37.5" hidden="false" customHeight="true" outlineLevel="0" collapsed="false">
      <c r="A65" s="42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4" t="s">
        <v>76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customFormat="false" ht="24.75" hidden="false" customHeight="true" outlineLevel="0" collapsed="false">
      <c r="A66" s="45" t="s">
        <v>77</v>
      </c>
      <c r="B66" s="45"/>
      <c r="C66" s="45"/>
      <c r="D66" s="24" t="n">
        <v>55</v>
      </c>
      <c r="E66" s="24" t="n">
        <v>55</v>
      </c>
      <c r="F66" s="24" t="n">
        <v>55</v>
      </c>
      <c r="G66" s="24" t="n">
        <v>55</v>
      </c>
      <c r="H66" s="24" t="n">
        <v>55</v>
      </c>
      <c r="I66" s="24" t="n">
        <v>55</v>
      </c>
      <c r="J66" s="46" t="s">
        <v>78</v>
      </c>
      <c r="K66" s="46" t="n">
        <f aca="false">COUNTIF(K11:K64,"1")</f>
        <v>3</v>
      </c>
      <c r="L66" s="47" t="n">
        <f aca="false">COUNTIF(K11:K64,"0")</f>
        <v>0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customFormat="false" ht="24.75" hidden="false" customHeight="true" outlineLevel="0" collapsed="false">
      <c r="A67" s="48" t="s">
        <v>79</v>
      </c>
      <c r="B67" s="48"/>
      <c r="C67" s="48"/>
      <c r="D67" s="24" t="n">
        <f aca="false">COUNT(D11:D64,"!AB")</f>
        <v>53</v>
      </c>
      <c r="E67" s="24" t="n">
        <f aca="false">COUNT(E11:E64,"!AB")</f>
        <v>51</v>
      </c>
      <c r="F67" s="24" t="n">
        <f aca="false">COUNT(F11:F64,"!AB")</f>
        <v>51</v>
      </c>
      <c r="G67" s="24" t="n">
        <f aca="false">COUNT(G11:G64,"!AB")</f>
        <v>50</v>
      </c>
      <c r="H67" s="24" t="n">
        <f aca="false">COUNT(H11:H64,"!AB")</f>
        <v>50</v>
      </c>
      <c r="I67" s="24" t="n">
        <f aca="false">COUNT(I11:I64,"!AB")</f>
        <v>53</v>
      </c>
      <c r="J67" s="46" t="s">
        <v>80</v>
      </c>
      <c r="K67" s="46" t="n">
        <f aca="false">COUNTIF(K12:K64,"2")</f>
        <v>3</v>
      </c>
      <c r="L67" s="47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customFormat="false" ht="24.75" hidden="false" customHeight="true" outlineLevel="0" collapsed="false">
      <c r="A68" s="48" t="s">
        <v>81</v>
      </c>
      <c r="B68" s="48"/>
      <c r="C68" s="48"/>
      <c r="D68" s="24" t="n">
        <f aca="false">COUNTIF(D11:D64,"AB")</f>
        <v>1</v>
      </c>
      <c r="E68" s="24" t="n">
        <f aca="false">COUNTIF(E11:E64,"AB")</f>
        <v>3</v>
      </c>
      <c r="F68" s="24" t="n">
        <f aca="false">COUNTIF(F11:F64,"AB")</f>
        <v>3</v>
      </c>
      <c r="G68" s="24" t="n">
        <f aca="false">COUNTIF(G11:G64,"AB")</f>
        <v>4</v>
      </c>
      <c r="H68" s="24" t="n">
        <f aca="false">COUNTIF(H11:H64,"AB")</f>
        <v>4</v>
      </c>
      <c r="I68" s="24" t="n">
        <f aca="false">COUNTIF(I11:I64,"AB")</f>
        <v>1</v>
      </c>
      <c r="J68" s="46" t="s">
        <v>82</v>
      </c>
      <c r="K68" s="46" t="n">
        <f aca="false">COUNTIF(K13:K64,"3")</f>
        <v>5</v>
      </c>
      <c r="L68" s="47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customFormat="false" ht="24.75" hidden="false" customHeight="true" outlineLevel="0" collapsed="false">
      <c r="A69" s="48" t="s">
        <v>83</v>
      </c>
      <c r="B69" s="48"/>
      <c r="C69" s="48"/>
      <c r="D69" s="24" t="n">
        <f aca="false">COUNTIF(D11:D64,"OD")</f>
        <v>0</v>
      </c>
      <c r="E69" s="24" t="n">
        <f aca="false">COUNTIF(E11:E64,"OD")</f>
        <v>0</v>
      </c>
      <c r="F69" s="24" t="n">
        <f aca="false">COUNTIF(F11:F64,"OD")</f>
        <v>0</v>
      </c>
      <c r="G69" s="24" t="n">
        <f aca="false">COUNTIF(G11:G64,"OD")</f>
        <v>0</v>
      </c>
      <c r="H69" s="24" t="n">
        <f aca="false">COUNTIF(H11:H64,"OD")</f>
        <v>0</v>
      </c>
      <c r="I69" s="24" t="n">
        <f aca="false">COUNTIF(I11:I64,"OD")</f>
        <v>0</v>
      </c>
      <c r="J69" s="13" t="s">
        <v>84</v>
      </c>
      <c r="K69" s="46" t="n">
        <f aca="false">COUNTIF(K14:K64,"4")</f>
        <v>7</v>
      </c>
      <c r="L69" s="47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customFormat="false" ht="24.75" hidden="false" customHeight="true" outlineLevel="0" collapsed="false">
      <c r="A70" s="48" t="s">
        <v>85</v>
      </c>
      <c r="B70" s="48"/>
      <c r="C70" s="48"/>
      <c r="D70" s="24" t="n">
        <f aca="false">COUNTIF(D11:D64,"&gt;=50")</f>
        <v>31</v>
      </c>
      <c r="E70" s="24" t="n">
        <f aca="false">COUNTIF(E11:E64,"&gt;=50")</f>
        <v>5</v>
      </c>
      <c r="F70" s="24" t="n">
        <f aca="false">COUNTIF(F11:F64,"&gt;=50")</f>
        <v>11</v>
      </c>
      <c r="G70" s="24" t="n">
        <f aca="false">COUNTIF(G11:G64,"&gt;=50")</f>
        <v>8</v>
      </c>
      <c r="H70" s="24" t="n">
        <f aca="false">COUNTIF(H11:H64,"&gt;=50")</f>
        <v>1</v>
      </c>
      <c r="I70" s="24" t="n">
        <f aca="false">COUNTIF(I11:I64,"&gt;=50")</f>
        <v>19</v>
      </c>
      <c r="J70" s="46" t="s">
        <v>86</v>
      </c>
      <c r="K70" s="46" t="n">
        <f aca="false">COUNTIF(K15:K64,"5")</f>
        <v>17</v>
      </c>
      <c r="L70" s="47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customFormat="false" ht="24.75" hidden="false" customHeight="true" outlineLevel="0" collapsed="false">
      <c r="A71" s="48" t="s">
        <v>87</v>
      </c>
      <c r="B71" s="48"/>
      <c r="C71" s="48"/>
      <c r="D71" s="24" t="n">
        <f aca="false">COUNTIF(D11:D64,"&lt;=49")</f>
        <v>22</v>
      </c>
      <c r="E71" s="24" t="n">
        <f aca="false">COUNTIF(E11:E64,"&lt;=49")</f>
        <v>46</v>
      </c>
      <c r="F71" s="24" t="n">
        <f aca="false">COUNTIF(F11:F64,"&lt;=49")</f>
        <v>40</v>
      </c>
      <c r="G71" s="24" t="n">
        <f aca="false">COUNTIF(G11:G64,"&lt;=49")</f>
        <v>42</v>
      </c>
      <c r="H71" s="24" t="n">
        <f aca="false">COUNTIF(H11:H64,"&lt;=49")</f>
        <v>49</v>
      </c>
      <c r="I71" s="24" t="n">
        <f aca="false">COUNTIF(I11:I64,"&lt;=49")</f>
        <v>34</v>
      </c>
      <c r="J71" s="49" t="s">
        <v>88</v>
      </c>
      <c r="K71" s="46" t="n">
        <f aca="false">COUNTIF(K16:K64,"6")</f>
        <v>15</v>
      </c>
      <c r="L71" s="47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customFormat="false" ht="24.75" hidden="false" customHeight="true" outlineLevel="0" collapsed="false">
      <c r="A72" s="50" t="s">
        <v>89</v>
      </c>
      <c r="B72" s="50"/>
      <c r="C72" s="50"/>
      <c r="D72" s="51" t="n">
        <f aca="false">D70/D67</f>
        <v>0.584905660377359</v>
      </c>
      <c r="E72" s="51" t="n">
        <f aca="false">E70/E67</f>
        <v>0.0980392156862745</v>
      </c>
      <c r="F72" s="51" t="n">
        <f aca="false">F70/F67</f>
        <v>0.215686274509804</v>
      </c>
      <c r="G72" s="51" t="n">
        <f aca="false">G70/G67</f>
        <v>0.16</v>
      </c>
      <c r="H72" s="51" t="n">
        <f aca="false">H70/H67</f>
        <v>0.02</v>
      </c>
      <c r="I72" s="270" t="n">
        <f aca="false">I70/I67</f>
        <v>0.358490566037736</v>
      </c>
      <c r="J72" s="46" t="s">
        <v>90</v>
      </c>
      <c r="K72" s="271" t="n">
        <f aca="false">L66/55*100</f>
        <v>0</v>
      </c>
      <c r="L72" s="47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customFormat="false" ht="46.5" hidden="false" customHeight="true" outlineLevel="0" collapsed="false">
      <c r="A73" s="106" t="s">
        <v>91</v>
      </c>
      <c r="B73" s="54" t="s">
        <v>487</v>
      </c>
      <c r="C73" s="55" t="s">
        <v>488</v>
      </c>
      <c r="D73" s="56" t="s">
        <v>489</v>
      </c>
      <c r="E73" s="57" t="s">
        <v>490</v>
      </c>
      <c r="F73" s="58" t="s">
        <v>491</v>
      </c>
      <c r="G73" s="57" t="s">
        <v>492</v>
      </c>
      <c r="H73" s="60" t="s">
        <v>493</v>
      </c>
      <c r="I73" s="272" t="s">
        <v>494</v>
      </c>
      <c r="J73" s="273" t="s">
        <v>495</v>
      </c>
      <c r="K73" s="274" t="s">
        <v>496</v>
      </c>
      <c r="L73" s="105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customFormat="false" ht="56.25" hidden="false" customHeight="true" outlineLevel="0" collapsed="false">
      <c r="B74" s="54" t="s">
        <v>92</v>
      </c>
      <c r="C74" s="55" t="s">
        <v>93</v>
      </c>
      <c r="D74" s="56" t="s">
        <v>94</v>
      </c>
      <c r="E74" s="57"/>
      <c r="F74" s="58" t="s">
        <v>95</v>
      </c>
      <c r="G74" s="57"/>
      <c r="H74" s="60" t="s">
        <v>96</v>
      </c>
      <c r="I74" s="272"/>
      <c r="J74" s="61"/>
      <c r="K74" s="62" t="s">
        <v>97</v>
      </c>
      <c r="L74" s="63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customFormat="false" ht="56.25" hidden="false" customHeight="true" outlineLevel="0" collapsed="false">
      <c r="A75" s="64" t="n">
        <v>1</v>
      </c>
      <c r="B75" s="65" t="s">
        <v>497</v>
      </c>
      <c r="C75" s="66" t="s">
        <v>498</v>
      </c>
      <c r="D75" s="67" t="n">
        <f aca="false">D67</f>
        <v>53</v>
      </c>
      <c r="E75" s="275"/>
      <c r="F75" s="69" t="n">
        <f aca="false">D68</f>
        <v>1</v>
      </c>
      <c r="G75" s="275"/>
      <c r="H75" s="69" t="n">
        <f aca="false">D70</f>
        <v>31</v>
      </c>
      <c r="I75" s="276"/>
      <c r="J75" s="275"/>
      <c r="K75" s="72" t="n">
        <f aca="false">H75/D75*100</f>
        <v>58.4905660377358</v>
      </c>
      <c r="L75" s="63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customFormat="false" ht="39.75" hidden="false" customHeight="true" outlineLevel="0" collapsed="false">
      <c r="A76" s="64" t="n">
        <v>2</v>
      </c>
      <c r="B76" s="65" t="s">
        <v>499</v>
      </c>
      <c r="C76" s="66" t="s">
        <v>107</v>
      </c>
      <c r="D76" s="73" t="n">
        <f aca="false">E67</f>
        <v>51</v>
      </c>
      <c r="E76" s="275"/>
      <c r="F76" s="69" t="n">
        <f aca="false">E68</f>
        <v>3</v>
      </c>
      <c r="G76" s="275"/>
      <c r="H76" s="69" t="n">
        <f aca="false">E70</f>
        <v>5</v>
      </c>
      <c r="I76" s="276"/>
      <c r="J76" s="275"/>
      <c r="K76" s="72" t="n">
        <f aca="false">H76/D76*100</f>
        <v>9.80392156862745</v>
      </c>
      <c r="L76" s="63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customFormat="false" ht="45" hidden="false" customHeight="true" outlineLevel="0" collapsed="false">
      <c r="A77" s="64" t="n">
        <v>3</v>
      </c>
      <c r="B77" s="65" t="s">
        <v>500</v>
      </c>
      <c r="C77" s="66" t="s">
        <v>105</v>
      </c>
      <c r="D77" s="67" t="n">
        <f aca="false">F67</f>
        <v>51</v>
      </c>
      <c r="E77" s="275"/>
      <c r="F77" s="69" t="n">
        <f aca="false">F68</f>
        <v>3</v>
      </c>
      <c r="G77" s="275"/>
      <c r="H77" s="69" t="n">
        <f aca="false">F70</f>
        <v>11</v>
      </c>
      <c r="I77" s="276"/>
      <c r="J77" s="275"/>
      <c r="K77" s="74" t="n">
        <f aca="false">H77/D77*100</f>
        <v>21.5686274509804</v>
      </c>
      <c r="L77" s="63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customFormat="false" ht="60.75" hidden="false" customHeight="true" outlineLevel="0" collapsed="false">
      <c r="A78" s="64" t="n">
        <v>4</v>
      </c>
      <c r="B78" s="75" t="s">
        <v>501</v>
      </c>
      <c r="C78" s="66" t="s">
        <v>99</v>
      </c>
      <c r="D78" s="67" t="n">
        <f aca="false">G67</f>
        <v>50</v>
      </c>
      <c r="E78" s="275"/>
      <c r="F78" s="69" t="n">
        <f aca="false">G68</f>
        <v>4</v>
      </c>
      <c r="G78" s="275"/>
      <c r="H78" s="69" t="n">
        <f aca="false">G70</f>
        <v>8</v>
      </c>
      <c r="I78" s="276"/>
      <c r="J78" s="275"/>
      <c r="K78" s="74" t="n">
        <f aca="false">H78/D78*100</f>
        <v>16</v>
      </c>
      <c r="L78" s="63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customFormat="false" ht="45" hidden="false" customHeight="true" outlineLevel="0" collapsed="false">
      <c r="A79" s="64" t="n">
        <v>5</v>
      </c>
      <c r="B79" s="65" t="s">
        <v>502</v>
      </c>
      <c r="C79" s="66" t="s">
        <v>192</v>
      </c>
      <c r="D79" s="67" t="n">
        <f aca="false">H67</f>
        <v>50</v>
      </c>
      <c r="E79" s="275"/>
      <c r="F79" s="69" t="n">
        <f aca="false">H68</f>
        <v>4</v>
      </c>
      <c r="G79" s="275"/>
      <c r="H79" s="277" t="n">
        <f aca="false">H70</f>
        <v>1</v>
      </c>
      <c r="I79" s="278"/>
      <c r="J79" s="279"/>
      <c r="K79" s="74" t="n">
        <f aca="false">H79/D79*100</f>
        <v>2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customFormat="false" ht="60.75" hidden="false" customHeight="true" outlineLevel="0" collapsed="false">
      <c r="A80" s="64" t="n">
        <v>6</v>
      </c>
      <c r="B80" s="65" t="s">
        <v>503</v>
      </c>
      <c r="C80" s="66" t="s">
        <v>504</v>
      </c>
      <c r="D80" s="280" t="n">
        <v>54</v>
      </c>
      <c r="E80" s="275"/>
      <c r="F80" s="280" t="n">
        <v>1</v>
      </c>
      <c r="G80" s="276"/>
      <c r="H80" s="280" t="n">
        <v>34</v>
      </c>
      <c r="I80" s="276"/>
      <c r="J80" s="275"/>
      <c r="K80" s="281" t="n">
        <f aca="false">H80/D80*100</f>
        <v>62.962962962963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customFormat="false" ht="15.75" hidden="false" customHeight="true" outlineLevel="0" collapsed="false">
      <c r="A81" s="2"/>
      <c r="B81" s="78"/>
      <c r="C81" s="79"/>
      <c r="D81" s="78"/>
      <c r="E81" s="78"/>
      <c r="F81" s="78"/>
      <c r="G81" s="78"/>
      <c r="H81" s="78"/>
      <c r="I81" s="78"/>
      <c r="J81" s="78"/>
      <c r="K81" s="8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customFormat="false" ht="15.75" hidden="false" customHeight="true" outlineLevel="0" collapsed="false">
      <c r="A82" s="2"/>
      <c r="B82" s="78"/>
      <c r="C82" s="79"/>
      <c r="D82" s="78"/>
      <c r="E82" s="78"/>
      <c r="F82" s="78"/>
      <c r="G82" s="78"/>
      <c r="H82" s="78"/>
      <c r="I82" s="78"/>
      <c r="J82" s="78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customFormat="false" ht="15.75" hidden="false" customHeight="true" outlineLevel="0" collapsed="false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customFormat="false" ht="15.75" hidden="false" customHeight="true" outlineLevel="0" collapsed="false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customFormat="false" ht="15.75" hidden="false" customHeight="true" outlineLevel="0" collapsed="false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customFormat="false" ht="15.75" hidden="false" customHeight="true" outlineLevel="0" collapsed="false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customFormat="false" ht="15.75" hidden="false" customHeight="true" outlineLevel="0" collapsed="false">
      <c r="A87" s="2"/>
      <c r="B87" s="2"/>
      <c r="C87" s="3"/>
      <c r="D87" s="2"/>
      <c r="E87" s="2"/>
      <c r="F87" s="121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customFormat="false" ht="15.75" hidden="false" customHeight="true" outlineLevel="0" collapsed="false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customFormat="false" ht="15.75" hidden="false" customHeight="true" outlineLevel="0" collapsed="false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customFormat="false" ht="15.75" hidden="false" customHeight="true" outlineLevel="0" collapsed="false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customFormat="false" ht="15.75" hidden="false" customHeight="true" outlineLevel="0" collapsed="false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customFormat="false" ht="15.75" hidden="false" customHeight="true" outlineLevel="0" collapsed="false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customFormat="false" ht="15.75" hidden="false" customHeight="true" outlineLevel="0" collapsed="false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customFormat="false" ht="15.75" hidden="false" customHeight="true" outlineLevel="0" collapsed="false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customFormat="false" ht="15.75" hidden="false" customHeight="true" outlineLevel="0" collapsed="false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customFormat="false" ht="15.75" hidden="false" customHeight="true" outlineLevel="0" collapsed="false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customFormat="false" ht="15.75" hidden="false" customHeight="true" outlineLevel="0" collapsed="false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customFormat="false" ht="15.75" hidden="false" customHeight="true" outlineLevel="0" collapsed="false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customFormat="false" ht="15.75" hidden="false" customHeight="true" outlineLevel="0" collapsed="false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customFormat="false" ht="15.75" hidden="false" customHeight="true" outlineLevel="0" collapsed="false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customFormat="false" ht="15.75" hidden="false" customHeight="true" outlineLevel="0" collapsed="false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customFormat="false" ht="15.75" hidden="false" customHeight="true" outlineLevel="0" collapsed="false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customFormat="false" ht="15.75" hidden="false" customHeight="true" outlineLevel="0" collapsed="false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customFormat="false" ht="15.75" hidden="false" customHeight="true" outlineLevel="0" collapsed="false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customFormat="false" ht="15.75" hidden="false" customHeight="true" outlineLevel="0" collapsed="false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customFormat="false" ht="15.75" hidden="false" customHeight="true" outlineLevel="0" collapsed="false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customFormat="false" ht="15.75" hidden="false" customHeight="true" outlineLevel="0" collapsed="false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customFormat="false" ht="15.75" hidden="false" customHeight="true" outlineLevel="0" collapsed="false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customFormat="false" ht="15.75" hidden="false" customHeight="true" outlineLevel="0" collapsed="false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customFormat="false" ht="15.75" hidden="false" customHeight="true" outlineLevel="0" collapsed="false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customFormat="false" ht="15.75" hidden="false" customHeight="true" outlineLevel="0" collapsed="false">
      <c r="A111" s="2"/>
      <c r="B111" s="80"/>
      <c r="C111" s="80"/>
      <c r="D111" s="2"/>
      <c r="E111" s="81"/>
      <c r="F111" s="81"/>
      <c r="G111" s="81"/>
      <c r="H111" s="81"/>
      <c r="I111" s="8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customFormat="false" ht="15.75" hidden="false" customHeight="true" outlineLevel="0" collapsed="false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customFormat="false" ht="15.75" hidden="false" customHeight="true" outlineLevel="0" collapsed="false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customFormat="false" ht="15.75" hidden="false" customHeight="true" outlineLevel="0" collapsed="false">
      <c r="A114" s="2"/>
      <c r="B114" s="80" t="s">
        <v>110</v>
      </c>
      <c r="C114" s="80"/>
      <c r="D114" s="2"/>
      <c r="E114" s="81" t="s">
        <v>111</v>
      </c>
      <c r="F114" s="81"/>
      <c r="G114" s="81"/>
      <c r="H114" s="81" t="s">
        <v>112</v>
      </c>
      <c r="I114" s="8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customFormat="false" ht="15.75" hidden="false" customHeight="true" outlineLevel="0" collapsed="false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customFormat="false" ht="15.75" hidden="false" customHeight="true" outlineLevel="0" collapsed="false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customFormat="false" ht="15.75" hidden="false" customHeight="true" outlineLevel="0" collapsed="false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customFormat="false" ht="15.75" hidden="false" customHeight="true" outlineLevel="0" collapsed="false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customFormat="false" ht="15.75" hidden="false" customHeight="true" outlineLevel="0" collapsed="false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customFormat="false" ht="15.75" hidden="false" customHeight="true" outlineLevel="0" collapsed="false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customFormat="false" ht="15.75" hidden="false" customHeight="true" outlineLevel="0" collapsed="false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customFormat="false" ht="15.75" hidden="false" customHeight="true" outlineLevel="0" collapsed="false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customFormat="false" ht="15.75" hidden="false" customHeight="true" outlineLevel="0" collapsed="false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customFormat="false" ht="15.75" hidden="false" customHeight="true" outlineLevel="0" collapsed="false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customFormat="false" ht="15.75" hidden="false" customHeight="true" outlineLevel="0" collapsed="false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customFormat="false" ht="15.75" hidden="false" customHeight="true" outlineLevel="0" collapsed="false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customFormat="false" ht="15.75" hidden="false" customHeight="true" outlineLevel="0" collapsed="false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customFormat="false" ht="15.75" hidden="false" customHeight="true" outlineLevel="0" collapsed="false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customFormat="false" ht="15.75" hidden="false" customHeight="true" outlineLevel="0" collapsed="false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customFormat="false" ht="15.75" hidden="false" customHeight="true" outlineLevel="0" collapsed="false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customFormat="false" ht="15.75" hidden="false" customHeight="true" outlineLevel="0" collapsed="false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customFormat="false" ht="15.75" hidden="false" customHeight="true" outlineLevel="0" collapsed="false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customFormat="false" ht="15.75" hidden="false" customHeight="true" outlineLevel="0" collapsed="false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customFormat="false" ht="15.75" hidden="false" customHeight="true" outlineLevel="0" collapsed="false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customFormat="false" ht="15.75" hidden="false" customHeight="true" outlineLevel="0" collapsed="false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customFormat="false" ht="15.75" hidden="false" customHeight="true" outlineLevel="0" collapsed="false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customFormat="false" ht="15.75" hidden="false" customHeight="true" outlineLevel="0" collapsed="false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customFormat="false" ht="15.75" hidden="false" customHeight="true" outlineLevel="0" collapsed="false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customFormat="false" ht="15.75" hidden="false" customHeight="true" outlineLevel="0" collapsed="false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customFormat="false" ht="15.75" hidden="false" customHeight="true" outlineLevel="0" collapsed="false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customFormat="false" ht="15.75" hidden="false" customHeight="true" outlineLevel="0" collapsed="false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customFormat="false" ht="15.75" hidden="false" customHeight="true" outlineLevel="0" collapsed="false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customFormat="false" ht="15.75" hidden="false" customHeight="true" outlineLevel="0" collapsed="false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customFormat="false" ht="15.75" hidden="false" customHeight="true" outlineLevel="0" collapsed="false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customFormat="false" ht="15.75" hidden="false" customHeight="true" outlineLevel="0" collapsed="false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customFormat="false" ht="15.75" hidden="false" customHeight="true" outlineLevel="0" collapsed="false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customFormat="false" ht="15.75" hidden="false" customHeight="true" outlineLevel="0" collapsed="false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customFormat="false" ht="15.75" hidden="false" customHeight="true" outlineLevel="0" collapsed="false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customFormat="false" ht="15.75" hidden="false" customHeight="true" outlineLevel="0" collapsed="false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customFormat="false" ht="15.75" hidden="false" customHeight="true" outlineLevel="0" collapsed="false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customFormat="false" ht="15.75" hidden="false" customHeight="true" outlineLevel="0" collapsed="false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customFormat="false" ht="15.75" hidden="false" customHeight="true" outlineLevel="0" collapsed="false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customFormat="false" ht="15.75" hidden="false" customHeight="true" outlineLevel="0" collapsed="false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customFormat="false" ht="15.75" hidden="false" customHeight="true" outlineLevel="0" collapsed="false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customFormat="false" ht="15.75" hidden="false" customHeight="true" outlineLevel="0" collapsed="false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customFormat="false" ht="15.75" hidden="false" customHeight="true" outlineLevel="0" collapsed="false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customFormat="false" ht="15.75" hidden="false" customHeight="true" outlineLevel="0" collapsed="false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customFormat="false" ht="15.75" hidden="false" customHeight="true" outlineLevel="0" collapsed="false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customFormat="false" ht="15.75" hidden="false" customHeight="true" outlineLevel="0" collapsed="false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customFormat="false" ht="15.75" hidden="false" customHeight="true" outlineLevel="0" collapsed="false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customFormat="false" ht="15.75" hidden="false" customHeight="true" outlineLevel="0" collapsed="false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customFormat="false" ht="15.75" hidden="false" customHeight="true" outlineLevel="0" collapsed="false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customFormat="false" ht="15.75" hidden="false" customHeight="true" outlineLevel="0" collapsed="false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customFormat="false" ht="15.75" hidden="false" customHeight="true" outlineLevel="0" collapsed="false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customFormat="false" ht="15.75" hidden="false" customHeight="true" outlineLevel="0" collapsed="false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customFormat="false" ht="15.75" hidden="false" customHeight="true" outlineLevel="0" collapsed="false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customFormat="false" ht="15.75" hidden="false" customHeight="true" outlineLevel="0" collapsed="false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customFormat="false" ht="15.75" hidden="false" customHeight="true" outlineLevel="0" collapsed="false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customFormat="false" ht="15.75" hidden="false" customHeight="true" outlineLevel="0" collapsed="false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customFormat="false" ht="15.75" hidden="false" customHeight="true" outlineLevel="0" collapsed="false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customFormat="false" ht="15.75" hidden="false" customHeight="true" outlineLevel="0" collapsed="false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customFormat="false" ht="15.75" hidden="false" customHeight="true" outlineLevel="0" collapsed="false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customFormat="false" ht="15.75" hidden="false" customHeight="true" outlineLevel="0" collapsed="false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customFormat="false" ht="15.75" hidden="false" customHeight="true" outlineLevel="0" collapsed="false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customFormat="false" ht="15.75" hidden="false" customHeight="true" outlineLevel="0" collapsed="false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customFormat="false" ht="15.75" hidden="false" customHeight="true" outlineLevel="0" collapsed="false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customFormat="false" ht="15.75" hidden="false" customHeight="true" outlineLevel="0" collapsed="false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customFormat="false" ht="15.75" hidden="false" customHeight="true" outlineLevel="0" collapsed="false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customFormat="false" ht="15.75" hidden="false" customHeight="true" outlineLevel="0" collapsed="false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customFormat="false" ht="15.75" hidden="false" customHeight="true" outlineLevel="0" collapsed="false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customFormat="false" ht="15.75" hidden="false" customHeight="true" outlineLevel="0" collapsed="false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customFormat="false" ht="15.75" hidden="false" customHeight="true" outlineLevel="0" collapsed="false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customFormat="false" ht="15.75" hidden="false" customHeight="true" outlineLevel="0" collapsed="false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customFormat="false" ht="15.75" hidden="false" customHeight="true" outlineLevel="0" collapsed="false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customFormat="false" ht="15.75" hidden="false" customHeight="true" outlineLevel="0" collapsed="false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customFormat="false" ht="15.75" hidden="false" customHeight="true" outlineLevel="0" collapsed="false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customFormat="false" ht="15.75" hidden="false" customHeight="true" outlineLevel="0" collapsed="false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customFormat="false" ht="15.75" hidden="false" customHeight="true" outlineLevel="0" collapsed="false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customFormat="false" ht="15.75" hidden="false" customHeight="true" outlineLevel="0" collapsed="false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customFormat="false" ht="15.75" hidden="false" customHeight="true" outlineLevel="0" collapsed="false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customFormat="false" ht="15.75" hidden="false" customHeight="true" outlineLevel="0" collapsed="false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customFormat="false" ht="15.75" hidden="false" customHeight="true" outlineLevel="0" collapsed="false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customFormat="false" ht="15.75" hidden="false" customHeight="true" outlineLevel="0" collapsed="false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customFormat="false" ht="15.75" hidden="false" customHeight="true" outlineLevel="0" collapsed="false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customFormat="false" ht="15.75" hidden="false" customHeight="true" outlineLevel="0" collapsed="false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customFormat="false" ht="15.75" hidden="false" customHeight="true" outlineLevel="0" collapsed="false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customFormat="false" ht="15.75" hidden="false" customHeight="true" outlineLevel="0" collapsed="false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customFormat="false" ht="15.75" hidden="false" customHeight="true" outlineLevel="0" collapsed="false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customFormat="false" ht="15.75" hidden="false" customHeight="true" outlineLevel="0" collapsed="false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customFormat="false" ht="15.75" hidden="false" customHeight="true" outlineLevel="0" collapsed="false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customFormat="false" ht="15.75" hidden="false" customHeight="true" outlineLevel="0" collapsed="false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customFormat="false" ht="15.75" hidden="false" customHeight="true" outlineLevel="0" collapsed="false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customFormat="false" ht="15.75" hidden="false" customHeight="true" outlineLevel="0" collapsed="false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customFormat="false" ht="15.75" hidden="false" customHeight="true" outlineLevel="0" collapsed="false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customFormat="false" ht="15.75" hidden="false" customHeight="true" outlineLevel="0" collapsed="false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customFormat="false" ht="15.75" hidden="false" customHeight="true" outlineLevel="0" collapsed="false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customFormat="false" ht="15.75" hidden="false" customHeight="true" outlineLevel="0" collapsed="false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customFormat="false" ht="15.75" hidden="false" customHeight="true" outlineLevel="0" collapsed="false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customFormat="false" ht="15.75" hidden="false" customHeight="true" outlineLevel="0" collapsed="false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customFormat="false" ht="15.75" hidden="false" customHeight="true" outlineLevel="0" collapsed="false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customFormat="false" ht="15.75" hidden="false" customHeight="true" outlineLevel="0" collapsed="false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customFormat="false" ht="15.75" hidden="false" customHeight="true" outlineLevel="0" collapsed="false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customFormat="false" ht="15.75" hidden="false" customHeight="true" outlineLevel="0" collapsed="false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customFormat="false" ht="15.75" hidden="false" customHeight="true" outlineLevel="0" collapsed="false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customFormat="false" ht="15.75" hidden="false" customHeight="true" outlineLevel="0" collapsed="false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customFormat="false" ht="15.75" hidden="false" customHeight="true" outlineLevel="0" collapsed="false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customFormat="false" ht="15.75" hidden="false" customHeight="true" outlineLevel="0" collapsed="false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customFormat="false" ht="15.75" hidden="false" customHeight="true" outlineLevel="0" collapsed="false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customFormat="false" ht="15.75" hidden="false" customHeight="true" outlineLevel="0" collapsed="false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customFormat="false" ht="15.75" hidden="false" customHeight="true" outlineLevel="0" collapsed="false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customFormat="false" ht="15.75" hidden="false" customHeight="true" outlineLevel="0" collapsed="false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customFormat="false" ht="15.75" hidden="false" customHeight="true" outlineLevel="0" collapsed="false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customFormat="false" ht="15.75" hidden="false" customHeight="true" outlineLevel="0" collapsed="false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customFormat="false" ht="15.75" hidden="false" customHeight="true" outlineLevel="0" collapsed="false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customFormat="false" ht="15.75" hidden="false" customHeight="true" outlineLevel="0" collapsed="false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customFormat="false" ht="15.75" hidden="false" customHeight="true" outlineLevel="0" collapsed="false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customFormat="false" ht="15.75" hidden="false" customHeight="true" outlineLevel="0" collapsed="false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customFormat="false" ht="15.75" hidden="false" customHeight="true" outlineLevel="0" collapsed="false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customFormat="false" ht="15.75" hidden="false" customHeight="true" outlineLevel="0" collapsed="false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customFormat="false" ht="15.75" hidden="false" customHeight="true" outlineLevel="0" collapsed="false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customFormat="false" ht="15.75" hidden="false" customHeight="true" outlineLevel="0" collapsed="false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customFormat="false" ht="15.75" hidden="false" customHeight="true" outlineLevel="0" collapsed="false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customFormat="false" ht="15.75" hidden="false" customHeight="true" outlineLevel="0" collapsed="false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customFormat="false" ht="15.75" hidden="false" customHeight="true" outlineLevel="0" collapsed="false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customFormat="false" ht="15.75" hidden="false" customHeight="true" outlineLevel="0" collapsed="false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customFormat="false" ht="15.75" hidden="false" customHeight="true" outlineLevel="0" collapsed="false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customFormat="false" ht="15.75" hidden="false" customHeight="true" outlineLevel="0" collapsed="false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customFormat="false" ht="15.75" hidden="false" customHeight="true" outlineLevel="0" collapsed="false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customFormat="false" ht="15.75" hidden="false" customHeight="true" outlineLevel="0" collapsed="false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customFormat="false" ht="15.75" hidden="false" customHeight="true" outlineLevel="0" collapsed="false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customFormat="false" ht="15.75" hidden="false" customHeight="true" outlineLevel="0" collapsed="false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customFormat="false" ht="15.75" hidden="false" customHeight="true" outlineLevel="0" collapsed="false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customFormat="false" ht="15.75" hidden="false" customHeight="true" outlineLevel="0" collapsed="false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customFormat="false" ht="15.75" hidden="false" customHeight="true" outlineLevel="0" collapsed="false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customFormat="false" ht="15.75" hidden="false" customHeight="true" outlineLevel="0" collapsed="false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customFormat="false" ht="15.75" hidden="false" customHeight="true" outlineLevel="0" collapsed="false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customFormat="false" ht="15.75" hidden="false" customHeight="true" outlineLevel="0" collapsed="false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customFormat="false" ht="15.75" hidden="false" customHeight="true" outlineLevel="0" collapsed="false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customFormat="false" ht="15.75" hidden="false" customHeight="true" outlineLevel="0" collapsed="false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customFormat="false" ht="15.75" hidden="false" customHeight="true" outlineLevel="0" collapsed="false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customFormat="false" ht="15.75" hidden="false" customHeight="true" outlineLevel="0" collapsed="false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customFormat="false" ht="15.75" hidden="false" customHeight="true" outlineLevel="0" collapsed="false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customFormat="false" ht="15.75" hidden="false" customHeight="true" outlineLevel="0" collapsed="false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customFormat="false" ht="15.75" hidden="false" customHeight="true" outlineLevel="0" collapsed="false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customFormat="false" ht="15.75" hidden="false" customHeight="true" outlineLevel="0" collapsed="false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customFormat="false" ht="15.75" hidden="false" customHeight="true" outlineLevel="0" collapsed="false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customFormat="false" ht="15.75" hidden="false" customHeight="true" outlineLevel="0" collapsed="false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customFormat="false" ht="15.75" hidden="false" customHeight="true" outlineLevel="0" collapsed="false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customFormat="false" ht="15.75" hidden="false" customHeight="true" outlineLevel="0" collapsed="false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customFormat="false" ht="15.75" hidden="false" customHeight="true" outlineLevel="0" collapsed="false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customFormat="false" ht="15.75" hidden="false" customHeight="true" outlineLevel="0" collapsed="false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customFormat="false" ht="15.75" hidden="false" customHeight="true" outlineLevel="0" collapsed="false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customFormat="false" ht="15.75" hidden="false" customHeight="true" outlineLevel="0" collapsed="false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customFormat="false" ht="15.75" hidden="false" customHeight="true" outlineLevel="0" collapsed="false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customFormat="false" ht="15.75" hidden="false" customHeight="true" outlineLevel="0" collapsed="false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customFormat="false" ht="15.75" hidden="false" customHeight="true" outlineLevel="0" collapsed="false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customFormat="false" ht="15.75" hidden="false" customHeight="true" outlineLevel="0" collapsed="false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customFormat="false" ht="15.75" hidden="false" customHeight="true" outlineLevel="0" collapsed="false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customFormat="false" ht="15.75" hidden="false" customHeight="true" outlineLevel="0" collapsed="false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customFormat="false" ht="15.75" hidden="false" customHeight="true" outlineLevel="0" collapsed="false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customFormat="false" ht="15.75" hidden="false" customHeight="true" outlineLevel="0" collapsed="false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customFormat="false" ht="15.75" hidden="false" customHeight="true" outlineLevel="0" collapsed="false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customFormat="false" ht="15.75" hidden="false" customHeight="true" outlineLevel="0" collapsed="false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customFormat="false" ht="15.75" hidden="false" customHeight="true" outlineLevel="0" collapsed="false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customFormat="false" ht="15.75" hidden="false" customHeight="true" outlineLevel="0" collapsed="false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customFormat="false" ht="15.75" hidden="false" customHeight="true" outlineLevel="0" collapsed="false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customFormat="false" ht="15.75" hidden="false" customHeight="true" outlineLevel="0" collapsed="false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customFormat="false" ht="15.75" hidden="false" customHeight="true" outlineLevel="0" collapsed="false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customFormat="false" ht="15.75" hidden="false" customHeight="true" outlineLevel="0" collapsed="false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customFormat="false" ht="15.75" hidden="false" customHeight="true" outlineLevel="0" collapsed="false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customFormat="false" ht="15.75" hidden="false" customHeight="true" outlineLevel="0" collapsed="false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customFormat="false" ht="15.75" hidden="false" customHeight="true" outlineLevel="0" collapsed="false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customFormat="false" ht="15.75" hidden="false" customHeight="true" outlineLevel="0" collapsed="false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customFormat="false" ht="15.75" hidden="false" customHeight="true" outlineLevel="0" collapsed="false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customFormat="false" ht="15.75" hidden="false" customHeight="true" outlineLevel="0" collapsed="false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customFormat="false" ht="15.75" hidden="false" customHeight="true" outlineLevel="0" collapsed="false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customFormat="false" ht="15.75" hidden="false" customHeight="true" outlineLevel="0" collapsed="false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customFormat="false" ht="15.75" hidden="false" customHeight="true" outlineLevel="0" collapsed="false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customFormat="false" ht="15.75" hidden="false" customHeight="true" outlineLevel="0" collapsed="false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customFormat="false" ht="15.75" hidden="false" customHeight="true" outlineLevel="0" collapsed="false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customFormat="false" ht="15.75" hidden="false" customHeight="true" outlineLevel="0" collapsed="false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customFormat="false" ht="15.75" hidden="false" customHeight="true" outlineLevel="0" collapsed="false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customFormat="false" ht="15.75" hidden="false" customHeight="true" outlineLevel="0" collapsed="false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customFormat="false" ht="15.75" hidden="false" customHeight="true" outlineLevel="0" collapsed="false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customFormat="false" ht="15.75" hidden="false" customHeight="true" outlineLevel="0" collapsed="false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customFormat="false" ht="15.75" hidden="false" customHeight="true" outlineLevel="0" collapsed="false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customFormat="false" ht="15.75" hidden="false" customHeight="true" outlineLevel="0" collapsed="false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customFormat="false" ht="15.75" hidden="false" customHeight="true" outlineLevel="0" collapsed="false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customFormat="false" ht="15.75" hidden="false" customHeight="true" outlineLevel="0" collapsed="false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customFormat="false" ht="15.75" hidden="false" customHeight="true" outlineLevel="0" collapsed="false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customFormat="false" ht="15.75" hidden="false" customHeight="true" outlineLevel="0" collapsed="false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customFormat="false" ht="15.75" hidden="false" customHeight="true" outlineLevel="0" collapsed="false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customFormat="false" ht="15.75" hidden="false" customHeight="true" outlineLevel="0" collapsed="false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customFormat="false" ht="15.75" hidden="false" customHeight="true" outlineLevel="0" collapsed="false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customFormat="false" ht="15.75" hidden="false" customHeight="true" outlineLevel="0" collapsed="false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customFormat="false" ht="15.75" hidden="false" customHeight="true" outlineLevel="0" collapsed="false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customFormat="false" ht="15.75" hidden="false" customHeight="true" outlineLevel="0" collapsed="false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customFormat="false" ht="15.75" hidden="false" customHeight="true" outlineLevel="0" collapsed="false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customFormat="false" ht="15.75" hidden="false" customHeight="true" outlineLevel="0" collapsed="false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customFormat="false" ht="15.75" hidden="false" customHeight="true" outlineLevel="0" collapsed="false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customFormat="false" ht="15.75" hidden="false" customHeight="true" outlineLevel="0" collapsed="false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customFormat="false" ht="15.75" hidden="false" customHeight="true" outlineLevel="0" collapsed="false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customFormat="false" ht="15.75" hidden="false" customHeight="true" outlineLevel="0" collapsed="false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customFormat="false" ht="15.75" hidden="false" customHeight="true" outlineLevel="0" collapsed="false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customFormat="false" ht="15.75" hidden="false" customHeight="true" outlineLevel="0" collapsed="false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customFormat="false" ht="15.75" hidden="false" customHeight="true" outlineLevel="0" collapsed="false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customFormat="false" ht="15.75" hidden="false" customHeight="true" outlineLevel="0" collapsed="false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customFormat="false" ht="15.75" hidden="false" customHeight="true" outlineLevel="0" collapsed="false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customFormat="false" ht="15.75" hidden="false" customHeight="true" outlineLevel="0" collapsed="false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customFormat="false" ht="15.75" hidden="false" customHeight="true" outlineLevel="0" collapsed="false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customFormat="false" ht="15.75" hidden="false" customHeight="true" outlineLevel="0" collapsed="false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customFormat="false" ht="15.75" hidden="false" customHeight="true" outlineLevel="0" collapsed="false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customFormat="false" ht="15.75" hidden="false" customHeight="true" outlineLevel="0" collapsed="false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customFormat="false" ht="15.75" hidden="false" customHeight="true" outlineLevel="0" collapsed="false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customFormat="false" ht="15.75" hidden="false" customHeight="true" outlineLevel="0" collapsed="false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customFormat="false" ht="15.75" hidden="false" customHeight="true" outlineLevel="0" collapsed="false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customFormat="false" ht="15.75" hidden="false" customHeight="true" outlineLevel="0" collapsed="false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customFormat="false" ht="15.75" hidden="false" customHeight="true" outlineLevel="0" collapsed="false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customFormat="false" ht="15.75" hidden="false" customHeight="true" outlineLevel="0" collapsed="false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customFormat="false" ht="15.75" hidden="false" customHeight="true" outlineLevel="0" collapsed="false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customFormat="false" ht="15.75" hidden="false" customHeight="true" outlineLevel="0" collapsed="false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customFormat="false" ht="15.75" hidden="false" customHeight="true" outlineLevel="0" collapsed="false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customFormat="false" ht="15.75" hidden="false" customHeight="true" outlineLevel="0" collapsed="false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customFormat="false" ht="15.75" hidden="false" customHeight="true" outlineLevel="0" collapsed="false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customFormat="false" ht="15.75" hidden="false" customHeight="true" outlineLevel="0" collapsed="false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customFormat="false" ht="15.75" hidden="false" customHeight="true" outlineLevel="0" collapsed="false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customFormat="false" ht="15.75" hidden="false" customHeight="true" outlineLevel="0" collapsed="false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customFormat="false" ht="15.75" hidden="false" customHeight="true" outlineLevel="0" collapsed="false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customFormat="false" ht="15.75" hidden="false" customHeight="true" outlineLevel="0" collapsed="false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customFormat="false" ht="15.75" hidden="false" customHeight="true" outlineLevel="0" collapsed="false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customFormat="false" ht="15.75" hidden="false" customHeight="true" outlineLevel="0" collapsed="false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customFormat="false" ht="15.75" hidden="false" customHeight="true" outlineLevel="0" collapsed="false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customFormat="false" ht="15.75" hidden="false" customHeight="true" outlineLevel="0" collapsed="false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customFormat="false" ht="15.75" hidden="false" customHeight="true" outlineLevel="0" collapsed="false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customFormat="false" ht="15.75" hidden="false" customHeight="true" outlineLevel="0" collapsed="false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customFormat="false" ht="15.75" hidden="false" customHeight="true" outlineLevel="0" collapsed="false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customFormat="false" ht="15.75" hidden="false" customHeight="true" outlineLevel="0" collapsed="false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customFormat="false" ht="15.75" hidden="false" customHeight="true" outlineLevel="0" collapsed="false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customFormat="false" ht="15.75" hidden="false" customHeight="true" outlineLevel="0" collapsed="false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customFormat="false" ht="15.75" hidden="false" customHeight="true" outlineLevel="0" collapsed="false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customFormat="false" ht="15.75" hidden="false" customHeight="true" outlineLevel="0" collapsed="false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customFormat="false" ht="15.75" hidden="false" customHeight="true" outlineLevel="0" collapsed="false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customFormat="false" ht="15.75" hidden="false" customHeight="true" outlineLevel="0" collapsed="false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customFormat="false" ht="15.75" hidden="false" customHeight="true" outlineLevel="0" collapsed="false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customFormat="false" ht="15.75" hidden="false" customHeight="true" outlineLevel="0" collapsed="false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customFormat="false" ht="15.75" hidden="false" customHeight="true" outlineLevel="0" collapsed="false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customFormat="false" ht="15.75" hidden="false" customHeight="true" outlineLevel="0" collapsed="false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customFormat="false" ht="15.75" hidden="false" customHeight="true" outlineLevel="0" collapsed="false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customFormat="false" ht="15.75" hidden="false" customHeight="true" outlineLevel="0" collapsed="false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customFormat="false" ht="15.75" hidden="false" customHeight="true" outlineLevel="0" collapsed="false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customFormat="false" ht="15.75" hidden="false" customHeight="true" outlineLevel="0" collapsed="false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customFormat="false" ht="15.75" hidden="false" customHeight="true" outlineLevel="0" collapsed="false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customFormat="false" ht="15.75" hidden="false" customHeight="true" outlineLevel="0" collapsed="false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customFormat="false" ht="15.75" hidden="false" customHeight="true" outlineLevel="0" collapsed="false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customFormat="false" ht="15.75" hidden="false" customHeight="true" outlineLevel="0" collapsed="false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customFormat="false" ht="15.75" hidden="false" customHeight="true" outlineLevel="0" collapsed="false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customFormat="false" ht="15.75" hidden="false" customHeight="true" outlineLevel="0" collapsed="false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customFormat="false" ht="15.75" hidden="false" customHeight="true" outlineLevel="0" collapsed="false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customFormat="false" ht="15.75" hidden="false" customHeight="true" outlineLevel="0" collapsed="false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customFormat="false" ht="15.75" hidden="false" customHeight="true" outlineLevel="0" collapsed="false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customFormat="false" ht="15.75" hidden="false" customHeight="true" outlineLevel="0" collapsed="false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customFormat="false" ht="15.75" hidden="false" customHeight="true" outlineLevel="0" collapsed="false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customFormat="false" ht="15.75" hidden="false" customHeight="true" outlineLevel="0" collapsed="false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customFormat="false" ht="15.75" hidden="false" customHeight="true" outlineLevel="0" collapsed="false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customFormat="false" ht="15.75" hidden="false" customHeight="true" outlineLevel="0" collapsed="false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customFormat="false" ht="15.75" hidden="false" customHeight="true" outlineLevel="0" collapsed="false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customFormat="false" ht="15.75" hidden="false" customHeight="true" outlineLevel="0" collapsed="false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customFormat="false" ht="15.75" hidden="false" customHeight="true" outlineLevel="0" collapsed="false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customFormat="false" ht="15.75" hidden="false" customHeight="true" outlineLevel="0" collapsed="false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customFormat="false" ht="15.75" hidden="false" customHeight="true" outlineLevel="0" collapsed="false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customFormat="false" ht="15.75" hidden="false" customHeight="true" outlineLevel="0" collapsed="false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customFormat="false" ht="15.75" hidden="false" customHeight="true" outlineLevel="0" collapsed="false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customFormat="false" ht="15.75" hidden="false" customHeight="true" outlineLevel="0" collapsed="false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customFormat="false" ht="15.75" hidden="false" customHeight="true" outlineLevel="0" collapsed="false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customFormat="false" ht="15.75" hidden="false" customHeight="true" outlineLevel="0" collapsed="false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customFormat="false" ht="15.75" hidden="false" customHeight="true" outlineLevel="0" collapsed="false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customFormat="false" ht="15.75" hidden="false" customHeight="true" outlineLevel="0" collapsed="false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customFormat="false" ht="15.75" hidden="false" customHeight="true" outlineLevel="0" collapsed="false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customFormat="false" ht="15.75" hidden="false" customHeight="true" outlineLevel="0" collapsed="false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customFormat="false" ht="15.75" hidden="false" customHeight="true" outlineLevel="0" collapsed="false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customFormat="false" ht="15.75" hidden="false" customHeight="true" outlineLevel="0" collapsed="false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customFormat="false" ht="15.75" hidden="false" customHeight="true" outlineLevel="0" collapsed="false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customFormat="false" ht="15.75" hidden="false" customHeight="true" outlineLevel="0" collapsed="false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customFormat="false" ht="15.75" hidden="false" customHeight="true" outlineLevel="0" collapsed="false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customFormat="false" ht="15.75" hidden="false" customHeight="true" outlineLevel="0" collapsed="false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customFormat="false" ht="15.75" hidden="false" customHeight="true" outlineLevel="0" collapsed="false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customFormat="false" ht="15.75" hidden="false" customHeight="true" outlineLevel="0" collapsed="false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customFormat="false" ht="15.75" hidden="false" customHeight="true" outlineLevel="0" collapsed="false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customFormat="false" ht="15.75" hidden="false" customHeight="true" outlineLevel="0" collapsed="false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customFormat="false" ht="15.75" hidden="false" customHeight="true" outlineLevel="0" collapsed="false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customFormat="false" ht="15.75" hidden="false" customHeight="true" outlineLevel="0" collapsed="false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customFormat="false" ht="15.75" hidden="false" customHeight="true" outlineLevel="0" collapsed="false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customFormat="false" ht="15.75" hidden="false" customHeight="true" outlineLevel="0" collapsed="false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customFormat="false" ht="15.75" hidden="false" customHeight="true" outlineLevel="0" collapsed="false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customFormat="false" ht="15.75" hidden="false" customHeight="true" outlineLevel="0" collapsed="false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customFormat="false" ht="15.75" hidden="false" customHeight="true" outlineLevel="0" collapsed="false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customFormat="false" ht="15.75" hidden="false" customHeight="true" outlineLevel="0" collapsed="false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customFormat="false" ht="15.75" hidden="false" customHeight="true" outlineLevel="0" collapsed="false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customFormat="false" ht="15.75" hidden="false" customHeight="true" outlineLevel="0" collapsed="false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customFormat="false" ht="15.75" hidden="false" customHeight="true" outlineLevel="0" collapsed="false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customFormat="false" ht="15.75" hidden="false" customHeight="true" outlineLevel="0" collapsed="false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customFormat="false" ht="15.75" hidden="false" customHeight="true" outlineLevel="0" collapsed="false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customFormat="false" ht="15.75" hidden="false" customHeight="true" outlineLevel="0" collapsed="false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customFormat="false" ht="15.75" hidden="false" customHeight="true" outlineLevel="0" collapsed="false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customFormat="false" ht="15.75" hidden="false" customHeight="true" outlineLevel="0" collapsed="false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customFormat="false" ht="15.75" hidden="false" customHeight="true" outlineLevel="0" collapsed="false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customFormat="false" ht="15.75" hidden="false" customHeight="true" outlineLevel="0" collapsed="false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customFormat="false" ht="15.75" hidden="false" customHeight="true" outlineLevel="0" collapsed="false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customFormat="false" ht="15.75" hidden="false" customHeight="true" outlineLevel="0" collapsed="false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customFormat="false" ht="15.75" hidden="false" customHeight="true" outlineLevel="0" collapsed="false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customFormat="false" ht="15.75" hidden="false" customHeight="true" outlineLevel="0" collapsed="false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customFormat="false" ht="15.75" hidden="false" customHeight="true" outlineLevel="0" collapsed="false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customFormat="false" ht="15.75" hidden="false" customHeight="true" outlineLevel="0" collapsed="false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customFormat="false" ht="15.75" hidden="false" customHeight="true" outlineLevel="0" collapsed="false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customFormat="false" ht="15.75" hidden="false" customHeight="true" outlineLevel="0" collapsed="false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customFormat="false" ht="15.75" hidden="false" customHeight="true" outlineLevel="0" collapsed="false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customFormat="false" ht="15.75" hidden="false" customHeight="true" outlineLevel="0" collapsed="false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customFormat="false" ht="15.75" hidden="false" customHeight="true" outlineLevel="0" collapsed="false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customFormat="false" ht="15.75" hidden="false" customHeight="true" outlineLevel="0" collapsed="false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customFormat="false" ht="15.75" hidden="false" customHeight="true" outlineLevel="0" collapsed="false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customFormat="false" ht="15.75" hidden="false" customHeight="true" outlineLevel="0" collapsed="false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customFormat="false" ht="15.75" hidden="false" customHeight="true" outlineLevel="0" collapsed="false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customFormat="false" ht="15.75" hidden="false" customHeight="true" outlineLevel="0" collapsed="false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customFormat="false" ht="15.75" hidden="false" customHeight="true" outlineLevel="0" collapsed="false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customFormat="false" ht="15.75" hidden="false" customHeight="true" outlineLevel="0" collapsed="false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customFormat="false" ht="15.75" hidden="false" customHeight="true" outlineLevel="0" collapsed="false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customFormat="false" ht="15.75" hidden="false" customHeight="true" outlineLevel="0" collapsed="false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customFormat="false" ht="15.75" hidden="false" customHeight="true" outlineLevel="0" collapsed="false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customFormat="false" ht="15.75" hidden="false" customHeight="true" outlineLevel="0" collapsed="false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customFormat="false" ht="15.75" hidden="false" customHeight="true" outlineLevel="0" collapsed="false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customFormat="false" ht="15.75" hidden="false" customHeight="true" outlineLevel="0" collapsed="false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customFormat="false" ht="15.75" hidden="false" customHeight="true" outlineLevel="0" collapsed="false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customFormat="false" ht="15.75" hidden="false" customHeight="true" outlineLevel="0" collapsed="false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customFormat="false" ht="15.75" hidden="false" customHeight="true" outlineLevel="0" collapsed="false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customFormat="false" ht="15.75" hidden="false" customHeight="true" outlineLevel="0" collapsed="false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customFormat="false" ht="15.75" hidden="false" customHeight="true" outlineLevel="0" collapsed="false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customFormat="false" ht="15.75" hidden="false" customHeight="true" outlineLevel="0" collapsed="false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customFormat="false" ht="15.75" hidden="false" customHeight="true" outlineLevel="0" collapsed="false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customFormat="false" ht="15.75" hidden="false" customHeight="true" outlineLevel="0" collapsed="false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customFormat="false" ht="15.75" hidden="false" customHeight="true" outlineLevel="0" collapsed="false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customFormat="false" ht="15.75" hidden="false" customHeight="true" outlineLevel="0" collapsed="false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customFormat="false" ht="15.75" hidden="false" customHeight="true" outlineLevel="0" collapsed="false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customFormat="false" ht="15.75" hidden="false" customHeight="true" outlineLevel="0" collapsed="false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customFormat="false" ht="15.75" hidden="false" customHeight="true" outlineLevel="0" collapsed="false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customFormat="false" ht="15.75" hidden="false" customHeight="true" outlineLevel="0" collapsed="false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customFormat="false" ht="15.75" hidden="false" customHeight="true" outlineLevel="0" collapsed="false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customFormat="false" ht="15.75" hidden="false" customHeight="true" outlineLevel="0" collapsed="false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customFormat="false" ht="15.75" hidden="false" customHeight="true" outlineLevel="0" collapsed="false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customFormat="false" ht="15.75" hidden="false" customHeight="true" outlineLevel="0" collapsed="false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customFormat="false" ht="15.75" hidden="false" customHeight="true" outlineLevel="0" collapsed="false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customFormat="false" ht="15.75" hidden="false" customHeight="true" outlineLevel="0" collapsed="false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customFormat="false" ht="15.75" hidden="false" customHeight="true" outlineLevel="0" collapsed="false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customFormat="false" ht="15.75" hidden="false" customHeight="true" outlineLevel="0" collapsed="false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customFormat="false" ht="15.75" hidden="false" customHeight="true" outlineLevel="0" collapsed="false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customFormat="false" ht="15.75" hidden="false" customHeight="true" outlineLevel="0" collapsed="false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customFormat="false" ht="15.75" hidden="false" customHeight="true" outlineLevel="0" collapsed="false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customFormat="false" ht="15.75" hidden="false" customHeight="true" outlineLevel="0" collapsed="false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customFormat="false" ht="15.75" hidden="false" customHeight="true" outlineLevel="0" collapsed="false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customFormat="false" ht="15.75" hidden="false" customHeight="true" outlineLevel="0" collapsed="false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customFormat="false" ht="15.75" hidden="false" customHeight="true" outlineLevel="0" collapsed="false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customFormat="false" ht="15.75" hidden="false" customHeight="true" outlineLevel="0" collapsed="false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customFormat="false" ht="15.75" hidden="false" customHeight="true" outlineLevel="0" collapsed="false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customFormat="false" ht="15.75" hidden="false" customHeight="true" outlineLevel="0" collapsed="false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customFormat="false" ht="15.75" hidden="false" customHeight="true" outlineLevel="0" collapsed="false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customFormat="false" ht="15.75" hidden="false" customHeight="true" outlineLevel="0" collapsed="false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customFormat="false" ht="15.75" hidden="false" customHeight="true" outlineLevel="0" collapsed="false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customFormat="false" ht="15.75" hidden="false" customHeight="true" outlineLevel="0" collapsed="false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customFormat="false" ht="15.75" hidden="false" customHeight="true" outlineLevel="0" collapsed="false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customFormat="false" ht="15.75" hidden="false" customHeight="true" outlineLevel="0" collapsed="false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customFormat="false" ht="15.75" hidden="false" customHeight="true" outlineLevel="0" collapsed="false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customFormat="false" ht="15.75" hidden="false" customHeight="true" outlineLevel="0" collapsed="false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customFormat="false" ht="15.75" hidden="false" customHeight="true" outlineLevel="0" collapsed="false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customFormat="false" ht="15.75" hidden="false" customHeight="true" outlineLevel="0" collapsed="false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customFormat="false" ht="15.75" hidden="false" customHeight="true" outlineLevel="0" collapsed="false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customFormat="false" ht="15.75" hidden="false" customHeight="true" outlineLevel="0" collapsed="false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customFormat="false" ht="15.75" hidden="false" customHeight="true" outlineLevel="0" collapsed="false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customFormat="false" ht="15.75" hidden="false" customHeight="true" outlineLevel="0" collapsed="false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customFormat="false" ht="15.75" hidden="false" customHeight="true" outlineLevel="0" collapsed="false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customFormat="false" ht="15.75" hidden="false" customHeight="true" outlineLevel="0" collapsed="false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customFormat="false" ht="15.75" hidden="false" customHeight="true" outlineLevel="0" collapsed="false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customFormat="false" ht="15.75" hidden="false" customHeight="true" outlineLevel="0" collapsed="false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customFormat="false" ht="15.75" hidden="false" customHeight="true" outlineLevel="0" collapsed="false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customFormat="false" ht="15.75" hidden="false" customHeight="true" outlineLevel="0" collapsed="false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customFormat="false" ht="15.75" hidden="false" customHeight="true" outlineLevel="0" collapsed="false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customFormat="false" ht="15.75" hidden="false" customHeight="true" outlineLevel="0" collapsed="false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customFormat="false" ht="15.75" hidden="false" customHeight="true" outlineLevel="0" collapsed="false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customFormat="false" ht="15.75" hidden="false" customHeight="true" outlineLevel="0" collapsed="false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customFormat="false" ht="15.75" hidden="false" customHeight="true" outlineLevel="0" collapsed="false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customFormat="false" ht="15.75" hidden="false" customHeight="true" outlineLevel="0" collapsed="false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customFormat="false" ht="15.75" hidden="false" customHeight="true" outlineLevel="0" collapsed="false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customFormat="false" ht="15.75" hidden="false" customHeight="true" outlineLevel="0" collapsed="false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customFormat="false" ht="15.75" hidden="false" customHeight="true" outlineLevel="0" collapsed="false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customFormat="false" ht="15.75" hidden="false" customHeight="true" outlineLevel="0" collapsed="false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customFormat="false" ht="15.75" hidden="false" customHeight="true" outlineLevel="0" collapsed="false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customFormat="false" ht="15.75" hidden="false" customHeight="true" outlineLevel="0" collapsed="false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customFormat="false" ht="15.75" hidden="false" customHeight="true" outlineLevel="0" collapsed="false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customFormat="false" ht="15.75" hidden="false" customHeight="true" outlineLevel="0" collapsed="false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customFormat="false" ht="15.75" hidden="false" customHeight="true" outlineLevel="0" collapsed="false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customFormat="false" ht="15.75" hidden="false" customHeight="true" outlineLevel="0" collapsed="false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customFormat="false" ht="15.75" hidden="false" customHeight="true" outlineLevel="0" collapsed="false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customFormat="false" ht="15.75" hidden="false" customHeight="true" outlineLevel="0" collapsed="false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customFormat="false" ht="15.75" hidden="false" customHeight="true" outlineLevel="0" collapsed="false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customFormat="false" ht="15.75" hidden="false" customHeight="true" outlineLevel="0" collapsed="false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customFormat="false" ht="15.75" hidden="false" customHeight="true" outlineLevel="0" collapsed="false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customFormat="false" ht="15.75" hidden="false" customHeight="true" outlineLevel="0" collapsed="false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customFormat="false" ht="15.75" hidden="false" customHeight="true" outlineLevel="0" collapsed="false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customFormat="false" ht="15.75" hidden="false" customHeight="true" outlineLevel="0" collapsed="false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customFormat="false" ht="15.75" hidden="false" customHeight="true" outlineLevel="0" collapsed="false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customFormat="false" ht="15.75" hidden="false" customHeight="true" outlineLevel="0" collapsed="false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customFormat="false" ht="15.75" hidden="false" customHeight="true" outlineLevel="0" collapsed="false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customFormat="false" ht="15.75" hidden="false" customHeight="true" outlineLevel="0" collapsed="false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customFormat="false" ht="15.75" hidden="false" customHeight="true" outlineLevel="0" collapsed="false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customFormat="false" ht="15.75" hidden="false" customHeight="true" outlineLevel="0" collapsed="false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customFormat="false" ht="15.75" hidden="false" customHeight="true" outlineLevel="0" collapsed="false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customFormat="false" ht="15.75" hidden="false" customHeight="true" outlineLevel="0" collapsed="false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customFormat="false" ht="15.75" hidden="false" customHeight="true" outlineLevel="0" collapsed="false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customFormat="false" ht="15.75" hidden="false" customHeight="true" outlineLevel="0" collapsed="false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customFormat="false" ht="15.75" hidden="false" customHeight="true" outlineLevel="0" collapsed="false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customFormat="false" ht="15.75" hidden="false" customHeight="true" outlineLevel="0" collapsed="false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customFormat="false" ht="15.75" hidden="false" customHeight="true" outlineLevel="0" collapsed="false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customFormat="false" ht="15.75" hidden="false" customHeight="true" outlineLevel="0" collapsed="false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customFormat="false" ht="15.75" hidden="false" customHeight="true" outlineLevel="0" collapsed="false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customFormat="false" ht="15.75" hidden="false" customHeight="true" outlineLevel="0" collapsed="false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customFormat="false" ht="15.75" hidden="false" customHeight="true" outlineLevel="0" collapsed="false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customFormat="false" ht="15.75" hidden="false" customHeight="true" outlineLevel="0" collapsed="false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customFormat="false" ht="15.75" hidden="false" customHeight="true" outlineLevel="0" collapsed="false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customFormat="false" ht="15.75" hidden="false" customHeight="true" outlineLevel="0" collapsed="false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customFormat="false" ht="15.75" hidden="false" customHeight="true" outlineLevel="0" collapsed="false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customFormat="false" ht="15.75" hidden="false" customHeight="true" outlineLevel="0" collapsed="false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customFormat="false" ht="15.75" hidden="false" customHeight="true" outlineLevel="0" collapsed="false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customFormat="false" ht="15.75" hidden="false" customHeight="true" outlineLevel="0" collapsed="false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customFormat="false" ht="15.75" hidden="false" customHeight="true" outlineLevel="0" collapsed="false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customFormat="false" ht="15.75" hidden="false" customHeight="true" outlineLevel="0" collapsed="false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customFormat="false" ht="15.75" hidden="false" customHeight="true" outlineLevel="0" collapsed="false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customFormat="false" ht="15.75" hidden="false" customHeight="true" outlineLevel="0" collapsed="false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customFormat="false" ht="15.75" hidden="false" customHeight="true" outlineLevel="0" collapsed="false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customFormat="false" ht="15.75" hidden="false" customHeight="true" outlineLevel="0" collapsed="false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customFormat="false" ht="15.75" hidden="false" customHeight="true" outlineLevel="0" collapsed="false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customFormat="false" ht="15.75" hidden="false" customHeight="true" outlineLevel="0" collapsed="false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customFormat="false" ht="15.75" hidden="false" customHeight="true" outlineLevel="0" collapsed="false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customFormat="false" ht="15.75" hidden="false" customHeight="true" outlineLevel="0" collapsed="false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customFormat="false" ht="15.75" hidden="false" customHeight="true" outlineLevel="0" collapsed="false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customFormat="false" ht="15.75" hidden="false" customHeight="true" outlineLevel="0" collapsed="false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customFormat="false" ht="15.75" hidden="false" customHeight="true" outlineLevel="0" collapsed="false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customFormat="false" ht="15.75" hidden="false" customHeight="true" outlineLevel="0" collapsed="false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customFormat="false" ht="15.75" hidden="false" customHeight="true" outlineLevel="0" collapsed="false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customFormat="false" ht="15.75" hidden="false" customHeight="true" outlineLevel="0" collapsed="false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customFormat="false" ht="15.75" hidden="false" customHeight="true" outlineLevel="0" collapsed="false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customFormat="false" ht="15.75" hidden="false" customHeight="true" outlineLevel="0" collapsed="false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customFormat="false" ht="15.75" hidden="false" customHeight="true" outlineLevel="0" collapsed="false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customFormat="false" ht="15.75" hidden="false" customHeight="true" outlineLevel="0" collapsed="false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customFormat="false" ht="15.75" hidden="false" customHeight="true" outlineLevel="0" collapsed="false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customFormat="false" ht="15.75" hidden="false" customHeight="true" outlineLevel="0" collapsed="false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customFormat="false" ht="15.75" hidden="false" customHeight="true" outlineLevel="0" collapsed="false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customFormat="false" ht="15.75" hidden="false" customHeight="true" outlineLevel="0" collapsed="false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customFormat="false" ht="15.75" hidden="false" customHeight="true" outlineLevel="0" collapsed="false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customFormat="false" ht="15.75" hidden="false" customHeight="true" outlineLevel="0" collapsed="false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customFormat="false" ht="15.75" hidden="false" customHeight="true" outlineLevel="0" collapsed="false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customFormat="false" ht="15.75" hidden="false" customHeight="true" outlineLevel="0" collapsed="false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customFormat="false" ht="15.75" hidden="false" customHeight="true" outlineLevel="0" collapsed="false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customFormat="false" ht="15.75" hidden="false" customHeight="true" outlineLevel="0" collapsed="false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customFormat="false" ht="15.75" hidden="false" customHeight="true" outlineLevel="0" collapsed="false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customFormat="false" ht="15.75" hidden="false" customHeight="true" outlineLevel="0" collapsed="false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customFormat="false" ht="15.75" hidden="false" customHeight="true" outlineLevel="0" collapsed="false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customFormat="false" ht="15.75" hidden="false" customHeight="true" outlineLevel="0" collapsed="false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customFormat="false" ht="15.75" hidden="false" customHeight="true" outlineLevel="0" collapsed="false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customFormat="false" ht="15.75" hidden="false" customHeight="true" outlineLevel="0" collapsed="false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customFormat="false" ht="15.75" hidden="false" customHeight="true" outlineLevel="0" collapsed="false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customFormat="false" ht="15.75" hidden="false" customHeight="true" outlineLevel="0" collapsed="false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customFormat="false" ht="15.75" hidden="false" customHeight="true" outlineLevel="0" collapsed="false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customFormat="false" ht="15.75" hidden="false" customHeight="true" outlineLevel="0" collapsed="false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customFormat="false" ht="15.75" hidden="false" customHeight="true" outlineLevel="0" collapsed="false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customFormat="false" ht="15.75" hidden="false" customHeight="true" outlineLevel="0" collapsed="false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customFormat="false" ht="15.75" hidden="false" customHeight="true" outlineLevel="0" collapsed="false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customFormat="false" ht="15.75" hidden="false" customHeight="true" outlineLevel="0" collapsed="false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customFormat="false" ht="15.75" hidden="false" customHeight="true" outlineLevel="0" collapsed="false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customFormat="false" ht="15.75" hidden="false" customHeight="true" outlineLevel="0" collapsed="false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customFormat="false" ht="15.75" hidden="false" customHeight="true" outlineLevel="0" collapsed="false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customFormat="false" ht="15.75" hidden="false" customHeight="true" outlineLevel="0" collapsed="false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customFormat="false" ht="15.75" hidden="false" customHeight="true" outlineLevel="0" collapsed="false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customFormat="false" ht="15.75" hidden="false" customHeight="true" outlineLevel="0" collapsed="false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customFormat="false" ht="15.75" hidden="false" customHeight="true" outlineLevel="0" collapsed="false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customFormat="false" ht="15.75" hidden="false" customHeight="true" outlineLevel="0" collapsed="false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customFormat="false" ht="15.75" hidden="false" customHeight="true" outlineLevel="0" collapsed="false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customFormat="false" ht="15.75" hidden="false" customHeight="true" outlineLevel="0" collapsed="false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customFormat="false" ht="15.75" hidden="false" customHeight="true" outlineLevel="0" collapsed="false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customFormat="false" ht="15.75" hidden="false" customHeight="true" outlineLevel="0" collapsed="false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customFormat="false" ht="15.75" hidden="false" customHeight="true" outlineLevel="0" collapsed="false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customFormat="false" ht="15.75" hidden="false" customHeight="true" outlineLevel="0" collapsed="false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customFormat="false" ht="15.75" hidden="false" customHeight="true" outlineLevel="0" collapsed="false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customFormat="false" ht="15.75" hidden="false" customHeight="true" outlineLevel="0" collapsed="false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customFormat="false" ht="15.75" hidden="false" customHeight="true" outlineLevel="0" collapsed="false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customFormat="false" ht="15.75" hidden="false" customHeight="true" outlineLevel="0" collapsed="false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customFormat="false" ht="15.75" hidden="false" customHeight="true" outlineLevel="0" collapsed="false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customFormat="false" ht="15.75" hidden="false" customHeight="true" outlineLevel="0" collapsed="false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customFormat="false" ht="15.75" hidden="false" customHeight="true" outlineLevel="0" collapsed="false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customFormat="false" ht="15.75" hidden="false" customHeight="true" outlineLevel="0" collapsed="false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customFormat="false" ht="15.75" hidden="false" customHeight="true" outlineLevel="0" collapsed="false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customFormat="false" ht="15.75" hidden="false" customHeight="true" outlineLevel="0" collapsed="false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customFormat="false" ht="15.75" hidden="false" customHeight="true" outlineLevel="0" collapsed="false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customFormat="false" ht="15.75" hidden="false" customHeight="true" outlineLevel="0" collapsed="false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customFormat="false" ht="15.75" hidden="false" customHeight="true" outlineLevel="0" collapsed="false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customFormat="false" ht="15.75" hidden="false" customHeight="true" outlineLevel="0" collapsed="false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customFormat="false" ht="15.75" hidden="false" customHeight="true" outlineLevel="0" collapsed="false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customFormat="false" ht="15.75" hidden="false" customHeight="true" outlineLevel="0" collapsed="false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customFormat="false" ht="15.75" hidden="false" customHeight="true" outlineLevel="0" collapsed="false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customFormat="false" ht="15.75" hidden="false" customHeight="true" outlineLevel="0" collapsed="false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customFormat="false" ht="15.75" hidden="false" customHeight="true" outlineLevel="0" collapsed="false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customFormat="false" ht="15.75" hidden="false" customHeight="true" outlineLevel="0" collapsed="false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customFormat="false" ht="15.75" hidden="false" customHeight="true" outlineLevel="0" collapsed="false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customFormat="false" ht="15.75" hidden="false" customHeight="true" outlineLevel="0" collapsed="false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customFormat="false" ht="15.75" hidden="false" customHeight="true" outlineLevel="0" collapsed="false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customFormat="false" ht="15.75" hidden="false" customHeight="true" outlineLevel="0" collapsed="false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customFormat="false" ht="15.75" hidden="false" customHeight="true" outlineLevel="0" collapsed="false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customFormat="false" ht="15.75" hidden="false" customHeight="true" outlineLevel="0" collapsed="false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customFormat="false" ht="15.75" hidden="false" customHeight="true" outlineLevel="0" collapsed="false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customFormat="false" ht="15.75" hidden="false" customHeight="true" outlineLevel="0" collapsed="false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customFormat="false" ht="15.75" hidden="false" customHeight="true" outlineLevel="0" collapsed="false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customFormat="false" ht="15.75" hidden="false" customHeight="true" outlineLevel="0" collapsed="false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customFormat="false" ht="15.75" hidden="false" customHeight="true" outlineLevel="0" collapsed="false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customFormat="false" ht="15.75" hidden="false" customHeight="true" outlineLevel="0" collapsed="false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customFormat="false" ht="15.75" hidden="false" customHeight="true" outlineLevel="0" collapsed="false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customFormat="false" ht="15.75" hidden="false" customHeight="true" outlineLevel="0" collapsed="false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customFormat="false" ht="15.75" hidden="false" customHeight="true" outlineLevel="0" collapsed="false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customFormat="false" ht="15.75" hidden="false" customHeight="true" outlineLevel="0" collapsed="false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customFormat="false" ht="15.75" hidden="false" customHeight="true" outlineLevel="0" collapsed="false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customFormat="false" ht="15.75" hidden="false" customHeight="true" outlineLevel="0" collapsed="false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customFormat="false" ht="15.75" hidden="false" customHeight="true" outlineLevel="0" collapsed="false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customFormat="false" ht="15.75" hidden="false" customHeight="true" outlineLevel="0" collapsed="false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customFormat="false" ht="15.75" hidden="false" customHeight="true" outlineLevel="0" collapsed="false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customFormat="false" ht="15.75" hidden="false" customHeight="true" outlineLevel="0" collapsed="false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customFormat="false" ht="15.75" hidden="false" customHeight="true" outlineLevel="0" collapsed="false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customFormat="false" ht="15.75" hidden="false" customHeight="true" outlineLevel="0" collapsed="false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customFormat="false" ht="15.75" hidden="false" customHeight="true" outlineLevel="0" collapsed="false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customFormat="false" ht="15.75" hidden="false" customHeight="true" outlineLevel="0" collapsed="false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customFormat="false" ht="15.75" hidden="false" customHeight="true" outlineLevel="0" collapsed="false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customFormat="false" ht="15.75" hidden="false" customHeight="true" outlineLevel="0" collapsed="false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customFormat="false" ht="15.75" hidden="false" customHeight="true" outlineLevel="0" collapsed="false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customFormat="false" ht="15.75" hidden="false" customHeight="true" outlineLevel="0" collapsed="false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customFormat="false" ht="15.75" hidden="false" customHeight="true" outlineLevel="0" collapsed="false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customFormat="false" ht="15.75" hidden="false" customHeight="true" outlineLevel="0" collapsed="false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customFormat="false" ht="15.75" hidden="false" customHeight="true" outlineLevel="0" collapsed="false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customFormat="false" ht="15.75" hidden="false" customHeight="true" outlineLevel="0" collapsed="false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customFormat="false" ht="15.75" hidden="false" customHeight="true" outlineLevel="0" collapsed="false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customFormat="false" ht="15.75" hidden="false" customHeight="true" outlineLevel="0" collapsed="false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customFormat="false" ht="15.75" hidden="false" customHeight="true" outlineLevel="0" collapsed="false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customFormat="false" ht="15.75" hidden="false" customHeight="true" outlineLevel="0" collapsed="false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customFormat="false" ht="15.75" hidden="false" customHeight="true" outlineLevel="0" collapsed="false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customFormat="false" ht="15.75" hidden="false" customHeight="true" outlineLevel="0" collapsed="false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customFormat="false" ht="15.75" hidden="false" customHeight="true" outlineLevel="0" collapsed="false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customFormat="false" ht="15.75" hidden="false" customHeight="true" outlineLevel="0" collapsed="false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customFormat="false" ht="15.75" hidden="false" customHeight="true" outlineLevel="0" collapsed="false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customFormat="false" ht="15.75" hidden="false" customHeight="true" outlineLevel="0" collapsed="false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customFormat="false" ht="15.75" hidden="false" customHeight="true" outlineLevel="0" collapsed="false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customFormat="false" ht="15.75" hidden="false" customHeight="true" outlineLevel="0" collapsed="false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customFormat="false" ht="15.75" hidden="false" customHeight="true" outlineLevel="0" collapsed="false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customFormat="false" ht="15.75" hidden="false" customHeight="true" outlineLevel="0" collapsed="false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customFormat="false" ht="15.75" hidden="false" customHeight="true" outlineLevel="0" collapsed="false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customFormat="false" ht="15.75" hidden="false" customHeight="true" outlineLevel="0" collapsed="false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customFormat="false" ht="15.75" hidden="false" customHeight="true" outlineLevel="0" collapsed="false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customFormat="false" ht="15.75" hidden="false" customHeight="true" outlineLevel="0" collapsed="false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customFormat="false" ht="15.75" hidden="false" customHeight="true" outlineLevel="0" collapsed="false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customFormat="false" ht="15.75" hidden="false" customHeight="true" outlineLevel="0" collapsed="false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customFormat="false" ht="15.75" hidden="false" customHeight="true" outlineLevel="0" collapsed="false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customFormat="false" ht="15.75" hidden="false" customHeight="true" outlineLevel="0" collapsed="false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customFormat="false" ht="15.75" hidden="false" customHeight="true" outlineLevel="0" collapsed="false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customFormat="false" ht="15.75" hidden="false" customHeight="true" outlineLevel="0" collapsed="false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customFormat="false" ht="15.75" hidden="false" customHeight="true" outlineLevel="0" collapsed="false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customFormat="false" ht="15.75" hidden="false" customHeight="true" outlineLevel="0" collapsed="false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customFormat="false" ht="15.75" hidden="false" customHeight="true" outlineLevel="0" collapsed="false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customFormat="false" ht="15.75" hidden="false" customHeight="true" outlineLevel="0" collapsed="false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customFormat="false" ht="15.75" hidden="false" customHeight="true" outlineLevel="0" collapsed="false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customFormat="false" ht="15.75" hidden="false" customHeight="true" outlineLevel="0" collapsed="false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customFormat="false" ht="15.75" hidden="false" customHeight="true" outlineLevel="0" collapsed="false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customFormat="false" ht="15.75" hidden="false" customHeight="true" outlineLevel="0" collapsed="false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customFormat="false" ht="15.75" hidden="false" customHeight="true" outlineLevel="0" collapsed="false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customFormat="false" ht="15.75" hidden="false" customHeight="true" outlineLevel="0" collapsed="false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customFormat="false" ht="15.75" hidden="false" customHeight="true" outlineLevel="0" collapsed="false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customFormat="false" ht="15.75" hidden="false" customHeight="true" outlineLevel="0" collapsed="false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customFormat="false" ht="15.75" hidden="false" customHeight="true" outlineLevel="0" collapsed="false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customFormat="false" ht="15.75" hidden="false" customHeight="true" outlineLevel="0" collapsed="false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customFormat="false" ht="15.75" hidden="false" customHeight="true" outlineLevel="0" collapsed="false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customFormat="false" ht="15.75" hidden="false" customHeight="true" outlineLevel="0" collapsed="false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customFormat="false" ht="15.75" hidden="false" customHeight="true" outlineLevel="0" collapsed="false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customFormat="false" ht="15.75" hidden="false" customHeight="true" outlineLevel="0" collapsed="false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customFormat="false" ht="15.75" hidden="false" customHeight="true" outlineLevel="0" collapsed="false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customFormat="false" ht="15.75" hidden="false" customHeight="true" outlineLevel="0" collapsed="false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customFormat="false" ht="15.75" hidden="false" customHeight="true" outlineLevel="0" collapsed="false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customFormat="false" ht="15.75" hidden="false" customHeight="true" outlineLevel="0" collapsed="false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customFormat="false" ht="15.75" hidden="false" customHeight="true" outlineLevel="0" collapsed="false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customFormat="false" ht="15.75" hidden="false" customHeight="true" outlineLevel="0" collapsed="false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customFormat="false" ht="15.75" hidden="false" customHeight="true" outlineLevel="0" collapsed="false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customFormat="false" ht="15.75" hidden="false" customHeight="true" outlineLevel="0" collapsed="false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customFormat="false" ht="15.75" hidden="false" customHeight="true" outlineLevel="0" collapsed="false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customFormat="false" ht="15.75" hidden="false" customHeight="true" outlineLevel="0" collapsed="false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customFormat="false" ht="15.75" hidden="false" customHeight="true" outlineLevel="0" collapsed="false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customFormat="false" ht="15.75" hidden="false" customHeight="true" outlineLevel="0" collapsed="false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customFormat="false" ht="15.75" hidden="false" customHeight="true" outlineLevel="0" collapsed="false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customFormat="false" ht="15.75" hidden="false" customHeight="true" outlineLevel="0" collapsed="false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customFormat="false" ht="15.75" hidden="false" customHeight="true" outlineLevel="0" collapsed="false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customFormat="false" ht="15.75" hidden="false" customHeight="true" outlineLevel="0" collapsed="false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customFormat="false" ht="15.75" hidden="false" customHeight="true" outlineLevel="0" collapsed="false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customFormat="false" ht="15.75" hidden="false" customHeight="true" outlineLevel="0" collapsed="false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customFormat="false" ht="15.75" hidden="false" customHeight="true" outlineLevel="0" collapsed="false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customFormat="false" ht="15.75" hidden="false" customHeight="true" outlineLevel="0" collapsed="false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customFormat="false" ht="15.75" hidden="false" customHeight="true" outlineLevel="0" collapsed="false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customFormat="false" ht="15.75" hidden="false" customHeight="true" outlineLevel="0" collapsed="false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customFormat="false" ht="15.75" hidden="false" customHeight="true" outlineLevel="0" collapsed="false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customFormat="false" ht="15.75" hidden="false" customHeight="true" outlineLevel="0" collapsed="false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customFormat="false" ht="15.75" hidden="false" customHeight="true" outlineLevel="0" collapsed="false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customFormat="false" ht="15.75" hidden="false" customHeight="true" outlineLevel="0" collapsed="false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customFormat="false" ht="15.75" hidden="false" customHeight="true" outlineLevel="0" collapsed="false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customFormat="false" ht="15.75" hidden="false" customHeight="true" outlineLevel="0" collapsed="false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customFormat="false" ht="15.75" hidden="false" customHeight="true" outlineLevel="0" collapsed="false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customFormat="false" ht="15.75" hidden="false" customHeight="true" outlineLevel="0" collapsed="false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customFormat="false" ht="15.75" hidden="false" customHeight="true" outlineLevel="0" collapsed="false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customFormat="false" ht="15.75" hidden="false" customHeight="true" outlineLevel="0" collapsed="false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customFormat="false" ht="15.75" hidden="false" customHeight="true" outlineLevel="0" collapsed="false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customFormat="false" ht="15.75" hidden="false" customHeight="true" outlineLevel="0" collapsed="false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customFormat="false" ht="15.75" hidden="false" customHeight="true" outlineLevel="0" collapsed="false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customFormat="false" ht="15.75" hidden="false" customHeight="true" outlineLevel="0" collapsed="false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customFormat="false" ht="15.75" hidden="false" customHeight="true" outlineLevel="0" collapsed="false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customFormat="false" ht="15.75" hidden="false" customHeight="true" outlineLevel="0" collapsed="false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customFormat="false" ht="15.75" hidden="false" customHeight="true" outlineLevel="0" collapsed="false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customFormat="false" ht="15.75" hidden="false" customHeight="true" outlineLevel="0" collapsed="false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customFormat="false" ht="15.75" hidden="false" customHeight="true" outlineLevel="0" collapsed="false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customFormat="false" ht="15.75" hidden="false" customHeight="true" outlineLevel="0" collapsed="false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customFormat="false" ht="15.75" hidden="false" customHeight="true" outlineLevel="0" collapsed="false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customFormat="false" ht="15.75" hidden="false" customHeight="true" outlineLevel="0" collapsed="false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customFormat="false" ht="15.75" hidden="false" customHeight="true" outlineLevel="0" collapsed="false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customFormat="false" ht="15.75" hidden="false" customHeight="true" outlineLevel="0" collapsed="false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customFormat="false" ht="15.75" hidden="false" customHeight="true" outlineLevel="0" collapsed="false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customFormat="false" ht="15.75" hidden="false" customHeight="true" outlineLevel="0" collapsed="false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customFormat="false" ht="15.75" hidden="false" customHeight="true" outlineLevel="0" collapsed="false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customFormat="false" ht="15.75" hidden="false" customHeight="true" outlineLevel="0" collapsed="false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customFormat="false" ht="15.75" hidden="false" customHeight="true" outlineLevel="0" collapsed="false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customFormat="false" ht="15.75" hidden="false" customHeight="true" outlineLevel="0" collapsed="false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customFormat="false" ht="15.75" hidden="false" customHeight="true" outlineLevel="0" collapsed="false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customFormat="false" ht="15.75" hidden="false" customHeight="true" outlineLevel="0" collapsed="false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customFormat="false" ht="15.75" hidden="false" customHeight="true" outlineLevel="0" collapsed="false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customFormat="false" ht="15.75" hidden="false" customHeight="true" outlineLevel="0" collapsed="false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customFormat="false" ht="15.75" hidden="false" customHeight="true" outlineLevel="0" collapsed="false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customFormat="false" ht="15.75" hidden="false" customHeight="true" outlineLevel="0" collapsed="false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customFormat="false" ht="15.75" hidden="false" customHeight="true" outlineLevel="0" collapsed="false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customFormat="false" ht="15.75" hidden="false" customHeight="true" outlineLevel="0" collapsed="false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customFormat="false" ht="15.75" hidden="false" customHeight="true" outlineLevel="0" collapsed="false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customFormat="false" ht="15.75" hidden="false" customHeight="true" outlineLevel="0" collapsed="false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customFormat="false" ht="15.75" hidden="false" customHeight="true" outlineLevel="0" collapsed="false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customFormat="false" ht="15.75" hidden="false" customHeight="true" outlineLevel="0" collapsed="false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customFormat="false" ht="15.75" hidden="false" customHeight="true" outlineLevel="0" collapsed="false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customFormat="false" ht="15.75" hidden="false" customHeight="true" outlineLevel="0" collapsed="false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customFormat="false" ht="15.75" hidden="false" customHeight="true" outlineLevel="0" collapsed="false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customFormat="false" ht="15.75" hidden="false" customHeight="true" outlineLevel="0" collapsed="false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customFormat="false" ht="15.75" hidden="false" customHeight="true" outlineLevel="0" collapsed="false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customFormat="false" ht="15.75" hidden="false" customHeight="true" outlineLevel="0" collapsed="false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customFormat="false" ht="15.75" hidden="false" customHeight="true" outlineLevel="0" collapsed="false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customFormat="false" ht="15.75" hidden="false" customHeight="true" outlineLevel="0" collapsed="false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customFormat="false" ht="15.75" hidden="false" customHeight="true" outlineLevel="0" collapsed="false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customFormat="false" ht="15.75" hidden="false" customHeight="true" outlineLevel="0" collapsed="false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customFormat="false" ht="15.75" hidden="false" customHeight="true" outlineLevel="0" collapsed="false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customFormat="false" ht="15.75" hidden="false" customHeight="true" outlineLevel="0" collapsed="false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customFormat="false" ht="15.75" hidden="false" customHeight="true" outlineLevel="0" collapsed="false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customFormat="false" ht="15.75" hidden="false" customHeight="true" outlineLevel="0" collapsed="false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customFormat="false" ht="15.75" hidden="false" customHeight="true" outlineLevel="0" collapsed="false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customFormat="false" ht="15.75" hidden="false" customHeight="true" outlineLevel="0" collapsed="false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customFormat="false" ht="15.75" hidden="false" customHeight="true" outlineLevel="0" collapsed="false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customFormat="false" ht="15.75" hidden="false" customHeight="true" outlineLevel="0" collapsed="false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customFormat="false" ht="15.75" hidden="false" customHeight="true" outlineLevel="0" collapsed="false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customFormat="false" ht="15.75" hidden="false" customHeight="true" outlineLevel="0" collapsed="false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customFormat="false" ht="15.75" hidden="false" customHeight="true" outlineLevel="0" collapsed="false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customFormat="false" ht="15.75" hidden="false" customHeight="true" outlineLevel="0" collapsed="false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customFormat="false" ht="15.75" hidden="false" customHeight="true" outlineLevel="0" collapsed="false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customFormat="false" ht="15.75" hidden="false" customHeight="true" outlineLevel="0" collapsed="false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customFormat="false" ht="15.75" hidden="false" customHeight="true" outlineLevel="0" collapsed="false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customFormat="false" ht="15.75" hidden="false" customHeight="true" outlineLevel="0" collapsed="false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customFormat="false" ht="15.75" hidden="false" customHeight="true" outlineLevel="0" collapsed="false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customFormat="false" ht="15.75" hidden="false" customHeight="true" outlineLevel="0" collapsed="false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customFormat="false" ht="15.75" hidden="false" customHeight="true" outlineLevel="0" collapsed="false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customFormat="false" ht="15.75" hidden="false" customHeight="true" outlineLevel="0" collapsed="false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customFormat="false" ht="15.75" hidden="false" customHeight="true" outlineLevel="0" collapsed="false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customFormat="false" ht="15.75" hidden="false" customHeight="true" outlineLevel="0" collapsed="false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customFormat="false" ht="15.75" hidden="false" customHeight="true" outlineLevel="0" collapsed="false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customFormat="false" ht="15.75" hidden="false" customHeight="true" outlineLevel="0" collapsed="false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customFormat="false" ht="15.75" hidden="false" customHeight="true" outlineLevel="0" collapsed="false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customFormat="false" ht="15.75" hidden="false" customHeight="true" outlineLevel="0" collapsed="false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customFormat="false" ht="15.75" hidden="false" customHeight="true" outlineLevel="0" collapsed="false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customFormat="false" ht="15.75" hidden="false" customHeight="true" outlineLevel="0" collapsed="false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customFormat="false" ht="15.75" hidden="false" customHeight="true" outlineLevel="0" collapsed="false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customFormat="false" ht="15.75" hidden="false" customHeight="true" outlineLevel="0" collapsed="false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customFormat="false" ht="15.75" hidden="false" customHeight="true" outlineLevel="0" collapsed="false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customFormat="false" ht="15.75" hidden="false" customHeight="true" outlineLevel="0" collapsed="false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customFormat="false" ht="15.75" hidden="false" customHeight="true" outlineLevel="0" collapsed="false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customFormat="false" ht="15.75" hidden="false" customHeight="true" outlineLevel="0" collapsed="false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customFormat="false" ht="15.75" hidden="false" customHeight="true" outlineLevel="0" collapsed="false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customFormat="false" ht="15.75" hidden="false" customHeight="true" outlineLevel="0" collapsed="false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customFormat="false" ht="15.75" hidden="false" customHeight="true" outlineLevel="0" collapsed="false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customFormat="false" ht="15.75" hidden="false" customHeight="true" outlineLevel="0" collapsed="false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customFormat="false" ht="15.75" hidden="false" customHeight="true" outlineLevel="0" collapsed="false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customFormat="false" ht="15.75" hidden="false" customHeight="true" outlineLevel="0" collapsed="false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customFormat="false" ht="15.75" hidden="false" customHeight="true" outlineLevel="0" collapsed="false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customFormat="false" ht="15.75" hidden="false" customHeight="true" outlineLevel="0" collapsed="false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customFormat="false" ht="15.75" hidden="false" customHeight="true" outlineLevel="0" collapsed="false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customFormat="false" ht="15.75" hidden="false" customHeight="true" outlineLevel="0" collapsed="false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customFormat="false" ht="15.75" hidden="false" customHeight="true" outlineLevel="0" collapsed="false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customFormat="false" ht="15.75" hidden="false" customHeight="true" outlineLevel="0" collapsed="false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customFormat="false" ht="15.75" hidden="false" customHeight="true" outlineLevel="0" collapsed="false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customFormat="false" ht="15.75" hidden="false" customHeight="true" outlineLevel="0" collapsed="false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customFormat="false" ht="15.75" hidden="false" customHeight="true" outlineLevel="0" collapsed="false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customFormat="false" ht="15.75" hidden="false" customHeight="true" outlineLevel="0" collapsed="false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customFormat="false" ht="15.75" hidden="false" customHeight="true" outlineLevel="0" collapsed="false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customFormat="false" ht="15.75" hidden="false" customHeight="true" outlineLevel="0" collapsed="false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customFormat="false" ht="15.75" hidden="false" customHeight="true" outlineLevel="0" collapsed="false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customFormat="false" ht="15.75" hidden="false" customHeight="true" outlineLevel="0" collapsed="false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customFormat="false" ht="15.75" hidden="false" customHeight="true" outlineLevel="0" collapsed="false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customFormat="false" ht="15.75" hidden="false" customHeight="true" outlineLevel="0" collapsed="false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customFormat="false" ht="15.75" hidden="false" customHeight="true" outlineLevel="0" collapsed="false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customFormat="false" ht="15.75" hidden="false" customHeight="true" outlineLevel="0" collapsed="false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customFormat="false" ht="15.75" hidden="false" customHeight="true" outlineLevel="0" collapsed="false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customFormat="false" ht="15.75" hidden="false" customHeight="true" outlineLevel="0" collapsed="false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customFormat="false" ht="15.75" hidden="false" customHeight="true" outlineLevel="0" collapsed="false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customFormat="false" ht="15.75" hidden="false" customHeight="true" outlineLevel="0" collapsed="false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customFormat="false" ht="15.75" hidden="false" customHeight="true" outlineLevel="0" collapsed="false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customFormat="false" ht="15.75" hidden="false" customHeight="true" outlineLevel="0" collapsed="false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customFormat="false" ht="15.75" hidden="false" customHeight="true" outlineLevel="0" collapsed="false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customFormat="false" ht="15.75" hidden="false" customHeight="true" outlineLevel="0" collapsed="false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customFormat="false" ht="15.75" hidden="false" customHeight="true" outlineLevel="0" collapsed="false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customFormat="false" ht="15.75" hidden="false" customHeight="true" outlineLevel="0" collapsed="false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customFormat="false" ht="15.75" hidden="false" customHeight="true" outlineLevel="0" collapsed="false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customFormat="false" ht="15.75" hidden="false" customHeight="true" outlineLevel="0" collapsed="false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customFormat="false" ht="15.75" hidden="false" customHeight="true" outlineLevel="0" collapsed="false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customFormat="false" ht="15.75" hidden="false" customHeight="true" outlineLevel="0" collapsed="false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customFormat="false" ht="15.75" hidden="false" customHeight="true" outlineLevel="0" collapsed="false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customFormat="false" ht="15.75" hidden="false" customHeight="true" outlineLevel="0" collapsed="false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customFormat="false" ht="15.75" hidden="false" customHeight="true" outlineLevel="0" collapsed="false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customFormat="false" ht="15.75" hidden="false" customHeight="true" outlineLevel="0" collapsed="false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customFormat="false" ht="15.75" hidden="false" customHeight="true" outlineLevel="0" collapsed="false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customFormat="false" ht="15.75" hidden="false" customHeight="true" outlineLevel="0" collapsed="false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customFormat="false" ht="15.75" hidden="false" customHeight="true" outlineLevel="0" collapsed="false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customFormat="false" ht="15.75" hidden="false" customHeight="true" outlineLevel="0" collapsed="false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customFormat="false" ht="15.75" hidden="false" customHeight="true" outlineLevel="0" collapsed="false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customFormat="false" ht="15.75" hidden="false" customHeight="true" outlineLevel="0" collapsed="false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customFormat="false" ht="15.75" hidden="false" customHeight="true" outlineLevel="0" collapsed="false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customFormat="false" ht="15.75" hidden="false" customHeight="true" outlineLevel="0" collapsed="false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customFormat="false" ht="15.75" hidden="false" customHeight="true" outlineLevel="0" collapsed="false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customFormat="false" ht="15.75" hidden="false" customHeight="true" outlineLevel="0" collapsed="false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customFormat="false" ht="15.75" hidden="false" customHeight="true" outlineLevel="0" collapsed="false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customFormat="false" ht="15.75" hidden="false" customHeight="true" outlineLevel="0" collapsed="false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customFormat="false" ht="15.75" hidden="false" customHeight="true" outlineLevel="0" collapsed="false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customFormat="false" ht="15.75" hidden="false" customHeight="true" outlineLevel="0" collapsed="false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customFormat="false" ht="15.75" hidden="false" customHeight="true" outlineLevel="0" collapsed="false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customFormat="false" ht="15.75" hidden="false" customHeight="true" outlineLevel="0" collapsed="false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customFormat="false" ht="15.75" hidden="false" customHeight="true" outlineLevel="0" collapsed="false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customFormat="false" ht="15.75" hidden="false" customHeight="true" outlineLevel="0" collapsed="false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customFormat="false" ht="15.75" hidden="false" customHeight="true" outlineLevel="0" collapsed="false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customFormat="false" ht="15.75" hidden="false" customHeight="true" outlineLevel="0" collapsed="false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customFormat="false" ht="15.75" hidden="false" customHeight="true" outlineLevel="0" collapsed="false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customFormat="false" ht="15.75" hidden="false" customHeight="true" outlineLevel="0" collapsed="false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customFormat="false" ht="15.75" hidden="false" customHeight="true" outlineLevel="0" collapsed="false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customFormat="false" ht="15.75" hidden="false" customHeight="true" outlineLevel="0" collapsed="false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customFormat="false" ht="15.75" hidden="false" customHeight="true" outlineLevel="0" collapsed="false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customFormat="false" ht="15.75" hidden="false" customHeight="true" outlineLevel="0" collapsed="false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customFormat="false" ht="15.75" hidden="false" customHeight="true" outlineLevel="0" collapsed="false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customFormat="false" ht="15.75" hidden="false" customHeight="true" outlineLevel="0" collapsed="false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customFormat="false" ht="15.75" hidden="false" customHeight="true" outlineLevel="0" collapsed="false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customFormat="false" ht="15.75" hidden="false" customHeight="true" outlineLevel="0" collapsed="false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customFormat="false" ht="15.75" hidden="false" customHeight="true" outlineLevel="0" collapsed="false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customFormat="false" ht="15.75" hidden="false" customHeight="true" outlineLevel="0" collapsed="false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customFormat="false" ht="15.75" hidden="false" customHeight="true" outlineLevel="0" collapsed="false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customFormat="false" ht="15.75" hidden="false" customHeight="true" outlineLevel="0" collapsed="false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customFormat="false" ht="15.75" hidden="false" customHeight="true" outlineLevel="0" collapsed="false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customFormat="false" ht="15.75" hidden="false" customHeight="true" outlineLevel="0" collapsed="false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customFormat="false" ht="15.75" hidden="false" customHeight="true" outlineLevel="0" collapsed="false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customFormat="false" ht="15.75" hidden="false" customHeight="true" outlineLevel="0" collapsed="false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customFormat="false" ht="15.75" hidden="false" customHeight="true" outlineLevel="0" collapsed="false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customFormat="false" ht="15.75" hidden="false" customHeight="true" outlineLevel="0" collapsed="false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customFormat="false" ht="15.75" hidden="false" customHeight="true" outlineLevel="0" collapsed="false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customFormat="false" ht="15.75" hidden="false" customHeight="true" outlineLevel="0" collapsed="false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customFormat="false" ht="15.75" hidden="false" customHeight="true" outlineLevel="0" collapsed="false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customFormat="false" ht="15.75" hidden="false" customHeight="true" outlineLevel="0" collapsed="false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customFormat="false" ht="15.75" hidden="false" customHeight="true" outlineLevel="0" collapsed="false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customFormat="false" ht="15.75" hidden="false" customHeight="true" outlineLevel="0" collapsed="false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customFormat="false" ht="15.75" hidden="false" customHeight="true" outlineLevel="0" collapsed="false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customFormat="false" ht="15.75" hidden="false" customHeight="true" outlineLevel="0" collapsed="false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customFormat="false" ht="15.75" hidden="false" customHeight="true" outlineLevel="0" collapsed="false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customFormat="false" ht="15.75" hidden="false" customHeight="true" outlineLevel="0" collapsed="false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customFormat="false" ht="15.75" hidden="false" customHeight="true" outlineLevel="0" collapsed="false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customFormat="false" ht="15.75" hidden="false" customHeight="true" outlineLevel="0" collapsed="false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customFormat="false" ht="15.75" hidden="false" customHeight="true" outlineLevel="0" collapsed="false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customFormat="false" ht="15.75" hidden="false" customHeight="true" outlineLevel="0" collapsed="false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customFormat="false" ht="15.75" hidden="false" customHeight="true" outlineLevel="0" collapsed="false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customFormat="false" ht="15.75" hidden="false" customHeight="true" outlineLevel="0" collapsed="false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customFormat="false" ht="15.75" hidden="false" customHeight="true" outlineLevel="0" collapsed="false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customFormat="false" ht="15.75" hidden="false" customHeight="true" outlineLevel="0" collapsed="false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customFormat="false" ht="15.75" hidden="false" customHeight="true" outlineLevel="0" collapsed="false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customFormat="false" ht="15.75" hidden="false" customHeight="true" outlineLevel="0" collapsed="false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customFormat="false" ht="15.75" hidden="false" customHeight="true" outlineLevel="0" collapsed="false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customFormat="false" ht="15.75" hidden="false" customHeight="true" outlineLevel="0" collapsed="false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customFormat="false" ht="15.75" hidden="false" customHeight="true" outlineLevel="0" collapsed="false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customFormat="false" ht="15.75" hidden="false" customHeight="true" outlineLevel="0" collapsed="false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customFormat="false" ht="15.75" hidden="false" customHeight="true" outlineLevel="0" collapsed="false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customFormat="false" ht="15.75" hidden="false" customHeight="true" outlineLevel="0" collapsed="false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customFormat="false" ht="15.75" hidden="false" customHeight="true" outlineLevel="0" collapsed="false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customFormat="false" ht="15.75" hidden="false" customHeight="true" outlineLevel="0" collapsed="false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customFormat="false" ht="15.75" hidden="false" customHeight="true" outlineLevel="0" collapsed="false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customFormat="false" ht="15.75" hidden="false" customHeight="true" outlineLevel="0" collapsed="false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customFormat="false" ht="15.75" hidden="false" customHeight="true" outlineLevel="0" collapsed="false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customFormat="false" ht="15.75" hidden="false" customHeight="true" outlineLevel="0" collapsed="false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customFormat="false" ht="15.75" hidden="false" customHeight="true" outlineLevel="0" collapsed="false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customFormat="false" ht="15.75" hidden="false" customHeight="true" outlineLevel="0" collapsed="false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customFormat="false" ht="15.75" hidden="false" customHeight="true" outlineLevel="0" collapsed="false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customFormat="false" ht="15.75" hidden="false" customHeight="true" outlineLevel="0" collapsed="false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customFormat="false" ht="15.75" hidden="false" customHeight="true" outlineLevel="0" collapsed="false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customFormat="false" ht="15.75" hidden="false" customHeight="true" outlineLevel="0" collapsed="false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customFormat="false" ht="15.75" hidden="false" customHeight="true" outlineLevel="0" collapsed="false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customFormat="false" ht="15.75" hidden="false" customHeight="true" outlineLevel="0" collapsed="false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customFormat="false" ht="15.75" hidden="false" customHeight="true" outlineLevel="0" collapsed="false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customFormat="false" ht="15.75" hidden="false" customHeight="true" outlineLevel="0" collapsed="false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customFormat="false" ht="15.75" hidden="false" customHeight="true" outlineLevel="0" collapsed="false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customFormat="false" ht="15.75" hidden="false" customHeight="true" outlineLevel="0" collapsed="false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customFormat="false" ht="15.75" hidden="false" customHeight="true" outlineLevel="0" collapsed="false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customFormat="false" ht="15.75" hidden="false" customHeight="true" outlineLevel="0" collapsed="false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customFormat="false" ht="15.75" hidden="false" customHeight="true" outlineLevel="0" collapsed="false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customFormat="false" ht="15.75" hidden="false" customHeight="true" outlineLevel="0" collapsed="false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customFormat="false" ht="15.75" hidden="false" customHeight="true" outlineLevel="0" collapsed="false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customFormat="false" ht="15.75" hidden="false" customHeight="true" outlineLevel="0" collapsed="false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customFormat="false" ht="15.75" hidden="false" customHeight="true" outlineLevel="0" collapsed="false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customFormat="false" ht="15.75" hidden="false" customHeight="true" outlineLevel="0" collapsed="false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customFormat="false" ht="15.75" hidden="false" customHeight="true" outlineLevel="0" collapsed="false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customFormat="false" ht="15.75" hidden="false" customHeight="true" outlineLevel="0" collapsed="false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customFormat="false" ht="15.75" hidden="false" customHeight="true" outlineLevel="0" collapsed="false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customFormat="false" ht="15.75" hidden="false" customHeight="true" outlineLevel="0" collapsed="false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customFormat="false" ht="15.75" hidden="false" customHeight="true" outlineLevel="0" collapsed="false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customFormat="false" ht="15.75" hidden="false" customHeight="true" outlineLevel="0" collapsed="false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customFormat="false" ht="15.75" hidden="false" customHeight="true" outlineLevel="0" collapsed="false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customFormat="false" ht="15.75" hidden="false" customHeight="true" outlineLevel="0" collapsed="false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customFormat="false" ht="15.75" hidden="false" customHeight="true" outlineLevel="0" collapsed="false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customFormat="false" ht="15.75" hidden="false" customHeight="true" outlineLevel="0" collapsed="false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customFormat="false" ht="15.75" hidden="false" customHeight="true" outlineLevel="0" collapsed="false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customFormat="false" ht="15.75" hidden="false" customHeight="true" outlineLevel="0" collapsed="false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customFormat="false" ht="15.75" hidden="false" customHeight="true" outlineLevel="0" collapsed="false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customFormat="false" ht="15.75" hidden="false" customHeight="true" outlineLevel="0" collapsed="false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customFormat="false" ht="15.75" hidden="false" customHeight="true" outlineLevel="0" collapsed="false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customFormat="false" ht="15.75" hidden="false" customHeight="true" outlineLevel="0" collapsed="false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customFormat="false" ht="15.75" hidden="false" customHeight="true" outlineLevel="0" collapsed="false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customFormat="false" ht="15.75" hidden="false" customHeight="true" outlineLevel="0" collapsed="false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customFormat="false" ht="15.75" hidden="false" customHeight="true" outlineLevel="0" collapsed="false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customFormat="false" ht="15.75" hidden="false" customHeight="true" outlineLevel="0" collapsed="false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customFormat="false" ht="15.75" hidden="false" customHeight="true" outlineLevel="0" collapsed="false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customFormat="false" ht="15.75" hidden="false" customHeight="true" outlineLevel="0" collapsed="false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customFormat="false" ht="15.75" hidden="false" customHeight="true" outlineLevel="0" collapsed="false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customFormat="false" ht="15.75" hidden="false" customHeight="true" outlineLevel="0" collapsed="false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customFormat="false" ht="15.75" hidden="false" customHeight="true" outlineLevel="0" collapsed="false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customFormat="false" ht="15.75" hidden="false" customHeight="true" outlineLevel="0" collapsed="false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customFormat="false" ht="15.75" hidden="false" customHeight="true" outlineLevel="0" collapsed="false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customFormat="false" ht="15.75" hidden="false" customHeight="true" outlineLevel="0" collapsed="false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customFormat="false" ht="15.75" hidden="false" customHeight="true" outlineLevel="0" collapsed="false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customFormat="false" ht="15.75" hidden="false" customHeight="true" outlineLevel="0" collapsed="false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customFormat="false" ht="15.75" hidden="false" customHeight="true" outlineLevel="0" collapsed="false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customFormat="false" ht="15.75" hidden="false" customHeight="true" outlineLevel="0" collapsed="false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customFormat="false" ht="15.75" hidden="false" customHeight="true" outlineLevel="0" collapsed="false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customFormat="false" ht="15.75" hidden="false" customHeight="true" outlineLevel="0" collapsed="false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customFormat="false" ht="15.75" hidden="false" customHeight="true" outlineLevel="0" collapsed="false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customFormat="false" ht="15" hidden="false" customHeight="true" outlineLevel="0" collapsed="false">
      <c r="B973" s="2"/>
      <c r="C973" s="3"/>
      <c r="D973" s="2"/>
      <c r="E973" s="2"/>
      <c r="F973" s="2"/>
      <c r="G973" s="2"/>
      <c r="H973" s="2"/>
      <c r="I973" s="2"/>
      <c r="J973" s="2"/>
      <c r="K973" s="2"/>
    </row>
  </sheetData>
  <mergeCells count="17">
    <mergeCell ref="A7:J7"/>
    <mergeCell ref="A9:A10"/>
    <mergeCell ref="B9:B10"/>
    <mergeCell ref="C9:C10"/>
    <mergeCell ref="J9:J10"/>
    <mergeCell ref="K9:K10"/>
    <mergeCell ref="L9:L10"/>
    <mergeCell ref="A66:C66"/>
    <mergeCell ref="L66:L72"/>
    <mergeCell ref="A67:C67"/>
    <mergeCell ref="A68:C68"/>
    <mergeCell ref="A69:C69"/>
    <mergeCell ref="A70:C70"/>
    <mergeCell ref="A71:C71"/>
    <mergeCell ref="A72:C72"/>
    <mergeCell ref="B111:C111"/>
    <mergeCell ref="B114:C114"/>
  </mergeCells>
  <conditionalFormatting sqref="J11:J64 J66:J68 J70:J72">
    <cfRule type="cellIs" priority="2" operator="lessThan" aboveAverage="0" equalAverage="0" bottom="0" percent="0" rank="0" text="" dxfId="2">
      <formula>50</formula>
    </cfRule>
  </conditionalFormatting>
  <conditionalFormatting sqref="J11:J64 J66:J68 J70:J72">
    <cfRule type="cellIs" priority="3" operator="equal" aboveAverage="0" equalAverage="0" bottom="0" percent="0" rank="0" text="" dxfId="2">
      <formula>"AB"</formula>
    </cfRule>
  </conditionalFormatting>
  <hyperlinks>
    <hyperlink ref="A9" r:id="rId1" display="S.NO"/>
  </hyperlinks>
  <printOptions headings="false" gridLines="true" gridLinesSet="true" horizontalCentered="true" verticalCentered="false"/>
  <pageMargins left="0.317361111111111" right="0.267361111111111" top="0.434027777777778" bottom="0.618055555555556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52" man="true" max="16383" min="0"/>
    <brk id="72" man="true" max="16383" min="0"/>
    <brk id="80" man="true" max="16383" min="0"/>
  </rowBreaks>
  <colBreaks count="1" manualBreakCount="1">
    <brk id="12" man="true" max="65535" min="0"/>
  </colBreaks>
  <drawing r:id="rId2"/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2023-08-22T09:02:57Z</dcterms:created>
  <dc:creator>MJ</dc:creator>
  <dc:description/>
  <dc:language>en-US</dc:language>
  <cp:lastModifiedBy/>
  <cp:revision>0</cp:revision>
  <dc:subject/>
  <dc:title/>
</cp:coreProperties>
</file>