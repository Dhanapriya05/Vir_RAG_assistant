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I IT" sheetId="1" state="visible" r:id="rId3"/>
    <sheet name="III IT" sheetId="2" state="visible" r:id="rId4"/>
    <sheet name="Copy of III I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<sst xmlns="http://schemas.openxmlformats.org/spreadsheetml/2006/main" count="412" uniqueCount="206">
  <si>
    <t xml:space="preserve">-*-*</t>
  </si>
  <si>
    <t xml:space="preserve">DEPARTMENT OF INFORMATION TECHNOLOGY</t>
  </si>
  <si>
    <t xml:space="preserve">Academic year 2025-26(Even  Semester)                                                         </t>
  </si>
  <si>
    <t xml:space="preserve">IAT-1</t>
  </si>
  <si>
    <t xml:space="preserve">II YEAR (IT)</t>
  </si>
  <si>
    <t xml:space="preserve">Semester :- 04</t>
  </si>
  <si>
    <t xml:space="preserve">S.NO</t>
  </si>
  <si>
    <t xml:space="preserve">Reg. No.</t>
  </si>
  <si>
    <t xml:space="preserve">Name of the students</t>
  </si>
  <si>
    <t xml:space="preserve">Total Marks</t>
  </si>
  <si>
    <t xml:space="preserve">Total Arrears</t>
  </si>
  <si>
    <t xml:space="preserve">Number of Absent</t>
  </si>
  <si>
    <t xml:space="preserve">Sub 1: CS3452        Theory of Computation</t>
  </si>
  <si>
    <t xml:space="preserve">Sub 2: CS3491        Artificial Intelligence and Machine Learning</t>
  </si>
  <si>
    <t xml:space="preserve">Sub 3: CS3492        Database Management Systems</t>
  </si>
  <si>
    <t xml:space="preserve">Sub 4: IT3401        Web Essentials</t>
  </si>
  <si>
    <t xml:space="preserve">Sub 5: CS3451        Introduction to Operating Systems</t>
  </si>
  <si>
    <t xml:space="preserve">GE3451 - Environmental Sciences and Sustainability</t>
  </si>
  <si>
    <t xml:space="preserve">ANANDHI M</t>
  </si>
  <si>
    <t xml:space="preserve">ARTHI D</t>
  </si>
  <si>
    <t xml:space="preserve">ASHA M</t>
  </si>
  <si>
    <t xml:space="preserve">ab</t>
  </si>
  <si>
    <t xml:space="preserve">ASHA S</t>
  </si>
  <si>
    <t xml:space="preserve">BHAVANI A</t>
  </si>
  <si>
    <t xml:space="preserve">DEEPAK S</t>
  </si>
  <si>
    <t xml:space="preserve">DHINAGARAN P</t>
  </si>
  <si>
    <t xml:space="preserve">GAJALAKSHMI H</t>
  </si>
  <si>
    <t xml:space="preserve">GOKUL R</t>
  </si>
  <si>
    <t xml:space="preserve">AB</t>
  </si>
  <si>
    <t xml:space="preserve">GOWTHAM S</t>
  </si>
  <si>
    <t xml:space="preserve">GUNA S</t>
  </si>
  <si>
    <t xml:space="preserve">HARIHARAN K</t>
  </si>
  <si>
    <t xml:space="preserve">HARIHARASUDHAN R</t>
  </si>
  <si>
    <t xml:space="preserve">HARITHARANI M</t>
  </si>
  <si>
    <t xml:space="preserve">HEMALATHA R</t>
  </si>
  <si>
    <t xml:space="preserve">JANANI PRIYA B</t>
  </si>
  <si>
    <t xml:space="preserve">KALAIYARASI E</t>
  </si>
  <si>
    <t xml:space="preserve">KARTHIKEYAN E</t>
  </si>
  <si>
    <t xml:space="preserve">KARTHIKEYAN G</t>
  </si>
  <si>
    <t xml:space="preserve">KUMARAN V</t>
  </si>
  <si>
    <t xml:space="preserve">MAHAKEERTHIKA S</t>
  </si>
  <si>
    <t xml:space="preserve">MANIMARAN G</t>
  </si>
  <si>
    <t xml:space="preserve">MANOJ T</t>
  </si>
  <si>
    <t xml:space="preserve">MONIKA N</t>
  </si>
  <si>
    <t xml:space="preserve">MONISH M</t>
  </si>
  <si>
    <t xml:space="preserve">MUTHUBALAN K</t>
  </si>
  <si>
    <t xml:space="preserve">NANDHAKUMAR B</t>
  </si>
  <si>
    <t xml:space="preserve">NARESHKUMAR S</t>
  </si>
  <si>
    <t xml:space="preserve">NIRENTHIRAMOULI S</t>
  </si>
  <si>
    <t xml:space="preserve">NITHISHWARAN S</t>
  </si>
  <si>
    <t xml:space="preserve">PRATHIKSHA V</t>
  </si>
  <si>
    <t xml:space="preserve">PRIYADHARSHINI R</t>
  </si>
  <si>
    <t xml:space="preserve">RAJAN E</t>
  </si>
  <si>
    <t xml:space="preserve">RAMKUMAR S</t>
  </si>
  <si>
    <t xml:space="preserve">RAMYA V</t>
  </si>
  <si>
    <t xml:space="preserve">RANGASAMY N</t>
  </si>
  <si>
    <t xml:space="preserve">RANJITH R</t>
  </si>
  <si>
    <t xml:space="preserve">SANDHIYA B</t>
  </si>
  <si>
    <t xml:space="preserve">SANGAVI S</t>
  </si>
  <si>
    <t xml:space="preserve">SARANYA M</t>
  </si>
  <si>
    <t xml:space="preserve">SARANYA S</t>
  </si>
  <si>
    <t xml:space="preserve">SARATHI R</t>
  </si>
  <si>
    <t xml:space="preserve">SARAVANAN S</t>
  </si>
  <si>
    <t xml:space="preserve">SATHIYAN A</t>
  </si>
  <si>
    <t xml:space="preserve">SIVABALAN P</t>
  </si>
  <si>
    <t xml:space="preserve">SIVAGEETHAN S</t>
  </si>
  <si>
    <t xml:space="preserve">SIVAMANI S</t>
  </si>
  <si>
    <t xml:space="preserve">SIVARANJANI E</t>
  </si>
  <si>
    <t xml:space="preserve">SIVASUNDARI S</t>
  </si>
  <si>
    <t xml:space="preserve">SRIDHAR K</t>
  </si>
  <si>
    <t xml:space="preserve">SRIHARAN S</t>
  </si>
  <si>
    <t xml:space="preserve">SUJI J</t>
  </si>
  <si>
    <t xml:space="preserve">SWATHI V</t>
  </si>
  <si>
    <t xml:space="preserve">THARUN V</t>
  </si>
  <si>
    <t xml:space="preserve">THIRUMALAI G</t>
  </si>
  <si>
    <t xml:space="preserve">VENKATESH A</t>
  </si>
  <si>
    <t xml:space="preserve">VIGNESH S</t>
  </si>
  <si>
    <t xml:space="preserve">VIMALRAJ S</t>
  </si>
  <si>
    <t xml:space="preserve">All  Sub. Passed Students</t>
  </si>
  <si>
    <t xml:space="preserve">Total No. of Students</t>
  </si>
  <si>
    <t xml:space="preserve">1 Sub Fail </t>
  </si>
  <si>
    <t xml:space="preserve">Total No. of Students Appeared</t>
  </si>
  <si>
    <t xml:space="preserve">2 Sub Fail</t>
  </si>
  <si>
    <t xml:space="preserve">Total No. of Students Absent</t>
  </si>
  <si>
    <t xml:space="preserve">3 Sub Fail</t>
  </si>
  <si>
    <t xml:space="preserve">Total No. of Students Onduty</t>
  </si>
  <si>
    <t xml:space="preserve">4 sub Fail</t>
  </si>
  <si>
    <t xml:space="preserve">Total No. of Students Pass</t>
  </si>
  <si>
    <t xml:space="preserve">5 Sub Fail</t>
  </si>
  <si>
    <t xml:space="preserve">Total No. of Students Fail</t>
  </si>
  <si>
    <t xml:space="preserve">6 Sub Fail</t>
  </si>
  <si>
    <t xml:space="preserve">Total No. of Students Pass %</t>
  </si>
  <si>
    <t xml:space="preserve">Overall %</t>
  </si>
  <si>
    <t xml:space="preserve">S. No.</t>
  </si>
  <si>
    <t xml:space="preserve">Subject code and Name</t>
  </si>
  <si>
    <t xml:space="preserve">Name of the Staff Member &amp; Department</t>
  </si>
  <si>
    <t xml:space="preserve">No of students attended</t>
  </si>
  <si>
    <t xml:space="preserve">No of students absent</t>
  </si>
  <si>
    <t xml:space="preserve">No of students Passed</t>
  </si>
  <si>
    <t xml:space="preserve">Percentage of Passes (%)</t>
  </si>
  <si>
    <t xml:space="preserve">CS3452  - Theory of Computation </t>
  </si>
  <si>
    <t xml:space="preserve">Mrs.E.Sathya, AP/IT</t>
  </si>
  <si>
    <t xml:space="preserve">CS3491 - Artificial Intelligence and Machine Learning</t>
  </si>
  <si>
    <t xml:space="preserve">Mrs.R.Leelavathi, AP/IT</t>
  </si>
  <si>
    <t xml:space="preserve">CS3492 - Database Management Systems </t>
  </si>
  <si>
    <t xml:space="preserve">Ms.K.Surya, Tutor/CSE</t>
  </si>
  <si>
    <t xml:space="preserve">IT3401 - Web Essentials</t>
  </si>
  <si>
    <t xml:space="preserve">Mr. M. Poovannan, AP/IT</t>
  </si>
  <si>
    <t xml:space="preserve">CS3451 - Introduction to Operating Systems        </t>
  </si>
  <si>
    <t xml:space="preserve">Mrs.K.Sumi, AP/CSE</t>
  </si>
  <si>
    <t xml:space="preserve">GE3451 - Environmental Sciences and Sustainability </t>
  </si>
  <si>
    <t xml:space="preserve">Dr.K.Ranganathan, ASP/S&amp;H</t>
  </si>
  <si>
    <t xml:space="preserve">CLASS INCHARGE</t>
  </si>
  <si>
    <t xml:space="preserve">HOD</t>
  </si>
  <si>
    <t xml:space="preserve">PRINCIPAL</t>
  </si>
  <si>
    <t xml:space="preserve">Academic                                                    </t>
  </si>
  <si>
    <t xml:space="preserve">year : 2025-2026 (EVEN SEM)</t>
  </si>
  <si>
    <t xml:space="preserve">III YEAR (IT)</t>
  </si>
  <si>
    <t xml:space="preserve">Semester :- 06</t>
  </si>
  <si>
    <t xml:space="preserve">Sl.
 No.</t>
  </si>
  <si>
    <t xml:space="preserve">04.02.2026</t>
  </si>
  <si>
    <t xml:space="preserve">05.02.2026</t>
  </si>
  <si>
    <t xml:space="preserve">06.02.2026</t>
  </si>
  <si>
    <t xml:space="preserve">07.02.2026</t>
  </si>
  <si>
    <t xml:space="preserve">09.02.2026</t>
  </si>
  <si>
    <t xml:space="preserve">10.02.2026</t>
  </si>
  <si>
    <t xml:space="preserve">Total Mark</t>
  </si>
  <si>
    <t xml:space="preserve">CCS356 - Object Oriented Software Engineering</t>
  </si>
  <si>
    <t xml:space="preserve">OEI351 - Introduction to Industrial Engineering </t>
  </si>
  <si>
    <t xml:space="preserve">CCS372 - Virtualization</t>
  </si>
  <si>
    <t xml:space="preserve">CCS366 - Network Security</t>
  </si>
  <si>
    <t xml:space="preserve">CCS340 - Cyber Security </t>
  </si>
  <si>
    <t xml:space="preserve">CCS355  - Neural Networks and Deep Learning</t>
  </si>
  <si>
    <t xml:space="preserve">Aasaimani T</t>
  </si>
  <si>
    <t xml:space="preserve">Aathi S</t>
  </si>
  <si>
    <t xml:space="preserve">Abi P</t>
  </si>
  <si>
    <t xml:space="preserve">Abirami M</t>
  </si>
  <si>
    <t xml:space="preserve">Adhithya A</t>
  </si>
  <si>
    <t xml:space="preserve">Anandharaman M</t>
  </si>
  <si>
    <t xml:space="preserve">Arish S</t>
  </si>
  <si>
    <t xml:space="preserve">Arulirasan G</t>
  </si>
  <si>
    <t xml:space="preserve">Ashwin G</t>
  </si>
  <si>
    <t xml:space="preserve">Aswini V</t>
  </si>
  <si>
    <t xml:space="preserve">Dhanalakshmi R</t>
  </si>
  <si>
    <t xml:space="preserve">Dhanapriya P</t>
  </si>
  <si>
    <t xml:space="preserve">Divagaran M</t>
  </si>
  <si>
    <t xml:space="preserve">Divya R</t>
  </si>
  <si>
    <t xml:space="preserve">Divya S</t>
  </si>
  <si>
    <t xml:space="preserve">Gopi M</t>
  </si>
  <si>
    <t xml:space="preserve">Harish K</t>
  </si>
  <si>
    <t xml:space="preserve">Harisharan PS</t>
  </si>
  <si>
    <t xml:space="preserve">Hemalatha M</t>
  </si>
  <si>
    <t xml:space="preserve">Jagan S</t>
  </si>
  <si>
    <t xml:space="preserve">Janani J</t>
  </si>
  <si>
    <t xml:space="preserve">Jayanthi K</t>
  </si>
  <si>
    <t xml:space="preserve">Keerthana M</t>
  </si>
  <si>
    <t xml:space="preserve">Keerthana R</t>
  </si>
  <si>
    <t xml:space="preserve">Keerthivasan V</t>
  </si>
  <si>
    <t xml:space="preserve">Kowsalya B</t>
  </si>
  <si>
    <t xml:space="preserve">Lakshmi priya S K</t>
  </si>
  <si>
    <t xml:space="preserve">Loseya V</t>
  </si>
  <si>
    <t xml:space="preserve">Madhankumar R</t>
  </si>
  <si>
    <t xml:space="preserve">Madhumitha V</t>
  </si>
  <si>
    <t xml:space="preserve">Mahalakshmi S</t>
  </si>
  <si>
    <t xml:space="preserve">Mohanapriya S</t>
  </si>
  <si>
    <t xml:space="preserve">Monica U</t>
  </si>
  <si>
    <t xml:space="preserve">Nitheeswari S</t>
  </si>
  <si>
    <t xml:space="preserve">Nithya priya C</t>
  </si>
  <si>
    <t xml:space="preserve">Prasanth P</t>
  </si>
  <si>
    <t xml:space="preserve">Priyadharshan A</t>
  </si>
  <si>
    <t xml:space="preserve">Ragulgandhi K</t>
  </si>
  <si>
    <t xml:space="preserve">Raguram R</t>
  </si>
  <si>
    <t xml:space="preserve">Ramya N</t>
  </si>
  <si>
    <t xml:space="preserve">Reethika K</t>
  </si>
  <si>
    <t xml:space="preserve">Rithik K</t>
  </si>
  <si>
    <t xml:space="preserve">Sachin S</t>
  </si>
  <si>
    <t xml:space="preserve">Sagunthala K</t>
  </si>
  <si>
    <t xml:space="preserve">Sakthivel R</t>
  </si>
  <si>
    <t xml:space="preserve">Samuvel M</t>
  </si>
  <si>
    <t xml:space="preserve">Sandhiya L</t>
  </si>
  <si>
    <t xml:space="preserve">Sangeetha V</t>
  </si>
  <si>
    <t xml:space="preserve">Sankar ganesh J</t>
  </si>
  <si>
    <t xml:space="preserve">Santhaseelan R</t>
  </si>
  <si>
    <t xml:space="preserve">Santhosh R</t>
  </si>
  <si>
    <t xml:space="preserve">Sharmila B</t>
  </si>
  <si>
    <t xml:space="preserve">Sivapriya S</t>
  </si>
  <si>
    <t xml:space="preserve">Srimanoj C</t>
  </si>
  <si>
    <t xml:space="preserve">Srinivasan N</t>
  </si>
  <si>
    <t xml:space="preserve">Tamilselvan J</t>
  </si>
  <si>
    <t xml:space="preserve">Thamizhvani S</t>
  </si>
  <si>
    <t xml:space="preserve">Udhayachandhar H</t>
  </si>
  <si>
    <t xml:space="preserve">Ugendran R</t>
  </si>
  <si>
    <t xml:space="preserve">Vicknesh D</t>
  </si>
  <si>
    <t xml:space="preserve">Vimalraj R</t>
  </si>
  <si>
    <t xml:space="preserve">Yogibala V</t>
  </si>
  <si>
    <t xml:space="preserve">Somasundaram P</t>
  </si>
  <si>
    <t xml:space="preserve">Thiruneelakandan M</t>
  </si>
  <si>
    <t xml:space="preserve">6 Sub  fail</t>
  </si>
  <si>
    <t xml:space="preserve">Mr.U.Rathinavel, 
AP/IT </t>
  </si>
  <si>
    <t xml:space="preserve">Mr.K.Anbumani, AP/MECH </t>
  </si>
  <si>
    <t xml:space="preserve">Mrs.R.Leelavathi, AP/IT </t>
  </si>
  <si>
    <t xml:space="preserve">Mrs. R.Arunlakshmi, AP/CSE </t>
  </si>
  <si>
    <t xml:space="preserve">Mrs.D.Deepa, 
AP/CSE</t>
  </si>
  <si>
    <t xml:space="preserve">Mr.E.Kamalanathan, HOD/IT</t>
  </si>
  <si>
    <t xml:space="preserve">Web Portal Entry - 1 (05-01-2026- 27-02-2026)</t>
  </si>
  <si>
    <t xml:space="preserve">SIGNATURE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</si>
</sst>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_);\(0\)"/>
    <numFmt numFmtId="166" formatCode="0.00%"/>
    <numFmt numFmtId="167" formatCode="0.00"/>
    <numFmt numFmtId="168" formatCode="0"/>
  </numFmts>
  <fonts count="5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Cambria"/>
      <family val="0"/>
      <charset val="1"/>
    </font>
    <font>
      <sz val="11"/>
      <color theme="1"/>
      <name val="Cambria"/>
      <family val="0"/>
      <charset val="1"/>
    </font>
    <font>
      <b val="true"/>
      <sz val="17"/>
      <color rgb="FF000000"/>
      <name val="Cambria"/>
      <family val="0"/>
      <charset val="1"/>
    </font>
    <font>
      <b val="true"/>
      <sz val="14"/>
      <color rgb="FF000000"/>
      <name val="Cambria"/>
      <family val="0"/>
      <charset val="1"/>
    </font>
    <font>
      <b val="true"/>
      <sz val="13"/>
      <color rgb="FF000000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sz val="12"/>
      <color rgb="FF000000"/>
      <name val="Cambria"/>
      <family val="0"/>
      <charset val="1"/>
    </font>
    <font>
      <b val="true"/>
      <u val="single"/>
      <sz val="12"/>
      <color rgb="FF000000"/>
      <name val="Cambria"/>
      <family val="0"/>
      <charset val="1"/>
    </font>
    <font>
      <b val="true"/>
      <sz val="12"/>
      <color theme="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4"/>
      <color theme="1"/>
      <name val="Bookman Old Style"/>
      <family val="0"/>
      <charset val="1"/>
    </font>
    <font>
      <sz val="14"/>
      <color rgb="FF000000"/>
      <name val="Bookman Old Style"/>
      <family val="0"/>
      <charset val="1"/>
    </font>
    <font>
      <sz val="14"/>
      <color rgb="FF000000"/>
      <name val="Cambria"/>
      <family val="0"/>
      <charset val="1"/>
    </font>
    <font>
      <sz val="13"/>
      <color rgb="FF000000"/>
      <name val="&quot;Calisto MT&quot;"/>
      <family val="0"/>
      <charset val="1"/>
    </font>
    <font>
      <b val="true"/>
      <sz val="14"/>
      <color rgb="FFFF0000"/>
      <name val="Bookman Old Style"/>
      <family val="0"/>
      <charset val="1"/>
    </font>
    <font>
      <sz val="13"/>
      <color theme="1"/>
      <name val="&quot;Calisto MT&quot;"/>
      <family val="0"/>
      <charset val="1"/>
    </font>
    <font>
      <sz val="14"/>
      <color rgb="FFFF0000"/>
      <name val="Cambria"/>
      <family val="0"/>
      <charset val="1"/>
    </font>
    <font>
      <sz val="13"/>
      <color rgb="FFFF0000"/>
      <name val="&quot;Calisto MT&quot;"/>
      <family val="0"/>
      <charset val="1"/>
    </font>
    <font>
      <b val="true"/>
      <sz val="10"/>
      <color rgb="FF000000"/>
      <name val="Cambria"/>
      <family val="0"/>
      <charset val="1"/>
    </font>
    <font>
      <sz val="10"/>
      <color theme="4"/>
      <name val="Cambria"/>
      <family val="0"/>
      <charset val="1"/>
    </font>
    <font>
      <b val="true"/>
      <sz val="14"/>
      <color theme="1"/>
      <name val="Bookman Old Style"/>
      <family val="0"/>
      <charset val="1"/>
    </font>
    <font>
      <b val="true"/>
      <sz val="14"/>
      <color rgb="FF000000"/>
      <name val="Bookman Old Style"/>
      <family val="0"/>
      <charset val="1"/>
    </font>
    <font>
      <b val="true"/>
      <sz val="12"/>
      <color rgb="FF000000"/>
      <name val="Bookman Old Style"/>
      <family val="0"/>
      <charset val="1"/>
    </font>
    <font>
      <sz val="12"/>
      <color theme="1"/>
      <name val="Cambria"/>
      <family val="0"/>
      <charset val="1"/>
    </font>
    <font>
      <sz val="14"/>
      <color rgb="FF595959"/>
      <name val="Cambria"/>
      <family val="0"/>
      <charset val="1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b val="true"/>
      <sz val="14"/>
      <color rgb="FF000000"/>
      <name val="Times New Roman"/>
      <family val="0"/>
      <charset val="1"/>
    </font>
    <font>
      <b val="true"/>
      <sz val="14"/>
      <color rgb="FF000000"/>
      <name val="Inconsolata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theme="1"/>
      <name val="Times New Roman"/>
      <family val="0"/>
      <charset val="1"/>
    </font>
    <font>
      <sz val="13"/>
      <color theme="1"/>
      <name val="Arial"/>
      <family val="0"/>
      <charset val="1"/>
    </font>
    <font>
      <sz val="14"/>
      <color rgb="FFEA4335"/>
      <name val="Bookman Old Style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theme="4"/>
      <name val="Calibri"/>
      <family val="0"/>
      <charset val="1"/>
    </font>
    <font>
      <b val="true"/>
      <sz val="14"/>
      <color theme="1"/>
      <name val="Times New Roman"/>
      <family val="0"/>
      <charset val="1"/>
    </font>
    <font>
      <b val="true"/>
      <sz val="18"/>
      <color theme="1"/>
      <name val="Times New Roman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1"/>
      <color rgb="FF000000"/>
      <name val="Bookman Old Style"/>
      <family val="0"/>
      <charset val="1"/>
    </font>
    <font>
      <sz val="12"/>
      <color rgb="FF000000"/>
      <name val="Bookman Old Style"/>
      <family val="0"/>
      <charset val="1"/>
    </font>
    <font>
      <b val="true"/>
      <sz val="12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3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FF0000"/>
      </font>
      <fill>
        <patternFill/>
      </fill>
    </dxf>
    <dxf>
      <font>
        <b val="1"/>
        <color rgb="FFEA4335"/>
      </font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8FACF6"/>
      <rgbColor rgb="FFEA4335"/>
      <rgbColor rgb="FFFFFFCC"/>
      <rgbColor rgb="FFCCFFFF"/>
      <rgbColor rgb="FF660066"/>
      <rgbColor rgb="FFEF908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BCE87"/>
      <rgbColor rgb="FF4285F4"/>
      <rgbColor rgb="FF3EA8B0"/>
      <rgbColor rgb="FF99CC00"/>
      <rgbColor rgb="FFFBBC04"/>
      <rgbColor rgb="FFFF9900"/>
      <rgbColor rgb="FFE36100"/>
      <rgbColor rgb="FF59595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 IT'!$C$79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IT'!$C$80:$C$85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 IT'!$D$79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IT'!$D$80:$D$85</c:f>
              <c:numCache>
                <c:formatCode>General</c:formatCode>
                <c:ptCount val="6"/>
                <c:pt idx="0">
                  <c:v>52</c:v>
                </c:pt>
                <c:pt idx="1">
                  <c:v>56</c:v>
                </c:pt>
                <c:pt idx="2">
                  <c:v>59</c:v>
                </c:pt>
                <c:pt idx="3">
                  <c:v>54</c:v>
                </c:pt>
                <c:pt idx="4">
                  <c:v>55</c:v>
                </c:pt>
                <c:pt idx="5">
                  <c:v>57</c:v>
                </c:pt>
              </c:numCache>
            </c:numRef>
          </c:val>
        </c:ser>
        <c:ser>
          <c:idx val="2"/>
          <c:order val="2"/>
          <c:tx>
            <c:strRef>
              <c:f>'II IT'!$E$79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IT'!$E$80:$E$85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'II IT'!$F$79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IT'!$F$80:$F$85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</c:ser>
        <c:ser>
          <c:idx val="4"/>
          <c:order val="4"/>
          <c:tx>
            <c:strRef>
              <c:f>'II IT'!$G$79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IT'!$G$80:$G$85</c:f>
              <c:numCache>
                <c:formatCode>General</c:formatCode>
                <c:ptCount val="6"/>
              </c:numCache>
            </c:numRef>
          </c:val>
        </c:ser>
        <c:ser>
          <c:idx val="5"/>
          <c:order val="5"/>
          <c:tx>
            <c:strRef>
              <c:f>'II IT'!$H$79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IT'!$H$80:$H$85</c:f>
              <c:numCache>
                <c:formatCode>General</c:formatCode>
                <c:ptCount val="6"/>
                <c:pt idx="0">
                  <c:v>19</c:v>
                </c:pt>
                <c:pt idx="1">
                  <c:v>40</c:v>
                </c:pt>
                <c:pt idx="2">
                  <c:v>47</c:v>
                </c:pt>
                <c:pt idx="3">
                  <c:v>39</c:v>
                </c:pt>
                <c:pt idx="4">
                  <c:v>14</c:v>
                </c:pt>
                <c:pt idx="5">
                  <c:v>41</c:v>
                </c:pt>
              </c:numCache>
            </c:numRef>
          </c:val>
        </c:ser>
        <c:ser>
          <c:idx val="6"/>
          <c:order val="6"/>
          <c:tx>
            <c:strRef>
              <c:f>'II IT'!$J$79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IT'!$J$80:$J$85</c:f>
              <c:numCache>
                <c:formatCode>General</c:formatCode>
                <c:ptCount val="6"/>
              </c:numCache>
            </c:numRef>
          </c:val>
        </c:ser>
        <c:ser>
          <c:idx val="7"/>
          <c:order val="7"/>
          <c:tx>
            <c:strRef>
              <c:f>'II IT'!$K$79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IT'!$B$80:$B$85</c:f>
              <c:strCache>
                <c:ptCount val="6"/>
                <c:pt idx="0">
                  <c:v>CS3452  - Theory of Computation </c:v>
                </c:pt>
                <c:pt idx="1">
                  <c:v>CS3491 - Artificial Intelligence and Machine Learning</c:v>
                </c:pt>
                <c:pt idx="2">
                  <c:v>CS3492 - Database Management Systems </c:v>
                </c:pt>
                <c:pt idx="3">
                  <c:v>IT3401 - Web Essentials</c:v>
                </c:pt>
                <c:pt idx="4">
                  <c:v>CS3451 - Introduction to Operating Systems        </c:v>
                </c:pt>
                <c:pt idx="5">
                  <c:v>GE3451 - Environmental Sciences and Sustainability </c:v>
                </c:pt>
              </c:strCache>
            </c:strRef>
          </c:cat>
          <c:val>
            <c:numRef>
              <c:f>'II IT'!$K$80:$K$85</c:f>
              <c:numCache>
                <c:formatCode>0</c:formatCode>
                <c:ptCount val="6"/>
                <c:pt idx="0">
                  <c:v>36.5384615384615</c:v>
                </c:pt>
                <c:pt idx="1">
                  <c:v>71.4285714285714</c:v>
                </c:pt>
                <c:pt idx="2">
                  <c:v>79.6610169491525</c:v>
                </c:pt>
                <c:pt idx="3">
                  <c:v>72.2222222222222</c:v>
                </c:pt>
                <c:pt idx="4">
                  <c:v>25.4545454545455</c:v>
                </c:pt>
                <c:pt idx="5">
                  <c:v>71.9298245614035</c:v>
                </c:pt>
              </c:numCache>
            </c:numRef>
          </c:val>
        </c:ser>
        <c:gapWidth val="150"/>
        <c:overlap val="0"/>
        <c:axId val="52623033"/>
        <c:axId val="42569252"/>
      </c:barChart>
      <c:catAx>
        <c:axId val="526230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2569252"/>
        <c:crosses val="autoZero"/>
        <c:auto val="1"/>
        <c:lblAlgn val="ctr"/>
        <c:lblOffset val="100"/>
        <c:noMultiLvlLbl val="0"/>
      </c:catAx>
      <c:valAx>
        <c:axId val="4256925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26230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'III IT'!$C$83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IT'!$C$84:$C$89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'III IT'!$D$83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IT'!$D$84:$D$89</c:f>
              <c:numCache>
                <c:formatCode>General</c:formatCode>
                <c:ptCount val="6"/>
                <c:pt idx="0">
                  <c:v>59</c:v>
                </c:pt>
                <c:pt idx="1">
                  <c:v>61</c:v>
                </c:pt>
                <c:pt idx="2">
                  <c:v>57</c:v>
                </c:pt>
                <c:pt idx="3">
                  <c:v>59</c:v>
                </c:pt>
                <c:pt idx="4">
                  <c:v>57</c:v>
                </c:pt>
                <c:pt idx="5">
                  <c:v>58</c:v>
                </c:pt>
              </c:numCache>
            </c:numRef>
          </c:val>
        </c:ser>
        <c:ser>
          <c:idx val="2"/>
          <c:order val="2"/>
          <c:tx>
            <c:strRef>
              <c:f>'III IT'!$E$83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IT'!$E$84:$E$89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'III IT'!$F$83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IT'!$F$84:$F$89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</c:ser>
        <c:ser>
          <c:idx val="4"/>
          <c:order val="4"/>
          <c:tx>
            <c:strRef>
              <c:f>'III IT'!$G$83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IT'!$G$84:$G$89</c:f>
              <c:numCache>
                <c:formatCode>General</c:formatCode>
                <c:ptCount val="6"/>
              </c:numCache>
            </c:numRef>
          </c:val>
        </c:ser>
        <c:ser>
          <c:idx val="5"/>
          <c:order val="5"/>
          <c:tx>
            <c:strRef>
              <c:f>'III IT'!$H$83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IT'!$H$84:$H$89</c:f>
              <c:numCache>
                <c:formatCode>General</c:formatCode>
                <c:ptCount val="6"/>
              </c:numCache>
            </c:numRef>
          </c:val>
        </c:ser>
        <c:ser>
          <c:idx val="6"/>
          <c:order val="6"/>
          <c:tx>
            <c:strRef>
              <c:f>'III IT'!$I$83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IT'!$I$84:$I$89</c:f>
              <c:numCache>
                <c:formatCode>General</c:formatCode>
                <c:ptCount val="6"/>
                <c:pt idx="0">
                  <c:v>53</c:v>
                </c:pt>
                <c:pt idx="1">
                  <c:v>58</c:v>
                </c:pt>
                <c:pt idx="2">
                  <c:v>40</c:v>
                </c:pt>
                <c:pt idx="3">
                  <c:v>39</c:v>
                </c:pt>
                <c:pt idx="4">
                  <c:v>38</c:v>
                </c:pt>
                <c:pt idx="5">
                  <c:v>29</c:v>
                </c:pt>
              </c:numCache>
            </c:numRef>
          </c:val>
        </c:ser>
        <c:ser>
          <c:idx val="7"/>
          <c:order val="7"/>
          <c:tx>
            <c:strRef>
              <c:f>'III IT'!$J$83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IT'!$J$84:$J$89</c:f>
              <c:numCache>
                <c:formatCode>General</c:formatCode>
                <c:ptCount val="6"/>
              </c:numCache>
            </c:numRef>
          </c:val>
        </c:ser>
        <c:ser>
          <c:idx val="8"/>
          <c:order val="8"/>
          <c:tx>
            <c:strRef>
              <c:f>'III IT'!$K$83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FBCE8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IT'!$B$84:$B$89</c:f>
              <c:strCache>
                <c:ptCount val="6"/>
                <c:pt idx="0">
                  <c:v>CCS356 - Object Oriented Software Engineering</c:v>
                </c:pt>
                <c:pt idx="1">
                  <c:v>OEI351 - Introduction to Industrial Engineering </c:v>
                </c:pt>
                <c:pt idx="2">
                  <c:v>CCS372 - Virtualization</c:v>
                </c:pt>
                <c:pt idx="3">
                  <c:v>CCS366 - Network Security</c:v>
                </c:pt>
                <c:pt idx="4">
                  <c:v>CCS340 - Cyber Security </c:v>
                </c:pt>
                <c:pt idx="5">
                  <c:v>CCS355  - Neural Networks and Deep Learning</c:v>
                </c:pt>
              </c:strCache>
            </c:strRef>
          </c:cat>
          <c:val>
            <c:numRef>
              <c:f>'III IT'!$K$84:$K$89</c:f>
              <c:numCache>
                <c:formatCode>0</c:formatCode>
                <c:ptCount val="6"/>
                <c:pt idx="0">
                  <c:v>89.8305084745763</c:v>
                </c:pt>
                <c:pt idx="1">
                  <c:v>95.0819672131148</c:v>
                </c:pt>
                <c:pt idx="2">
                  <c:v>70.1754385964912</c:v>
                </c:pt>
                <c:pt idx="3">
                  <c:v>66.1016949152542</c:v>
                </c:pt>
                <c:pt idx="4">
                  <c:v>66.6666666666667</c:v>
                </c:pt>
                <c:pt idx="5">
                  <c:v>50</c:v>
                </c:pt>
              </c:numCache>
            </c:numRef>
          </c:val>
        </c:ser>
        <c:gapWidth val="150"/>
        <c:overlap val="0"/>
        <c:axId val="30764039"/>
        <c:axId val="20199309"/>
      </c:barChart>
      <c:catAx>
        <c:axId val="307640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0199309"/>
        <c:crosses val="autoZero"/>
        <c:auto val="1"/>
        <c:lblAlgn val="ctr"/>
        <c:lblOffset val="100"/>
        <c:noMultiLvlLbl val="0"/>
      </c:catAx>
      <c:valAx>
        <c:axId val="2019930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07640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47520</xdr:colOff>
      <xdr:row>86</xdr:row>
      <xdr:rowOff>133200</xdr:rowOff>
    </xdr:from>
    <xdr:to>
      <xdr:col>11</xdr:col>
      <xdr:colOff>156960</xdr:colOff>
      <xdr:row>118</xdr:row>
      <xdr:rowOff>132840</xdr:rowOff>
    </xdr:to>
    <xdr:graphicFrame>
      <xdr:nvGraphicFramePr>
        <xdr:cNvPr id="1" name="Chart 1"/>
        <xdr:cNvGraphicFramePr/>
      </xdr:nvGraphicFramePr>
      <xdr:xfrm>
        <a:off x="699840" y="30289320"/>
        <a:ext cx="11829600" cy="640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66600</xdr:colOff>
      <xdr:row>0</xdr:row>
      <xdr:rowOff>28440</xdr:rowOff>
    </xdr:from>
    <xdr:to>
      <xdr:col>12</xdr:col>
      <xdr:colOff>576720</xdr:colOff>
      <xdr:row>5</xdr:row>
      <xdr:rowOff>171000</xdr:rowOff>
    </xdr:to>
    <xdr:pic>
      <xdr:nvPicPr>
        <xdr:cNvPr id="2" name="image1.png"/>
        <xdr:cNvPicPr/>
      </xdr:nvPicPr>
      <xdr:blipFill>
        <a:blip r:embed="rId2"/>
        <a:stretch/>
      </xdr:blipFill>
      <xdr:spPr>
        <a:xfrm>
          <a:off x="66600" y="28440"/>
          <a:ext cx="13772880" cy="1142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314280</xdr:colOff>
      <xdr:row>91</xdr:row>
      <xdr:rowOff>104760</xdr:rowOff>
    </xdr:from>
    <xdr:to>
      <xdr:col>11</xdr:col>
      <xdr:colOff>299880</xdr:colOff>
      <xdr:row>116</xdr:row>
      <xdr:rowOff>9000</xdr:rowOff>
    </xdr:to>
    <xdr:graphicFrame>
      <xdr:nvGraphicFramePr>
        <xdr:cNvPr id="3" name="Chart 2"/>
        <xdr:cNvGraphicFramePr/>
      </xdr:nvGraphicFramePr>
      <xdr:xfrm>
        <a:off x="314280" y="30594240"/>
        <a:ext cx="11486880" cy="4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66600</xdr:colOff>
      <xdr:row>0</xdr:row>
      <xdr:rowOff>28440</xdr:rowOff>
    </xdr:from>
    <xdr:to>
      <xdr:col>13</xdr:col>
      <xdr:colOff>830520</xdr:colOff>
      <xdr:row>5</xdr:row>
      <xdr:rowOff>171000</xdr:rowOff>
    </xdr:to>
    <xdr:pic>
      <xdr:nvPicPr>
        <xdr:cNvPr id="4" name="image1.png"/>
        <xdr:cNvPicPr/>
      </xdr:nvPicPr>
      <xdr:blipFill>
        <a:blip r:embed="rId2"/>
        <a:stretch/>
      </xdr:blipFill>
      <xdr:spPr>
        <a:xfrm>
          <a:off x="66600" y="28440"/>
          <a:ext cx="13182120" cy="1142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0</xdr:row>
      <xdr:rowOff>28440</xdr:rowOff>
    </xdr:from>
    <xdr:to>
      <xdr:col>13</xdr:col>
      <xdr:colOff>830520</xdr:colOff>
      <xdr:row>5</xdr:row>
      <xdr:rowOff>171000</xdr:rowOff>
    </xdr:to>
    <xdr:pic>
      <xdr:nvPicPr>
        <xdr:cNvPr id="5" name="image1.png"/>
        <xdr:cNvPicPr/>
      </xdr:nvPicPr>
      <xdr:blipFill>
        <a:blip r:embed="rId1"/>
        <a:stretch/>
      </xdr:blipFill>
      <xdr:spPr>
        <a:xfrm>
          <a:off x="66600" y="28440"/>
          <a:ext cx="13182120" cy="1142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B79:K85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ables/table2.xml><?xml version="1.0" encoding="utf-8"?>
<table xmlns="http://schemas.openxmlformats.org/spreadsheetml/2006/main" id="2" name="Table_2" displayName="Table_2" ref="B83:K89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9.13"/>
    <col collapsed="false" customWidth="true" hidden="false" outlineLevel="0" max="3" min="3" style="0" width="28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6" min="6" style="0" width="14"/>
    <col collapsed="false" customWidth="true" hidden="false" outlineLevel="0" max="8" min="7" style="0" width="13.88"/>
    <col collapsed="false" customWidth="true" hidden="false" outlineLevel="0" max="10" min="9" style="0" width="16.12"/>
    <col collapsed="false" customWidth="true" hidden="false" outlineLevel="0" max="11" min="11" style="0" width="15"/>
  </cols>
  <sheetData>
    <row r="1" customFormat="false" ht="15.75" hidden="false" customHeight="true" outlineLevel="0" collapsed="false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4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4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4"/>
    </row>
    <row r="7" customFormat="false" ht="24" hidden="false" customHeight="true" outlineLevel="0" collapsed="false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4"/>
    </row>
    <row r="8" customFormat="false" ht="15.75" hidden="false" customHeight="true" outlineLevel="0" collapsed="false">
      <c r="A8" s="7" t="s">
        <v>2</v>
      </c>
      <c r="B8" s="8"/>
      <c r="C8" s="9"/>
      <c r="D8" s="10"/>
      <c r="E8" s="11" t="s">
        <v>3</v>
      </c>
      <c r="F8" s="12"/>
      <c r="G8" s="13" t="s">
        <v>4</v>
      </c>
      <c r="H8" s="4"/>
      <c r="I8" s="14"/>
      <c r="J8" s="11" t="s">
        <v>5</v>
      </c>
      <c r="K8" s="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4"/>
    </row>
    <row r="9" customFormat="false" ht="21.75" hidden="false" customHeight="true" outlineLevel="0" collapsed="false">
      <c r="A9" s="15" t="s">
        <v>6</v>
      </c>
      <c r="B9" s="16" t="s">
        <v>7</v>
      </c>
      <c r="C9" s="16" t="s">
        <v>8</v>
      </c>
      <c r="D9" s="17"/>
      <c r="E9" s="17"/>
      <c r="F9" s="17"/>
      <c r="G9" s="17"/>
      <c r="H9" s="17"/>
      <c r="I9" s="17"/>
      <c r="J9" s="18" t="s">
        <v>9</v>
      </c>
      <c r="K9" s="19" t="s">
        <v>10</v>
      </c>
      <c r="L9" s="20" t="s">
        <v>11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4"/>
    </row>
    <row r="10" customFormat="false" ht="70.5" hidden="false" customHeight="true" outlineLevel="0" collapsed="false">
      <c r="A10" s="15"/>
      <c r="B10" s="15"/>
      <c r="C10" s="15"/>
      <c r="D10" s="21" t="s">
        <v>12</v>
      </c>
      <c r="E10" s="21" t="s">
        <v>13</v>
      </c>
      <c r="F10" s="21" t="s">
        <v>14</v>
      </c>
      <c r="G10" s="21" t="s">
        <v>15</v>
      </c>
      <c r="H10" s="21" t="s">
        <v>16</v>
      </c>
      <c r="I10" s="21" t="s">
        <v>17</v>
      </c>
      <c r="J10" s="18"/>
      <c r="K10" s="18"/>
      <c r="L10" s="1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4"/>
    </row>
    <row r="11" customFormat="false" ht="24.75" hidden="false" customHeight="true" outlineLevel="0" collapsed="false">
      <c r="A11" s="22" t="n">
        <v>1</v>
      </c>
      <c r="B11" s="23" t="n">
        <v>511524205002</v>
      </c>
      <c r="C11" s="24" t="s">
        <v>18</v>
      </c>
      <c r="D11" s="25" t="n">
        <v>30</v>
      </c>
      <c r="E11" s="22" t="n">
        <v>56</v>
      </c>
      <c r="F11" s="22" t="n">
        <v>84</v>
      </c>
      <c r="G11" s="26" t="n">
        <v>54</v>
      </c>
      <c r="H11" s="22" t="n">
        <v>38</v>
      </c>
      <c r="I11" s="27" t="n">
        <v>54</v>
      </c>
      <c r="J11" s="22" t="n">
        <f aca="false">SUM(D11:I11)</f>
        <v>316</v>
      </c>
      <c r="K11" s="22" t="n">
        <f aca="false">COUNTIF(D11:H11,"&lt;=49")+COUNTIF(D11:H11,"AB")</f>
        <v>2</v>
      </c>
      <c r="L11" s="22" t="n">
        <f aca="false">COUNTIF(C11:J11,"AB")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4"/>
    </row>
    <row r="12" customFormat="false" ht="24.75" hidden="false" customHeight="true" outlineLevel="0" collapsed="false">
      <c r="A12" s="22" t="n">
        <v>2</v>
      </c>
      <c r="B12" s="23" t="n">
        <v>511524205003</v>
      </c>
      <c r="C12" s="24" t="s">
        <v>19</v>
      </c>
      <c r="D12" s="25" t="n">
        <v>58</v>
      </c>
      <c r="E12" s="22" t="n">
        <v>72</v>
      </c>
      <c r="F12" s="22" t="n">
        <v>88</v>
      </c>
      <c r="G12" s="26" t="n">
        <v>70</v>
      </c>
      <c r="H12" s="28" t="n">
        <v>24</v>
      </c>
      <c r="I12" s="29" t="n">
        <v>76</v>
      </c>
      <c r="J12" s="22" t="n">
        <f aca="false">SUM(D12:I12)</f>
        <v>388</v>
      </c>
      <c r="K12" s="22" t="n">
        <f aca="false">COUNTIF(D12:H12,"&lt;=49")+COUNTIF(D12:H12,"AB")</f>
        <v>1</v>
      </c>
      <c r="L12" s="22" t="n">
        <f aca="false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4"/>
    </row>
    <row r="13" customFormat="false" ht="24.75" hidden="false" customHeight="true" outlineLevel="0" collapsed="false">
      <c r="A13" s="22" t="n">
        <v>3</v>
      </c>
      <c r="B13" s="23" t="n">
        <v>511524205004</v>
      </c>
      <c r="C13" s="24" t="s">
        <v>20</v>
      </c>
      <c r="D13" s="25" t="n">
        <v>14</v>
      </c>
      <c r="E13" s="22" t="n">
        <v>40</v>
      </c>
      <c r="F13" s="22" t="s">
        <v>21</v>
      </c>
      <c r="G13" s="30" t="n">
        <v>44</v>
      </c>
      <c r="H13" s="22" t="n">
        <v>6</v>
      </c>
      <c r="I13" s="29" t="n">
        <v>36</v>
      </c>
      <c r="J13" s="22" t="n">
        <f aca="false">SUM(D13:I13)</f>
        <v>140</v>
      </c>
      <c r="K13" s="22" t="n">
        <f aca="false">COUNTIF(D13:H13,"&lt;=49")+COUNTIF(D13:H13,"AB")</f>
        <v>5</v>
      </c>
      <c r="L13" s="22" t="n">
        <f aca="false">COUNTIF(E13:J13,"AB")</f>
        <v>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4"/>
    </row>
    <row r="14" customFormat="false" ht="24.75" hidden="false" customHeight="true" outlineLevel="0" collapsed="false">
      <c r="A14" s="22" t="n">
        <v>4</v>
      </c>
      <c r="B14" s="23" t="n">
        <v>511524205005</v>
      </c>
      <c r="C14" s="24" t="s">
        <v>22</v>
      </c>
      <c r="D14" s="25" t="n">
        <v>56</v>
      </c>
      <c r="E14" s="22" t="n">
        <v>54</v>
      </c>
      <c r="F14" s="22" t="n">
        <v>88</v>
      </c>
      <c r="G14" s="26" t="n">
        <v>78</v>
      </c>
      <c r="H14" s="28" t="n">
        <v>38</v>
      </c>
      <c r="I14" s="31" t="n">
        <v>74</v>
      </c>
      <c r="J14" s="22" t="n">
        <f aca="false">SUM(D14:I14)</f>
        <v>388</v>
      </c>
      <c r="K14" s="22" t="n">
        <f aca="false">COUNTIF(D14:H14,"&lt;=49")+COUNTIF(D14:H14,"AB")</f>
        <v>1</v>
      </c>
      <c r="L14" s="22" t="n">
        <f aca="false">COUNTIF(E14:J14,"AB")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4"/>
    </row>
    <row r="15" customFormat="false" ht="24.75" hidden="false" customHeight="true" outlineLevel="0" collapsed="false">
      <c r="A15" s="22" t="n">
        <v>5</v>
      </c>
      <c r="B15" s="23" t="n">
        <v>511524205006</v>
      </c>
      <c r="C15" s="24" t="s">
        <v>23</v>
      </c>
      <c r="D15" s="25" t="n">
        <v>68</v>
      </c>
      <c r="E15" s="22" t="n">
        <v>78</v>
      </c>
      <c r="F15" s="22" t="n">
        <v>92</v>
      </c>
      <c r="G15" s="26" t="n">
        <v>88</v>
      </c>
      <c r="H15" s="22" t="n">
        <v>72</v>
      </c>
      <c r="I15" s="31" t="n">
        <v>92</v>
      </c>
      <c r="J15" s="22" t="n">
        <f aca="false">SUM(D15:I15)</f>
        <v>490</v>
      </c>
      <c r="K15" s="22" t="n">
        <f aca="false">COUNTIF(D15:H15,"&lt;=49")+COUNTIF(D15:H15,"AB")</f>
        <v>0</v>
      </c>
      <c r="L15" s="22" t="n">
        <f aca="false">COUNTIF(E15:J15,"AB")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</row>
    <row r="16" customFormat="false" ht="24.75" hidden="false" customHeight="true" outlineLevel="0" collapsed="false">
      <c r="A16" s="32" t="n">
        <v>6</v>
      </c>
      <c r="B16" s="23" t="n">
        <v>511524205007</v>
      </c>
      <c r="C16" s="24" t="s">
        <v>24</v>
      </c>
      <c r="D16" s="25" t="n">
        <v>26</v>
      </c>
      <c r="E16" s="22" t="n">
        <v>50</v>
      </c>
      <c r="F16" s="22" t="n">
        <v>74</v>
      </c>
      <c r="G16" s="30" t="n">
        <v>36</v>
      </c>
      <c r="H16" s="28" t="n">
        <v>6</v>
      </c>
      <c r="I16" s="31" t="n">
        <v>50</v>
      </c>
      <c r="J16" s="22" t="n">
        <f aca="false">SUM(D16:I16)</f>
        <v>242</v>
      </c>
      <c r="K16" s="22" t="n">
        <f aca="false">COUNTIF(D16:H16,"&lt;=49")+COUNTIF(D16:H16,"AB")</f>
        <v>3</v>
      </c>
      <c r="L16" s="22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4"/>
    </row>
    <row r="17" customFormat="false" ht="24.75" hidden="false" customHeight="true" outlineLevel="0" collapsed="false">
      <c r="A17" s="22" t="n">
        <v>7</v>
      </c>
      <c r="B17" s="23" t="n">
        <v>511524205008</v>
      </c>
      <c r="C17" s="24" t="s">
        <v>25</v>
      </c>
      <c r="D17" s="22" t="n">
        <v>54</v>
      </c>
      <c r="E17" s="22" t="n">
        <v>76</v>
      </c>
      <c r="F17" s="22" t="n">
        <v>74</v>
      </c>
      <c r="G17" s="26" t="n">
        <v>70</v>
      </c>
      <c r="H17" s="28" t="n">
        <v>30</v>
      </c>
      <c r="I17" s="27" t="n">
        <v>72</v>
      </c>
      <c r="J17" s="22" t="n">
        <f aca="false">SUM(D17:I17)</f>
        <v>376</v>
      </c>
      <c r="K17" s="22" t="n">
        <f aca="false">COUNTIF(D17:H17,"&lt;=49")+COUNTIF(D17:H17,"AB")</f>
        <v>1</v>
      </c>
      <c r="L17" s="22" t="n">
        <f aca="false">COUNTIF(E17:J17,"AB")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4"/>
    </row>
    <row r="18" customFormat="false" ht="24.75" hidden="false" customHeight="true" outlineLevel="0" collapsed="false">
      <c r="A18" s="22" t="n">
        <v>8</v>
      </c>
      <c r="B18" s="23" t="n">
        <v>511524205009</v>
      </c>
      <c r="C18" s="24" t="s">
        <v>26</v>
      </c>
      <c r="D18" s="25" t="n">
        <v>72</v>
      </c>
      <c r="E18" s="22" t="n">
        <v>70</v>
      </c>
      <c r="F18" s="22" t="n">
        <v>86</v>
      </c>
      <c r="G18" s="26" t="n">
        <v>82</v>
      </c>
      <c r="H18" s="22" t="n">
        <v>56</v>
      </c>
      <c r="I18" s="27" t="n">
        <v>76</v>
      </c>
      <c r="J18" s="22" t="n">
        <f aca="false">SUM(D18:I18)</f>
        <v>442</v>
      </c>
      <c r="K18" s="22" t="n">
        <f aca="false">COUNTIF(D18:H18,"&lt;=49")+COUNTIF(D18:H18,"AB")</f>
        <v>0</v>
      </c>
      <c r="L18" s="22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4"/>
    </row>
    <row r="19" customFormat="false" ht="24.75" hidden="false" customHeight="true" outlineLevel="0" collapsed="false">
      <c r="A19" s="22" t="n">
        <v>9</v>
      </c>
      <c r="B19" s="23" t="n">
        <v>511524205010</v>
      </c>
      <c r="C19" s="24" t="s">
        <v>27</v>
      </c>
      <c r="D19" s="25" t="n">
        <v>24</v>
      </c>
      <c r="E19" s="22" t="n">
        <v>36</v>
      </c>
      <c r="F19" s="22" t="n">
        <v>42</v>
      </c>
      <c r="G19" s="30" t="s">
        <v>28</v>
      </c>
      <c r="H19" s="28" t="n">
        <v>6</v>
      </c>
      <c r="I19" s="33" t="n">
        <v>40</v>
      </c>
      <c r="J19" s="22" t="n">
        <f aca="false">SUM(D19:I19)</f>
        <v>148</v>
      </c>
      <c r="K19" s="22" t="n">
        <f aca="false">COUNTIF(D19:H19,"&lt;=49")+COUNTIF(D19:H19,"AB")</f>
        <v>5</v>
      </c>
      <c r="L19" s="22" t="n">
        <f aca="false">COUNTIF(E19:J19,"AB")</f>
        <v>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4"/>
    </row>
    <row r="20" customFormat="false" ht="24.75" hidden="false" customHeight="true" outlineLevel="0" collapsed="false">
      <c r="A20" s="22" t="n">
        <v>10</v>
      </c>
      <c r="B20" s="23" t="n">
        <v>511524205011</v>
      </c>
      <c r="C20" s="24" t="s">
        <v>29</v>
      </c>
      <c r="D20" s="25" t="s">
        <v>21</v>
      </c>
      <c r="E20" s="22" t="s">
        <v>28</v>
      </c>
      <c r="F20" s="22" t="n">
        <v>76</v>
      </c>
      <c r="G20" s="30" t="s">
        <v>28</v>
      </c>
      <c r="H20" s="22" t="s">
        <v>21</v>
      </c>
      <c r="I20" s="29" t="n">
        <v>50</v>
      </c>
      <c r="J20" s="22" t="n">
        <f aca="false">SUM(D20:I20)</f>
        <v>126</v>
      </c>
      <c r="K20" s="22" t="n">
        <f aca="false">COUNTIF(D20:H20,"&lt;=49")+COUNTIF(D20:H20,"AB")</f>
        <v>4</v>
      </c>
      <c r="L20" s="22" t="n">
        <f aca="false">COUNTIF(E20:J20,"AB")</f>
        <v>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4"/>
    </row>
    <row r="21" customFormat="false" ht="24.75" hidden="false" customHeight="true" outlineLevel="0" collapsed="false">
      <c r="A21" s="22" t="n">
        <v>11</v>
      </c>
      <c r="B21" s="23" t="n">
        <v>511524205012</v>
      </c>
      <c r="C21" s="24" t="s">
        <v>29</v>
      </c>
      <c r="D21" s="22" t="n">
        <v>50</v>
      </c>
      <c r="E21" s="22" t="n">
        <v>66</v>
      </c>
      <c r="F21" s="22" t="n">
        <v>78</v>
      </c>
      <c r="G21" s="26" t="n">
        <v>72</v>
      </c>
      <c r="H21" s="28" t="n">
        <v>28</v>
      </c>
      <c r="I21" s="27" t="n">
        <v>82</v>
      </c>
      <c r="J21" s="22" t="n">
        <f aca="false">SUM(D21:I21)</f>
        <v>376</v>
      </c>
      <c r="K21" s="22" t="n">
        <f aca="false">COUNTIF(D21:H21,"&lt;=49")+COUNTIF(D21:H21,"AB")</f>
        <v>1</v>
      </c>
      <c r="L21" s="22" t="n">
        <f aca="false">COUNTIF(E21:J21,"AB")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4"/>
    </row>
    <row r="22" customFormat="false" ht="24.75" hidden="false" customHeight="true" outlineLevel="0" collapsed="false">
      <c r="A22" s="22" t="n">
        <v>12</v>
      </c>
      <c r="B22" s="23" t="n">
        <v>511524205013</v>
      </c>
      <c r="C22" s="24" t="s">
        <v>30</v>
      </c>
      <c r="D22" s="22" t="n">
        <v>30</v>
      </c>
      <c r="E22" s="22" t="n">
        <v>70</v>
      </c>
      <c r="F22" s="22" t="n">
        <v>70</v>
      </c>
      <c r="G22" s="26" t="n">
        <v>66</v>
      </c>
      <c r="H22" s="28" t="n">
        <v>52</v>
      </c>
      <c r="I22" s="31" t="n">
        <v>68</v>
      </c>
      <c r="J22" s="22" t="n">
        <f aca="false">SUM(D22:I22)</f>
        <v>356</v>
      </c>
      <c r="K22" s="22" t="n">
        <f aca="false">COUNTIF(D22:H22,"&lt;=49")+COUNTIF(D22:H22,"AB")</f>
        <v>1</v>
      </c>
      <c r="L22" s="22" t="n">
        <f aca="false">COUNTIF(E22:J22,"AB")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4"/>
    </row>
    <row r="23" customFormat="false" ht="24.75" hidden="false" customHeight="true" outlineLevel="0" collapsed="false">
      <c r="A23" s="22" t="n">
        <v>13</v>
      </c>
      <c r="B23" s="23" t="n">
        <v>511524205014</v>
      </c>
      <c r="C23" s="24" t="s">
        <v>31</v>
      </c>
      <c r="D23" s="25" t="n">
        <v>30</v>
      </c>
      <c r="E23" s="22" t="n">
        <v>38</v>
      </c>
      <c r="F23" s="22" t="n">
        <v>30</v>
      </c>
      <c r="G23" s="26" t="n">
        <v>58</v>
      </c>
      <c r="H23" s="22" t="n">
        <v>38</v>
      </c>
      <c r="I23" s="31" t="n">
        <v>50</v>
      </c>
      <c r="J23" s="22" t="n">
        <f aca="false">SUM(D23:I23)</f>
        <v>244</v>
      </c>
      <c r="K23" s="22" t="n">
        <f aca="false">COUNTIF(D23:H23,"&lt;=49")+COUNTIF(D23:H23,"AB")</f>
        <v>4</v>
      </c>
      <c r="L23" s="22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4"/>
    </row>
    <row r="24" customFormat="false" ht="24.75" hidden="false" customHeight="true" outlineLevel="0" collapsed="false">
      <c r="A24" s="22" t="n">
        <v>14</v>
      </c>
      <c r="B24" s="23" t="n">
        <v>511524205015</v>
      </c>
      <c r="C24" s="24" t="s">
        <v>32</v>
      </c>
      <c r="D24" s="22" t="s">
        <v>21</v>
      </c>
      <c r="E24" s="22" t="s">
        <v>28</v>
      </c>
      <c r="F24" s="22" t="n">
        <v>2</v>
      </c>
      <c r="G24" s="30" t="n">
        <v>18</v>
      </c>
      <c r="H24" s="28" t="n">
        <v>0</v>
      </c>
      <c r="I24" s="29" t="s">
        <v>28</v>
      </c>
      <c r="J24" s="22" t="n">
        <f aca="false">SUM(D24:I24)</f>
        <v>20</v>
      </c>
      <c r="K24" s="22" t="n">
        <f aca="false">COUNTIF(D24:H24,"&lt;=49")+COUNTIF(D24:H24,"AB")</f>
        <v>5</v>
      </c>
      <c r="L24" s="22" t="n">
        <f aca="false">COUNTIF(E24:J24,"AB")</f>
        <v>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4"/>
    </row>
    <row r="25" customFormat="false" ht="24.75" hidden="false" customHeight="true" outlineLevel="0" collapsed="false">
      <c r="A25" s="22" t="n">
        <v>15</v>
      </c>
      <c r="B25" s="23" t="n">
        <v>511524205016</v>
      </c>
      <c r="C25" s="24" t="s">
        <v>33</v>
      </c>
      <c r="D25" s="22" t="n">
        <v>56</v>
      </c>
      <c r="E25" s="22" t="n">
        <v>56</v>
      </c>
      <c r="F25" s="22" t="n">
        <v>90</v>
      </c>
      <c r="G25" s="26" t="n">
        <v>64</v>
      </c>
      <c r="H25" s="22" t="n">
        <v>30</v>
      </c>
      <c r="I25" s="31" t="n">
        <v>70</v>
      </c>
      <c r="J25" s="22" t="n">
        <f aca="false">SUM(D25:I25)</f>
        <v>366</v>
      </c>
      <c r="K25" s="22" t="n">
        <f aca="false">COUNTIF(D25:H25,"&lt;=49")+COUNTIF(D25:H25,"AB")</f>
        <v>1</v>
      </c>
      <c r="L25" s="22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4"/>
    </row>
    <row r="26" customFormat="false" ht="24.75" hidden="false" customHeight="true" outlineLevel="0" collapsed="false">
      <c r="A26" s="22" t="n">
        <v>16</v>
      </c>
      <c r="B26" s="23" t="n">
        <v>511524205017</v>
      </c>
      <c r="C26" s="24" t="s">
        <v>34</v>
      </c>
      <c r="D26" s="22" t="n">
        <v>60</v>
      </c>
      <c r="E26" s="22" t="n">
        <v>78</v>
      </c>
      <c r="F26" s="22" t="n">
        <v>86</v>
      </c>
      <c r="G26" s="26" t="n">
        <v>92</v>
      </c>
      <c r="H26" s="28" t="n">
        <v>60</v>
      </c>
      <c r="I26" s="31" t="n">
        <v>84</v>
      </c>
      <c r="J26" s="22" t="n">
        <f aca="false">SUM(D26:I26)</f>
        <v>460</v>
      </c>
      <c r="K26" s="22" t="n">
        <f aca="false">COUNTIF(D26:H26,"&lt;=49")+COUNTIF(D26:H26,"AB")</f>
        <v>0</v>
      </c>
      <c r="L26" s="22" t="n">
        <f aca="false">COUNTIF(E26:J26,"AB")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4"/>
    </row>
    <row r="27" customFormat="false" ht="24.75" hidden="false" customHeight="true" outlineLevel="0" collapsed="false">
      <c r="A27" s="22" t="n">
        <v>17</v>
      </c>
      <c r="B27" s="23" t="n">
        <v>511524205018</v>
      </c>
      <c r="C27" s="24" t="s">
        <v>35</v>
      </c>
      <c r="D27" s="34" t="n">
        <v>50</v>
      </c>
      <c r="E27" s="22" t="n">
        <v>70</v>
      </c>
      <c r="F27" s="35" t="n">
        <v>80</v>
      </c>
      <c r="G27" s="26" t="n">
        <v>88</v>
      </c>
      <c r="H27" s="22" t="n">
        <v>60</v>
      </c>
      <c r="I27" s="29" t="s">
        <v>28</v>
      </c>
      <c r="J27" s="35" t="n">
        <f aca="false">SUM(D27:I27)</f>
        <v>348</v>
      </c>
      <c r="K27" s="22" t="n">
        <f aca="false">COUNTIF(D27:H27,"&lt;=49")+COUNTIF(D27:H27,"AB")</f>
        <v>0</v>
      </c>
      <c r="L27" s="22" t="n">
        <f aca="false">COUNTIF(E27:J27,"AB")</f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4"/>
    </row>
    <row r="28" customFormat="false" ht="24.75" hidden="false" customHeight="true" outlineLevel="0" collapsed="false">
      <c r="A28" s="22" t="n">
        <v>18</v>
      </c>
      <c r="B28" s="23" t="n">
        <v>511524205019</v>
      </c>
      <c r="C28" s="24" t="s">
        <v>36</v>
      </c>
      <c r="D28" s="25" t="n">
        <v>46</v>
      </c>
      <c r="E28" s="22" t="n">
        <v>56</v>
      </c>
      <c r="F28" s="22" t="n">
        <v>74</v>
      </c>
      <c r="G28" s="26" t="n">
        <v>68</v>
      </c>
      <c r="H28" s="28" t="n">
        <v>34</v>
      </c>
      <c r="I28" s="29" t="n">
        <v>62</v>
      </c>
      <c r="J28" s="22" t="n">
        <f aca="false">SUM(D28:I28)</f>
        <v>340</v>
      </c>
      <c r="K28" s="22" t="n">
        <f aca="false">COUNTIF(D28:H28,"&lt;=49")+COUNTIF(D28:H28,"AB")</f>
        <v>2</v>
      </c>
      <c r="L28" s="22" t="n">
        <f aca="false">COUNTIF(E28:J28,"AB")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4"/>
    </row>
    <row r="29" customFormat="false" ht="24.75" hidden="false" customHeight="true" outlineLevel="0" collapsed="false">
      <c r="A29" s="22" t="n">
        <v>19</v>
      </c>
      <c r="B29" s="23" t="n">
        <v>511524205020</v>
      </c>
      <c r="C29" s="24" t="s">
        <v>37</v>
      </c>
      <c r="D29" s="22" t="n">
        <v>22</v>
      </c>
      <c r="E29" s="22" t="n">
        <v>62</v>
      </c>
      <c r="F29" s="22" t="n">
        <v>76</v>
      </c>
      <c r="G29" s="26" t="n">
        <v>58</v>
      </c>
      <c r="H29" s="28" t="n">
        <v>36</v>
      </c>
      <c r="I29" s="29" t="n">
        <v>62</v>
      </c>
      <c r="J29" s="22" t="n">
        <f aca="false">SUM(D29:I29)</f>
        <v>316</v>
      </c>
      <c r="K29" s="22" t="n">
        <f aca="false">COUNTIF(D29:H29,"&lt;=49")+COUNTIF(D29:H29,"AB")</f>
        <v>2</v>
      </c>
      <c r="L29" s="22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4"/>
    </row>
    <row r="30" customFormat="false" ht="24.75" hidden="false" customHeight="true" outlineLevel="0" collapsed="false">
      <c r="A30" s="32" t="n">
        <v>20</v>
      </c>
      <c r="B30" s="23" t="n">
        <v>511524205021</v>
      </c>
      <c r="C30" s="24" t="s">
        <v>38</v>
      </c>
      <c r="D30" s="25" t="n">
        <v>26</v>
      </c>
      <c r="E30" s="22" t="n">
        <v>50</v>
      </c>
      <c r="F30" s="22" t="n">
        <v>60</v>
      </c>
      <c r="G30" s="30" t="n">
        <v>48</v>
      </c>
      <c r="H30" s="22" t="n">
        <v>36</v>
      </c>
      <c r="I30" s="33" t="n">
        <v>32</v>
      </c>
      <c r="J30" s="22" t="n">
        <f aca="false">SUM(D30:I30)</f>
        <v>252</v>
      </c>
      <c r="K30" s="22" t="n">
        <f aca="false">COUNTIF(D30:H30,"&lt;=49")+COUNTIF(D30:H30,"AB")</f>
        <v>3</v>
      </c>
      <c r="L30" s="22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4"/>
    </row>
    <row r="31" customFormat="false" ht="24.75" hidden="false" customHeight="true" outlineLevel="0" collapsed="false">
      <c r="A31" s="22" t="n">
        <v>21</v>
      </c>
      <c r="B31" s="23" t="n">
        <v>511524205022</v>
      </c>
      <c r="C31" s="24" t="s">
        <v>39</v>
      </c>
      <c r="D31" s="25" t="n">
        <v>24</v>
      </c>
      <c r="E31" s="22" t="n">
        <v>12</v>
      </c>
      <c r="F31" s="22" t="n">
        <v>42</v>
      </c>
      <c r="G31" s="30" t="n">
        <v>46</v>
      </c>
      <c r="H31" s="22" t="n">
        <v>18</v>
      </c>
      <c r="I31" s="29" t="n">
        <v>30</v>
      </c>
      <c r="J31" s="22" t="n">
        <f aca="false">SUM(D31:I31)</f>
        <v>172</v>
      </c>
      <c r="K31" s="22" t="n">
        <f aca="false">COUNTIF(D31:H31,"&lt;=49")+COUNTIF(D31:H31,"AB")</f>
        <v>5</v>
      </c>
      <c r="L31" s="22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4"/>
    </row>
    <row r="32" customFormat="false" ht="24.75" hidden="false" customHeight="true" outlineLevel="0" collapsed="false">
      <c r="A32" s="22" t="n">
        <v>22</v>
      </c>
      <c r="B32" s="23" t="n">
        <v>511524205023</v>
      </c>
      <c r="C32" s="24" t="s">
        <v>40</v>
      </c>
      <c r="D32" s="22" t="n">
        <v>54</v>
      </c>
      <c r="E32" s="22" t="n">
        <v>70</v>
      </c>
      <c r="F32" s="22" t="n">
        <v>84</v>
      </c>
      <c r="G32" s="26" t="n">
        <v>92</v>
      </c>
      <c r="H32" s="22" t="n">
        <v>62</v>
      </c>
      <c r="I32" s="29" t="n">
        <v>84</v>
      </c>
      <c r="J32" s="22" t="n">
        <f aca="false">SUM(D32:I32)</f>
        <v>446</v>
      </c>
      <c r="K32" s="22" t="n">
        <f aca="false">COUNTIF(D32:H32,"&lt;=49")+COUNTIF(D32:H32,"AB")</f>
        <v>0</v>
      </c>
      <c r="L32" s="22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4"/>
    </row>
    <row r="33" customFormat="false" ht="24.75" hidden="false" customHeight="true" outlineLevel="0" collapsed="false">
      <c r="A33" s="22" t="n">
        <v>23</v>
      </c>
      <c r="B33" s="23" t="n">
        <v>511524205024</v>
      </c>
      <c r="C33" s="24" t="s">
        <v>41</v>
      </c>
      <c r="D33" s="22" t="n">
        <v>18</v>
      </c>
      <c r="E33" s="22" t="n">
        <v>60</v>
      </c>
      <c r="F33" s="22" t="n">
        <v>22</v>
      </c>
      <c r="G33" s="30" t="n">
        <v>16</v>
      </c>
      <c r="H33" s="22" t="n">
        <v>0</v>
      </c>
      <c r="I33" s="29" t="n">
        <v>12</v>
      </c>
      <c r="J33" s="22" t="n">
        <f aca="false">SUM(D33:I33)</f>
        <v>128</v>
      </c>
      <c r="K33" s="22" t="n">
        <f aca="false">COUNTIF(D33:H33,"&lt;=49")+COUNTIF(D33:H33,"AB")</f>
        <v>4</v>
      </c>
      <c r="L33" s="22" t="n">
        <f aca="false">COUNTIF(E33:J33,"AB")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4"/>
    </row>
    <row r="34" customFormat="false" ht="24.75" hidden="false" customHeight="true" outlineLevel="0" collapsed="false">
      <c r="A34" s="22" t="n">
        <v>24</v>
      </c>
      <c r="B34" s="23" t="n">
        <v>511524205025</v>
      </c>
      <c r="C34" s="24" t="s">
        <v>42</v>
      </c>
      <c r="D34" s="22" t="s">
        <v>21</v>
      </c>
      <c r="E34" s="22" t="n">
        <v>0</v>
      </c>
      <c r="F34" s="22" t="n">
        <v>4</v>
      </c>
      <c r="G34" s="30" t="n">
        <v>16</v>
      </c>
      <c r="H34" s="28" t="n">
        <v>0</v>
      </c>
      <c r="I34" s="29" t="n">
        <v>8</v>
      </c>
      <c r="J34" s="22" t="n">
        <f aca="false">SUM(D34:I34)</f>
        <v>28</v>
      </c>
      <c r="K34" s="22" t="n">
        <f aca="false">COUNTIF(D34:H34,"&lt;=49")+COUNTIF(D34:H34,"AB")</f>
        <v>5</v>
      </c>
      <c r="L34" s="22" t="n">
        <f aca="false">COUNTIF(E34:J34,"AB")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4"/>
    </row>
    <row r="35" customFormat="false" ht="24.75" hidden="false" customHeight="true" outlineLevel="0" collapsed="false">
      <c r="A35" s="22" t="n">
        <v>25</v>
      </c>
      <c r="B35" s="23" t="n">
        <v>511524205027</v>
      </c>
      <c r="C35" s="24" t="s">
        <v>43</v>
      </c>
      <c r="D35" s="25" t="n">
        <v>56</v>
      </c>
      <c r="E35" s="22" t="n">
        <v>72</v>
      </c>
      <c r="F35" s="22" t="n">
        <v>78</v>
      </c>
      <c r="G35" s="26" t="n">
        <v>70</v>
      </c>
      <c r="H35" s="22" t="n">
        <v>60</v>
      </c>
      <c r="I35" s="33" t="n">
        <v>82</v>
      </c>
      <c r="J35" s="22" t="n">
        <f aca="false">SUM(D35:I35)</f>
        <v>418</v>
      </c>
      <c r="K35" s="22" t="n">
        <f aca="false">COUNTIF(D35:H35,"&lt;=49")+COUNTIF(D35:H35,"AB")</f>
        <v>0</v>
      </c>
      <c r="L35" s="22" t="n">
        <f aca="false">COUNTIF(E35:J35,"AB")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4"/>
    </row>
    <row r="36" customFormat="false" ht="24.75" hidden="false" customHeight="true" outlineLevel="0" collapsed="false">
      <c r="A36" s="22" t="n">
        <v>26</v>
      </c>
      <c r="B36" s="23" t="n">
        <v>511524205028</v>
      </c>
      <c r="C36" s="24" t="s">
        <v>44</v>
      </c>
      <c r="D36" s="22" t="n">
        <v>60</v>
      </c>
      <c r="E36" s="22" t="n">
        <v>74</v>
      </c>
      <c r="F36" s="22" t="n">
        <v>92</v>
      </c>
      <c r="G36" s="26" t="n">
        <v>56</v>
      </c>
      <c r="H36" s="22" t="n">
        <v>62</v>
      </c>
      <c r="I36" s="29" t="n">
        <v>66</v>
      </c>
      <c r="J36" s="22" t="n">
        <f aca="false">SUM(D36:I36)</f>
        <v>410</v>
      </c>
      <c r="K36" s="22" t="n">
        <f aca="false">COUNTIF(D36:H36,"&lt;=49")+COUNTIF(D36:H36,"AB")</f>
        <v>0</v>
      </c>
      <c r="L36" s="22" t="n">
        <f aca="false">COUNTIF(E36:J36,"AB")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4"/>
    </row>
    <row r="37" customFormat="false" ht="24.75" hidden="false" customHeight="true" outlineLevel="0" collapsed="false">
      <c r="A37" s="22" t="n">
        <v>27</v>
      </c>
      <c r="B37" s="23" t="n">
        <v>511524205029</v>
      </c>
      <c r="C37" s="24" t="s">
        <v>45</v>
      </c>
      <c r="D37" s="25" t="s">
        <v>21</v>
      </c>
      <c r="E37" s="22" t="n">
        <v>0</v>
      </c>
      <c r="F37" s="22" t="n">
        <v>4</v>
      </c>
      <c r="G37" s="30" t="n">
        <v>0</v>
      </c>
      <c r="H37" s="28" t="n">
        <v>0</v>
      </c>
      <c r="I37" s="29" t="n">
        <v>0</v>
      </c>
      <c r="J37" s="22" t="n">
        <f aca="false">SUM(D37:I37)</f>
        <v>4</v>
      </c>
      <c r="K37" s="22" t="n">
        <f aca="false">COUNTIF(D37:H37,"&lt;=49")+COUNTIF(D37:H37,"AB")</f>
        <v>5</v>
      </c>
      <c r="L37" s="22" t="n">
        <f aca="false">COUNTIF(E37:J37,"AB")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4"/>
    </row>
    <row r="38" customFormat="false" ht="24.75" hidden="false" customHeight="true" outlineLevel="0" collapsed="false">
      <c r="A38" s="22" t="n">
        <v>28</v>
      </c>
      <c r="B38" s="23" t="n">
        <v>511524205030</v>
      </c>
      <c r="C38" s="24" t="s">
        <v>46</v>
      </c>
      <c r="D38" s="22" t="n">
        <v>38</v>
      </c>
      <c r="E38" s="22" t="n">
        <v>70</v>
      </c>
      <c r="F38" s="22" t="n">
        <v>80</v>
      </c>
      <c r="G38" s="26" t="n">
        <v>88</v>
      </c>
      <c r="H38" s="22" t="n">
        <v>46</v>
      </c>
      <c r="I38" s="29" t="n">
        <v>72</v>
      </c>
      <c r="J38" s="22" t="n">
        <f aca="false">SUM(D38:I38)</f>
        <v>394</v>
      </c>
      <c r="K38" s="22" t="n">
        <f aca="false">COUNTIF(D38:H38,"&lt;=49")+COUNTIF(D38:H38,"AB")</f>
        <v>2</v>
      </c>
      <c r="L38" s="22" t="n">
        <f aca="false">COUNTIF(E38:J38,"AB")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4"/>
    </row>
    <row r="39" customFormat="false" ht="24.75" hidden="false" customHeight="true" outlineLevel="0" collapsed="false">
      <c r="A39" s="22" t="n">
        <v>29</v>
      </c>
      <c r="B39" s="23" t="n">
        <v>511524205031</v>
      </c>
      <c r="C39" s="24" t="s">
        <v>47</v>
      </c>
      <c r="D39" s="22" t="s">
        <v>21</v>
      </c>
      <c r="E39" s="22" t="n">
        <v>38</v>
      </c>
      <c r="F39" s="22" t="n">
        <v>50</v>
      </c>
      <c r="G39" s="30" t="s">
        <v>28</v>
      </c>
      <c r="H39" s="28" t="s">
        <v>21</v>
      </c>
      <c r="I39" s="33" t="n">
        <v>12</v>
      </c>
      <c r="J39" s="22" t="n">
        <f aca="false">SUM(D39:I39)</f>
        <v>100</v>
      </c>
      <c r="K39" s="22" t="n">
        <f aca="false">COUNTIF(D39:H39,"&lt;=49")+COUNTIF(D39:H39,"AB")</f>
        <v>4</v>
      </c>
      <c r="L39" s="22" t="n">
        <f aca="false">COUNTIF(E39:J39,"AB")</f>
        <v>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4"/>
    </row>
    <row r="40" customFormat="false" ht="24.75" hidden="false" customHeight="true" outlineLevel="0" collapsed="false">
      <c r="A40" s="22" t="n">
        <v>30</v>
      </c>
      <c r="B40" s="23" t="n">
        <v>511524205032</v>
      </c>
      <c r="C40" s="24" t="s">
        <v>48</v>
      </c>
      <c r="D40" s="25" t="n">
        <v>30</v>
      </c>
      <c r="E40" s="22" t="n">
        <v>54</v>
      </c>
      <c r="F40" s="22" t="n">
        <v>68</v>
      </c>
      <c r="G40" s="26" t="n">
        <v>50</v>
      </c>
      <c r="H40" s="28" t="n">
        <v>28</v>
      </c>
      <c r="I40" s="29" t="n">
        <v>54</v>
      </c>
      <c r="J40" s="22" t="n">
        <f aca="false">SUM(D40:I40)</f>
        <v>284</v>
      </c>
      <c r="K40" s="22" t="n">
        <f aca="false">COUNTIF(D40:H40,"&lt;=49")+COUNTIF(D40:H40,"AB")</f>
        <v>2</v>
      </c>
      <c r="L40" s="22" t="n">
        <f aca="false">COUNTIF(E40:J40,"AB")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4"/>
    </row>
    <row r="41" customFormat="false" ht="24.75" hidden="false" customHeight="true" outlineLevel="0" collapsed="false">
      <c r="A41" s="22" t="n">
        <v>31</v>
      </c>
      <c r="B41" s="23" t="n">
        <v>511524205033</v>
      </c>
      <c r="C41" s="24" t="s">
        <v>49</v>
      </c>
      <c r="D41" s="25" t="n">
        <v>18</v>
      </c>
      <c r="E41" s="22" t="n">
        <v>18</v>
      </c>
      <c r="F41" s="22" t="n">
        <v>40</v>
      </c>
      <c r="G41" s="30" t="n">
        <v>42</v>
      </c>
      <c r="H41" s="28" t="n">
        <v>0</v>
      </c>
      <c r="I41" s="29" t="n">
        <v>38</v>
      </c>
      <c r="J41" s="22" t="n">
        <f aca="false">SUM(D41:I41)</f>
        <v>156</v>
      </c>
      <c r="K41" s="22" t="n">
        <f aca="false">COUNTIF(D41:H41,"&lt;=49")+COUNTIF(D41:H41,"AB")</f>
        <v>5</v>
      </c>
      <c r="L41" s="22" t="n">
        <f aca="false">COUNTIF(E41:J41,"AB")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4"/>
    </row>
    <row r="42" customFormat="false" ht="24.75" hidden="false" customHeight="true" outlineLevel="0" collapsed="false">
      <c r="A42" s="22" t="n">
        <v>32</v>
      </c>
      <c r="B42" s="23" t="n">
        <v>511524205034</v>
      </c>
      <c r="C42" s="24" t="s">
        <v>50</v>
      </c>
      <c r="D42" s="25" t="n">
        <v>50</v>
      </c>
      <c r="E42" s="22" t="n">
        <v>58</v>
      </c>
      <c r="F42" s="22" t="n">
        <v>60</v>
      </c>
      <c r="G42" s="26" t="n">
        <v>56</v>
      </c>
      <c r="H42" s="22" t="n">
        <v>20</v>
      </c>
      <c r="I42" s="29" t="n">
        <v>50</v>
      </c>
      <c r="J42" s="22" t="n">
        <f aca="false">SUM(D42:I42)</f>
        <v>294</v>
      </c>
      <c r="K42" s="22" t="n">
        <f aca="false">COUNTIF(D42:H42,"&lt;=49")+COUNTIF(D42:H42,"AB")</f>
        <v>1</v>
      </c>
      <c r="L42" s="22" t="n">
        <f aca="false">COUNTIF(E42:J42,"AB")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4"/>
    </row>
    <row r="43" customFormat="false" ht="24.75" hidden="false" customHeight="true" outlineLevel="0" collapsed="false">
      <c r="A43" s="22" t="n">
        <v>33</v>
      </c>
      <c r="B43" s="23" t="n">
        <v>511524205035</v>
      </c>
      <c r="C43" s="24" t="s">
        <v>51</v>
      </c>
      <c r="D43" s="22" t="n">
        <v>52</v>
      </c>
      <c r="E43" s="22" t="n">
        <v>72</v>
      </c>
      <c r="F43" s="22" t="n">
        <v>70</v>
      </c>
      <c r="G43" s="26" t="n">
        <v>92</v>
      </c>
      <c r="H43" s="22" t="n">
        <v>76</v>
      </c>
      <c r="I43" s="29" t="n">
        <v>94</v>
      </c>
      <c r="J43" s="22" t="n">
        <f aca="false">SUM(D43:I43)</f>
        <v>456</v>
      </c>
      <c r="K43" s="22" t="n">
        <f aca="false">COUNTIF(D43:H43,"&lt;=49")+COUNTIF(D43:H43,"AB")</f>
        <v>0</v>
      </c>
      <c r="L43" s="22" t="n">
        <f aca="false">COUNTIF(E43:J43,"AB")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4"/>
    </row>
    <row r="44" customFormat="false" ht="24.75" hidden="false" customHeight="true" outlineLevel="0" collapsed="false">
      <c r="A44" s="22" t="n">
        <v>34</v>
      </c>
      <c r="B44" s="23" t="n">
        <v>511524205036</v>
      </c>
      <c r="C44" s="24" t="s">
        <v>52</v>
      </c>
      <c r="D44" s="22" t="n">
        <v>60</v>
      </c>
      <c r="E44" s="22" t="n">
        <v>50</v>
      </c>
      <c r="F44" s="22" t="n">
        <v>76</v>
      </c>
      <c r="G44" s="26" t="n">
        <v>60</v>
      </c>
      <c r="H44" s="22" t="n">
        <v>54</v>
      </c>
      <c r="I44" s="29" t="n">
        <v>72</v>
      </c>
      <c r="J44" s="22" t="n">
        <f aca="false">SUM(D44:I44)</f>
        <v>372</v>
      </c>
      <c r="K44" s="22" t="n">
        <f aca="false">COUNTIF(D44:H44,"&lt;=49")+COUNTIF(D44:H44,"AB")</f>
        <v>0</v>
      </c>
      <c r="L44" s="22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4"/>
    </row>
    <row r="45" customFormat="false" ht="24.75" hidden="false" customHeight="true" outlineLevel="0" collapsed="false">
      <c r="A45" s="22" t="n">
        <v>35</v>
      </c>
      <c r="B45" s="23" t="n">
        <v>511524205037</v>
      </c>
      <c r="C45" s="24" t="s">
        <v>53</v>
      </c>
      <c r="D45" s="25" t="n">
        <v>20</v>
      </c>
      <c r="E45" s="22" t="n">
        <v>40</v>
      </c>
      <c r="F45" s="22" t="n">
        <v>66</v>
      </c>
      <c r="G45" s="30" t="n">
        <v>42</v>
      </c>
      <c r="H45" s="28" t="n">
        <v>2</v>
      </c>
      <c r="I45" s="29" t="n">
        <v>26</v>
      </c>
      <c r="J45" s="22" t="n">
        <f aca="false">SUM(D45:I45)</f>
        <v>196</v>
      </c>
      <c r="K45" s="22" t="n">
        <f aca="false">COUNTIF(D45:H45,"&lt;=49")+COUNTIF(D45:H45,"AB")</f>
        <v>4</v>
      </c>
      <c r="L45" s="22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4"/>
    </row>
    <row r="46" customFormat="false" ht="24.75" hidden="false" customHeight="true" outlineLevel="0" collapsed="false">
      <c r="A46" s="22" t="n">
        <v>36</v>
      </c>
      <c r="B46" s="23" t="n">
        <v>511524205038</v>
      </c>
      <c r="C46" s="24" t="s">
        <v>54</v>
      </c>
      <c r="D46" s="22" t="n">
        <v>24</v>
      </c>
      <c r="E46" s="22" t="n">
        <v>62</v>
      </c>
      <c r="F46" s="22" t="n">
        <v>84</v>
      </c>
      <c r="G46" s="26" t="n">
        <v>64</v>
      </c>
      <c r="H46" s="28" t="n">
        <v>18</v>
      </c>
      <c r="I46" s="29" t="n">
        <v>12</v>
      </c>
      <c r="J46" s="22" t="n">
        <f aca="false">SUM(D46:I46)</f>
        <v>264</v>
      </c>
      <c r="K46" s="22" t="n">
        <f aca="false">COUNTIF(D46:H46,"&lt;=49")+COUNTIF(D46:H46,"AB")</f>
        <v>2</v>
      </c>
      <c r="L46" s="22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4"/>
    </row>
    <row r="47" customFormat="false" ht="24.75" hidden="false" customHeight="true" outlineLevel="0" collapsed="false">
      <c r="A47" s="22" t="n">
        <v>37</v>
      </c>
      <c r="B47" s="23" t="n">
        <v>511524205039</v>
      </c>
      <c r="C47" s="24" t="s">
        <v>55</v>
      </c>
      <c r="D47" s="22" t="n">
        <v>2</v>
      </c>
      <c r="E47" s="22" t="n">
        <v>6</v>
      </c>
      <c r="F47" s="22" t="n">
        <v>10</v>
      </c>
      <c r="G47" s="30" t="s">
        <v>28</v>
      </c>
      <c r="H47" s="28" t="n">
        <v>2</v>
      </c>
      <c r="I47" s="29" t="n">
        <v>10</v>
      </c>
      <c r="J47" s="22" t="n">
        <f aca="false">SUM(D47:I47)</f>
        <v>30</v>
      </c>
      <c r="K47" s="22" t="n">
        <f aca="false">COUNTIF(D47:H47,"&lt;=49")+COUNTIF(D47:H47,"AB")</f>
        <v>5</v>
      </c>
      <c r="L47" s="22" t="n">
        <f aca="false">COUNTIF(E47:J47,"AB")</f>
        <v>1</v>
      </c>
      <c r="M47" s="36"/>
      <c r="N47" s="36"/>
      <c r="O47" s="36"/>
      <c r="P47" s="36"/>
      <c r="Q47" s="36"/>
      <c r="R47" s="36"/>
      <c r="S47" s="2"/>
      <c r="T47" s="2"/>
      <c r="U47" s="2"/>
      <c r="V47" s="2"/>
      <c r="W47" s="2"/>
      <c r="X47" s="2"/>
      <c r="Y47" s="2"/>
      <c r="Z47" s="4"/>
    </row>
    <row r="48" customFormat="false" ht="24.75" hidden="false" customHeight="true" outlineLevel="0" collapsed="false">
      <c r="A48" s="22" t="n">
        <v>38</v>
      </c>
      <c r="B48" s="23" t="n">
        <v>511524205040</v>
      </c>
      <c r="C48" s="24" t="s">
        <v>56</v>
      </c>
      <c r="D48" s="22" t="n">
        <v>24</v>
      </c>
      <c r="E48" s="22" t="n">
        <v>24</v>
      </c>
      <c r="F48" s="22" t="n">
        <v>58</v>
      </c>
      <c r="G48" s="30" t="n">
        <v>40</v>
      </c>
      <c r="H48" s="22" t="n">
        <v>2</v>
      </c>
      <c r="I48" s="33" t="n">
        <v>20</v>
      </c>
      <c r="J48" s="22" t="n">
        <f aca="false">SUM(D48:I48)</f>
        <v>168</v>
      </c>
      <c r="K48" s="22" t="n">
        <f aca="false">COUNTIF(D48:H48,"&lt;=49")+COUNTIF(D48:H48,"AB")</f>
        <v>4</v>
      </c>
      <c r="L48" s="22" t="n">
        <f aca="false">COUNTIF(E48:J48,"AB")</f>
        <v>0</v>
      </c>
      <c r="M48" s="37"/>
      <c r="N48" s="37"/>
      <c r="O48" s="37"/>
      <c r="P48" s="37"/>
      <c r="Q48" s="37"/>
      <c r="R48" s="37"/>
      <c r="S48" s="2"/>
      <c r="T48" s="2"/>
      <c r="U48" s="2"/>
      <c r="V48" s="2"/>
      <c r="W48" s="2"/>
      <c r="X48" s="2"/>
      <c r="Y48" s="2"/>
      <c r="Z48" s="4"/>
    </row>
    <row r="49" customFormat="false" ht="24.75" hidden="false" customHeight="true" outlineLevel="0" collapsed="false">
      <c r="A49" s="22" t="n">
        <v>39</v>
      </c>
      <c r="B49" s="23" t="n">
        <v>511524205041</v>
      </c>
      <c r="C49" s="24" t="s">
        <v>56</v>
      </c>
      <c r="D49" s="25" t="n">
        <v>24</v>
      </c>
      <c r="E49" s="22" t="s">
        <v>28</v>
      </c>
      <c r="F49" s="22" t="n">
        <v>30</v>
      </c>
      <c r="G49" s="26" t="n">
        <v>60</v>
      </c>
      <c r="H49" s="28" t="n">
        <v>10</v>
      </c>
      <c r="I49" s="29" t="n">
        <v>50</v>
      </c>
      <c r="J49" s="22" t="n">
        <f aca="false">SUM(D49:I49)</f>
        <v>174</v>
      </c>
      <c r="K49" s="22" t="n">
        <f aca="false">COUNTIF(D49:H49,"&lt;=49")+COUNTIF(D49:H49,"AB")</f>
        <v>4</v>
      </c>
      <c r="L49" s="22" t="n">
        <f aca="false">COUNTIF(E49:J49,"AB")</f>
        <v>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4"/>
    </row>
    <row r="50" customFormat="false" ht="24.75" hidden="false" customHeight="true" outlineLevel="0" collapsed="false">
      <c r="A50" s="22" t="n">
        <v>40</v>
      </c>
      <c r="B50" s="23" t="n">
        <v>511524205043</v>
      </c>
      <c r="C50" s="24" t="s">
        <v>57</v>
      </c>
      <c r="D50" s="22" t="n">
        <v>46</v>
      </c>
      <c r="E50" s="22" t="n">
        <v>76</v>
      </c>
      <c r="F50" s="22" t="n">
        <v>92</v>
      </c>
      <c r="G50" s="26" t="n">
        <v>82</v>
      </c>
      <c r="H50" s="22" t="n">
        <v>60</v>
      </c>
      <c r="I50" s="29" t="n">
        <v>64</v>
      </c>
      <c r="J50" s="22" t="n">
        <f aca="false">SUM(D50:I50)</f>
        <v>420</v>
      </c>
      <c r="K50" s="22" t="n">
        <f aca="false">COUNTIF(D50:H50,"&lt;=49")+COUNTIF(D50:H50,"AB")</f>
        <v>1</v>
      </c>
      <c r="L50" s="22" t="n">
        <f aca="false">COUNTIF(E50:J50,"AB")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4"/>
    </row>
    <row r="51" customFormat="false" ht="24.75" hidden="false" customHeight="true" outlineLevel="0" collapsed="false">
      <c r="A51" s="22" t="n">
        <v>41</v>
      </c>
      <c r="B51" s="23" t="n">
        <v>511524205044</v>
      </c>
      <c r="C51" s="24" t="s">
        <v>58</v>
      </c>
      <c r="D51" s="22" t="n">
        <v>52</v>
      </c>
      <c r="E51" s="22" t="n">
        <v>74</v>
      </c>
      <c r="F51" s="22" t="n">
        <v>86</v>
      </c>
      <c r="G51" s="26" t="n">
        <v>84</v>
      </c>
      <c r="H51" s="22" t="n">
        <v>54</v>
      </c>
      <c r="I51" s="29" t="n">
        <v>82</v>
      </c>
      <c r="J51" s="22" t="n">
        <f aca="false">SUM(D51:I51)</f>
        <v>432</v>
      </c>
      <c r="K51" s="22" t="n">
        <f aca="false">COUNTIF(D51:H51,"&lt;=49")+COUNTIF(D51:H51,"AB")</f>
        <v>0</v>
      </c>
      <c r="L51" s="22" t="n">
        <f aca="false">COUNTIF(E51:J51,"AB")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4"/>
    </row>
    <row r="52" customFormat="false" ht="24.75" hidden="false" customHeight="true" outlineLevel="0" collapsed="false">
      <c r="A52" s="22" t="n">
        <v>42</v>
      </c>
      <c r="B52" s="23" t="n">
        <v>511524205045</v>
      </c>
      <c r="C52" s="24" t="s">
        <v>59</v>
      </c>
      <c r="D52" s="22" t="n">
        <v>24</v>
      </c>
      <c r="E52" s="22" t="n">
        <v>60</v>
      </c>
      <c r="F52" s="22" t="n">
        <v>80</v>
      </c>
      <c r="G52" s="26" t="n">
        <v>76</v>
      </c>
      <c r="H52" s="22" t="n">
        <v>42</v>
      </c>
      <c r="I52" s="31" t="n">
        <v>70</v>
      </c>
      <c r="J52" s="22" t="n">
        <f aca="false">SUM(D52:I52)</f>
        <v>352</v>
      </c>
      <c r="K52" s="22" t="n">
        <f aca="false">COUNTIF(D52:H52,"&lt;=49")+COUNTIF(D52:H52,"AB")</f>
        <v>2</v>
      </c>
      <c r="L52" s="22" t="n">
        <f aca="false">COUNTIF(E52:J52,"AB")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4"/>
    </row>
    <row r="53" customFormat="false" ht="24.75" hidden="false" customHeight="true" outlineLevel="0" collapsed="false">
      <c r="A53" s="22" t="n">
        <v>43</v>
      </c>
      <c r="B53" s="23" t="n">
        <v>511524205046</v>
      </c>
      <c r="C53" s="24" t="s">
        <v>60</v>
      </c>
      <c r="D53" s="22" t="n">
        <v>84</v>
      </c>
      <c r="E53" s="22" t="n">
        <v>68</v>
      </c>
      <c r="F53" s="22" t="n">
        <v>88</v>
      </c>
      <c r="G53" s="26" t="n">
        <v>92</v>
      </c>
      <c r="H53" s="22" t="n">
        <v>72</v>
      </c>
      <c r="I53" s="31" t="n">
        <v>94</v>
      </c>
      <c r="J53" s="22" t="n">
        <f aca="false">SUM(D53:I53)</f>
        <v>498</v>
      </c>
      <c r="K53" s="22" t="n">
        <f aca="false">COUNTIF(D53:H53,"&lt;=49")+COUNTIF(D53:H53,"AB")</f>
        <v>0</v>
      </c>
      <c r="L53" s="22" t="n">
        <f aca="false">COUNTIF(E53:J53,"AB")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4"/>
    </row>
    <row r="54" customFormat="false" ht="24.75" hidden="false" customHeight="true" outlineLevel="0" collapsed="false">
      <c r="A54" s="22" t="n">
        <v>44</v>
      </c>
      <c r="B54" s="23" t="n">
        <v>511524205047</v>
      </c>
      <c r="C54" s="24" t="s">
        <v>61</v>
      </c>
      <c r="D54" s="22" t="n">
        <v>30</v>
      </c>
      <c r="E54" s="22" t="n">
        <v>66</v>
      </c>
      <c r="F54" s="22" t="n">
        <v>76</v>
      </c>
      <c r="G54" s="26" t="n">
        <v>64</v>
      </c>
      <c r="H54" s="22" t="n">
        <v>46</v>
      </c>
      <c r="I54" s="31" t="n">
        <v>78</v>
      </c>
      <c r="J54" s="22" t="n">
        <f aca="false">SUM(D54:I54)</f>
        <v>360</v>
      </c>
      <c r="K54" s="22" t="n">
        <f aca="false">COUNTIF(D54:H54,"&lt;=49")+COUNTIF(D54:H54,"AB")</f>
        <v>2</v>
      </c>
      <c r="L54" s="22" t="n">
        <f aca="false">COUNTIF(E54:J54,"AB")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4"/>
    </row>
    <row r="55" customFormat="false" ht="24.75" hidden="false" customHeight="true" outlineLevel="0" collapsed="false">
      <c r="A55" s="22" t="n">
        <v>45</v>
      </c>
      <c r="B55" s="23" t="n">
        <v>511524205048</v>
      </c>
      <c r="C55" s="24" t="s">
        <v>62</v>
      </c>
      <c r="D55" s="25" t="n">
        <v>16</v>
      </c>
      <c r="E55" s="22" t="n">
        <v>68</v>
      </c>
      <c r="F55" s="22" t="n">
        <v>84</v>
      </c>
      <c r="G55" s="26" t="n">
        <v>74</v>
      </c>
      <c r="H55" s="28" t="n">
        <v>10</v>
      </c>
      <c r="I55" s="27" t="n">
        <v>72</v>
      </c>
      <c r="J55" s="22" t="n">
        <f aca="false">SUM(D55:I55)</f>
        <v>324</v>
      </c>
      <c r="K55" s="22" t="n">
        <f aca="false">COUNTIF(D55:H55,"&lt;=49")+COUNTIF(D55:H55,"AB")</f>
        <v>2</v>
      </c>
      <c r="L55" s="22" t="n">
        <f aca="false">COUNTIF(E55:J55,"AB")</f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4"/>
    </row>
    <row r="56" customFormat="false" ht="24.75" hidden="false" customHeight="true" outlineLevel="0" collapsed="false">
      <c r="A56" s="22" t="n">
        <v>46</v>
      </c>
      <c r="B56" s="23" t="n">
        <v>511524205049</v>
      </c>
      <c r="C56" s="24" t="s">
        <v>63</v>
      </c>
      <c r="D56" s="22" t="n">
        <v>26</v>
      </c>
      <c r="E56" s="22" t="n">
        <v>62</v>
      </c>
      <c r="F56" s="22" t="n">
        <v>76</v>
      </c>
      <c r="G56" s="26" t="n">
        <v>58</v>
      </c>
      <c r="H56" s="22" t="n">
        <v>34</v>
      </c>
      <c r="I56" s="31" t="n">
        <v>60</v>
      </c>
      <c r="J56" s="22" t="n">
        <f aca="false">SUM(D56:I56)</f>
        <v>316</v>
      </c>
      <c r="K56" s="22" t="n">
        <f aca="false">COUNTIF(D56:H56,"&lt;=49")+COUNTIF(D56:H56,"AB")</f>
        <v>2</v>
      </c>
      <c r="L56" s="22" t="n">
        <f aca="false">COUNTIF(E56:J56,"AB")</f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4"/>
    </row>
    <row r="57" customFormat="false" ht="24.75" hidden="false" customHeight="true" outlineLevel="0" collapsed="false">
      <c r="A57" s="22" t="n">
        <v>47</v>
      </c>
      <c r="B57" s="23" t="n">
        <v>511524205050</v>
      </c>
      <c r="C57" s="24" t="s">
        <v>64</v>
      </c>
      <c r="D57" s="25" t="n">
        <v>6</v>
      </c>
      <c r="E57" s="22" t="n">
        <v>32</v>
      </c>
      <c r="F57" s="22" t="n">
        <v>64</v>
      </c>
      <c r="G57" s="30" t="n">
        <v>38</v>
      </c>
      <c r="H57" s="28" t="n">
        <v>16</v>
      </c>
      <c r="I57" s="31" t="n">
        <v>62</v>
      </c>
      <c r="J57" s="22" t="n">
        <f aca="false">SUM(D57:I57)</f>
        <v>218</v>
      </c>
      <c r="K57" s="22" t="n">
        <f aca="false">COUNTIF(D57:H57,"&lt;=49")+COUNTIF(D57:H57,"AB")</f>
        <v>4</v>
      </c>
      <c r="L57" s="22" t="n">
        <f aca="false">COUNTIF(E57:J57,"AB")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4"/>
    </row>
    <row r="58" customFormat="false" ht="24.75" hidden="false" customHeight="true" outlineLevel="0" collapsed="false">
      <c r="A58" s="22" t="n">
        <v>48</v>
      </c>
      <c r="B58" s="23" t="n">
        <v>511524205051</v>
      </c>
      <c r="C58" s="24" t="s">
        <v>65</v>
      </c>
      <c r="D58" s="22" t="s">
        <v>21</v>
      </c>
      <c r="E58" s="22" t="n">
        <v>52</v>
      </c>
      <c r="F58" s="22" t="n">
        <v>50</v>
      </c>
      <c r="G58" s="30" t="n">
        <v>42</v>
      </c>
      <c r="H58" s="28" t="n">
        <v>40</v>
      </c>
      <c r="I58" s="31" t="n">
        <v>52</v>
      </c>
      <c r="J58" s="22" t="n">
        <f aca="false">SUM(D58:I58)</f>
        <v>236</v>
      </c>
      <c r="K58" s="22" t="n">
        <f aca="false">COUNTIF(D58:H58,"&lt;=49")+COUNTIF(D58:H58,"AB")</f>
        <v>3</v>
      </c>
      <c r="L58" s="22" t="n">
        <f aca="false">COUNTIF(E58:J58,"AB")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4"/>
    </row>
    <row r="59" customFormat="false" ht="24.75" hidden="false" customHeight="true" outlineLevel="0" collapsed="false">
      <c r="A59" s="22" t="n">
        <v>49</v>
      </c>
      <c r="B59" s="23" t="n">
        <v>511524205052</v>
      </c>
      <c r="C59" s="24" t="s">
        <v>66</v>
      </c>
      <c r="D59" s="25" t="s">
        <v>21</v>
      </c>
      <c r="E59" s="22" t="s">
        <v>28</v>
      </c>
      <c r="F59" s="22" t="n">
        <v>16</v>
      </c>
      <c r="G59" s="30" t="s">
        <v>28</v>
      </c>
      <c r="H59" s="28" t="s">
        <v>21</v>
      </c>
      <c r="I59" s="38" t="s">
        <v>28</v>
      </c>
      <c r="J59" s="22" t="n">
        <f aca="false">SUM(D59:I59)</f>
        <v>16</v>
      </c>
      <c r="K59" s="22" t="n">
        <f aca="false">COUNTIF(D59:H59,"&lt;=49")+COUNTIF(D59:H59,"AB")</f>
        <v>5</v>
      </c>
      <c r="L59" s="22" t="n">
        <f aca="false">COUNTIF(E59:J59,"AB")</f>
        <v>4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4"/>
    </row>
    <row r="60" customFormat="false" ht="24.75" hidden="false" customHeight="true" outlineLevel="0" collapsed="false">
      <c r="A60" s="22" t="n">
        <v>50</v>
      </c>
      <c r="B60" s="23" t="n">
        <v>511524205053</v>
      </c>
      <c r="C60" s="24" t="s">
        <v>67</v>
      </c>
      <c r="D60" s="22" t="n">
        <v>52</v>
      </c>
      <c r="E60" s="22" t="n">
        <v>66</v>
      </c>
      <c r="F60" s="22" t="n">
        <v>78</v>
      </c>
      <c r="G60" s="26" t="n">
        <v>70</v>
      </c>
      <c r="H60" s="22" t="n">
        <v>34</v>
      </c>
      <c r="I60" s="31" t="n">
        <v>74</v>
      </c>
      <c r="J60" s="22" t="n">
        <f aca="false">SUM(D60:I60)</f>
        <v>374</v>
      </c>
      <c r="K60" s="22" t="n">
        <f aca="false">COUNTIF(D60:H60,"&lt;=49")+COUNTIF(D60:H60,"AB")</f>
        <v>1</v>
      </c>
      <c r="L60" s="22" t="n">
        <f aca="false">COUNTIF(E60:J60,"AB")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4"/>
    </row>
    <row r="61" customFormat="false" ht="24.75" hidden="false" customHeight="true" outlineLevel="0" collapsed="false">
      <c r="A61" s="22" t="n">
        <v>51</v>
      </c>
      <c r="B61" s="23" t="n">
        <v>511524205054</v>
      </c>
      <c r="C61" s="24" t="s">
        <v>68</v>
      </c>
      <c r="D61" s="22" t="n">
        <v>18</v>
      </c>
      <c r="E61" s="22" t="n">
        <v>54</v>
      </c>
      <c r="F61" s="22" t="n">
        <v>78</v>
      </c>
      <c r="G61" s="30" t="n">
        <v>38</v>
      </c>
      <c r="H61" s="28" t="n">
        <v>0</v>
      </c>
      <c r="I61" s="33" t="n">
        <v>34</v>
      </c>
      <c r="J61" s="22" t="n">
        <f aca="false">SUM(D61:I61)</f>
        <v>222</v>
      </c>
      <c r="K61" s="22" t="n">
        <f aca="false">COUNTIF(D61:H61,"&lt;=49")+COUNTIF(D61:H61,"AB")</f>
        <v>3</v>
      </c>
      <c r="L61" s="22" t="n">
        <f aca="false">COUNTIF(E61:J61,"AB")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4"/>
    </row>
    <row r="62" customFormat="false" ht="24.75" hidden="false" customHeight="true" outlineLevel="0" collapsed="false">
      <c r="A62" s="22" t="n">
        <v>52</v>
      </c>
      <c r="B62" s="23" t="n">
        <v>511524205055</v>
      </c>
      <c r="C62" s="24" t="s">
        <v>69</v>
      </c>
      <c r="D62" s="22" t="n">
        <v>48</v>
      </c>
      <c r="E62" s="22" t="n">
        <v>50</v>
      </c>
      <c r="F62" s="22" t="n">
        <v>68</v>
      </c>
      <c r="G62" s="30" t="n">
        <v>48</v>
      </c>
      <c r="H62" s="28" t="n">
        <v>20</v>
      </c>
      <c r="I62" s="33" t="n">
        <v>38</v>
      </c>
      <c r="J62" s="22" t="n">
        <f aca="false">SUM(D62:I62)</f>
        <v>272</v>
      </c>
      <c r="K62" s="22" t="n">
        <f aca="false">COUNTIF(D62:H62,"&lt;=49")+COUNTIF(D62:H62,"AB")</f>
        <v>3</v>
      </c>
      <c r="L62" s="22" t="n">
        <f aca="false">COUNTIF(E62:J62,"AB")</f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4"/>
    </row>
    <row r="63" customFormat="false" ht="24.75" hidden="false" customHeight="true" outlineLevel="0" collapsed="false">
      <c r="A63" s="22" t="n">
        <v>53</v>
      </c>
      <c r="B63" s="23" t="n">
        <v>511524205056</v>
      </c>
      <c r="C63" s="24" t="s">
        <v>70</v>
      </c>
      <c r="D63" s="22" t="n">
        <v>26</v>
      </c>
      <c r="E63" s="22" t="n">
        <v>64</v>
      </c>
      <c r="F63" s="22" t="n">
        <v>62</v>
      </c>
      <c r="G63" s="26" t="n">
        <v>60</v>
      </c>
      <c r="H63" s="28" t="s">
        <v>21</v>
      </c>
      <c r="I63" s="29" t="n">
        <v>74</v>
      </c>
      <c r="J63" s="22" t="n">
        <f aca="false">SUM(D63:I63)</f>
        <v>286</v>
      </c>
      <c r="K63" s="22" t="n">
        <f aca="false">COUNTIF(D63:H63,"&lt;=49")+COUNTIF(D63:H63,"AB")</f>
        <v>2</v>
      </c>
      <c r="L63" s="22" t="n">
        <f aca="false">COUNTIF(E63:J63,"AB")</f>
        <v>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4"/>
    </row>
    <row r="64" customFormat="false" ht="24.75" hidden="false" customHeight="true" outlineLevel="0" collapsed="false">
      <c r="A64" s="22" t="n">
        <v>54</v>
      </c>
      <c r="B64" s="23" t="n">
        <v>511524205057</v>
      </c>
      <c r="C64" s="24" t="s">
        <v>71</v>
      </c>
      <c r="D64" s="22" t="n">
        <v>18</v>
      </c>
      <c r="E64" s="22" t="n">
        <v>72</v>
      </c>
      <c r="F64" s="22" t="n">
        <v>82</v>
      </c>
      <c r="G64" s="26" t="n">
        <v>68</v>
      </c>
      <c r="H64" s="22" t="n">
        <v>26</v>
      </c>
      <c r="I64" s="31" t="n">
        <v>66</v>
      </c>
      <c r="J64" s="22" t="n">
        <f aca="false">SUM(D64:I64)</f>
        <v>332</v>
      </c>
      <c r="K64" s="22" t="n">
        <f aca="false">COUNTIF(D64:H64,"&lt;=49")+COUNTIF(D64:H64,"AB")</f>
        <v>2</v>
      </c>
      <c r="L64" s="22" t="n">
        <f aca="false">COUNTIF(E64:J64,"AB")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4"/>
    </row>
    <row r="65" customFormat="false" ht="24.75" hidden="false" customHeight="true" outlineLevel="0" collapsed="false">
      <c r="A65" s="22" t="n">
        <v>55</v>
      </c>
      <c r="B65" s="23" t="n">
        <v>511524205058</v>
      </c>
      <c r="C65" s="24" t="s">
        <v>72</v>
      </c>
      <c r="D65" s="22" t="n">
        <v>58</v>
      </c>
      <c r="E65" s="22" t="n">
        <v>60</v>
      </c>
      <c r="F65" s="22" t="n">
        <v>86</v>
      </c>
      <c r="G65" s="26" t="n">
        <v>70</v>
      </c>
      <c r="H65" s="22" t="n">
        <v>52</v>
      </c>
      <c r="I65" s="31" t="n">
        <v>84</v>
      </c>
      <c r="J65" s="22" t="n">
        <f aca="false">SUM(D65:I65)</f>
        <v>410</v>
      </c>
      <c r="K65" s="22" t="n">
        <f aca="false">COUNTIF(D65:H65,"&lt;=49")+COUNTIF(D65:H65,"AB")</f>
        <v>0</v>
      </c>
      <c r="L65" s="22" t="n">
        <f aca="false">COUNTIF(E65:J65,"AB")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4"/>
    </row>
    <row r="66" customFormat="false" ht="24.75" hidden="false" customHeight="true" outlineLevel="0" collapsed="false">
      <c r="A66" s="22" t="n">
        <v>56</v>
      </c>
      <c r="B66" s="23" t="n">
        <v>511524205059</v>
      </c>
      <c r="C66" s="24" t="s">
        <v>73</v>
      </c>
      <c r="D66" s="22" t="n">
        <v>38</v>
      </c>
      <c r="E66" s="22" t="n">
        <v>68</v>
      </c>
      <c r="F66" s="22" t="n">
        <v>78</v>
      </c>
      <c r="G66" s="26" t="n">
        <v>76</v>
      </c>
      <c r="H66" s="22" t="n">
        <v>42</v>
      </c>
      <c r="I66" s="31" t="n">
        <v>62</v>
      </c>
      <c r="J66" s="22" t="n">
        <f aca="false">SUM(D66:I66)</f>
        <v>364</v>
      </c>
      <c r="K66" s="22" t="n">
        <f aca="false">COUNTIF(D66:H66,"&lt;=49")+COUNTIF(D66:H66,"AB")</f>
        <v>2</v>
      </c>
      <c r="L66" s="22" t="n">
        <f aca="false">COUNTIF(E66:J66,"AB")</f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4"/>
    </row>
    <row r="67" customFormat="false" ht="24.75" hidden="false" customHeight="true" outlineLevel="0" collapsed="false">
      <c r="A67" s="22" t="n">
        <v>57</v>
      </c>
      <c r="B67" s="23" t="n">
        <v>511524205060</v>
      </c>
      <c r="C67" s="24" t="s">
        <v>74</v>
      </c>
      <c r="D67" s="22" t="n">
        <v>12</v>
      </c>
      <c r="E67" s="22" t="n">
        <v>42</v>
      </c>
      <c r="F67" s="22" t="n">
        <v>14</v>
      </c>
      <c r="G67" s="30" t="s">
        <v>28</v>
      </c>
      <c r="H67" s="22" t="n">
        <v>0</v>
      </c>
      <c r="I67" s="31" t="n">
        <v>56</v>
      </c>
      <c r="J67" s="22" t="n">
        <f aca="false">SUM(D67:I67)</f>
        <v>124</v>
      </c>
      <c r="K67" s="22" t="n">
        <f aca="false">COUNTIF(D67:H67,"&lt;=49")+COUNTIF(D67:H67,"AB")</f>
        <v>5</v>
      </c>
      <c r="L67" s="22" t="n">
        <f aca="false">COUNTIF(E67:J67,"AB")</f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4"/>
    </row>
    <row r="68" customFormat="false" ht="24.75" hidden="false" customHeight="true" outlineLevel="0" collapsed="false">
      <c r="A68" s="22" t="n">
        <v>58</v>
      </c>
      <c r="B68" s="23" t="n">
        <v>511524205061</v>
      </c>
      <c r="C68" s="24" t="s">
        <v>75</v>
      </c>
      <c r="D68" s="22" t="n">
        <v>0</v>
      </c>
      <c r="E68" s="22" t="n">
        <v>14</v>
      </c>
      <c r="F68" s="22" t="n">
        <v>50</v>
      </c>
      <c r="G68" s="26" t="n">
        <v>64</v>
      </c>
      <c r="H68" s="28" t="n">
        <v>0</v>
      </c>
      <c r="I68" s="29" t="n">
        <v>36</v>
      </c>
      <c r="J68" s="22" t="n">
        <f aca="false">SUM(D68:I68)</f>
        <v>164</v>
      </c>
      <c r="K68" s="22" t="n">
        <f aca="false">COUNTIF(D68:H68,"&lt;=49")+COUNTIF(D68:H68,"AB")</f>
        <v>3</v>
      </c>
      <c r="L68" s="22" t="n">
        <f aca="false">COUNTIF(E68:J68,"AB")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4"/>
    </row>
    <row r="69" customFormat="false" ht="24.75" hidden="false" customHeight="true" outlineLevel="0" collapsed="false">
      <c r="A69" s="22" t="n">
        <v>59</v>
      </c>
      <c r="B69" s="23" t="n">
        <v>511524205062</v>
      </c>
      <c r="C69" s="24" t="s">
        <v>76</v>
      </c>
      <c r="D69" s="22" t="s">
        <v>21</v>
      </c>
      <c r="E69" s="22" t="n">
        <v>28</v>
      </c>
      <c r="F69" s="22" t="n">
        <v>52</v>
      </c>
      <c r="G69" s="26" t="n">
        <v>50</v>
      </c>
      <c r="H69" s="22" t="s">
        <v>21</v>
      </c>
      <c r="I69" s="29" t="n">
        <v>54</v>
      </c>
      <c r="J69" s="22" t="n">
        <f aca="false">SUM(D69:I69)</f>
        <v>184</v>
      </c>
      <c r="K69" s="22" t="n">
        <f aca="false">COUNTIF(D69:H69,"&lt;=49")+COUNTIF(D69:H69,"AB")</f>
        <v>3</v>
      </c>
      <c r="L69" s="22" t="n">
        <f aca="false">COUNTIF(E69:J69,"AB")</f>
        <v>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4"/>
    </row>
    <row r="70" customFormat="false" ht="24.75" hidden="false" customHeight="true" outlineLevel="0" collapsed="false">
      <c r="A70" s="22" t="n">
        <v>60</v>
      </c>
      <c r="B70" s="23" t="n">
        <v>511524205063</v>
      </c>
      <c r="C70" s="24" t="s">
        <v>77</v>
      </c>
      <c r="D70" s="25" t="n">
        <v>14</v>
      </c>
      <c r="E70" s="22" t="n">
        <v>14</v>
      </c>
      <c r="F70" s="39" t="n">
        <v>70</v>
      </c>
      <c r="G70" s="26" t="n">
        <v>54</v>
      </c>
      <c r="H70" s="28" t="n">
        <v>8</v>
      </c>
      <c r="I70" s="31" t="n">
        <v>52</v>
      </c>
      <c r="J70" s="22" t="n">
        <f aca="false">SUM(D70:I70)</f>
        <v>212</v>
      </c>
      <c r="K70" s="22" t="n">
        <f aca="false">COUNTIF(D70:H70,"&lt;=49")+COUNTIF(D70:H70,"AB")</f>
        <v>3</v>
      </c>
      <c r="L70" s="22" t="n">
        <f aca="false">COUNTIF(E70:J70,"AB")</f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4"/>
    </row>
    <row r="71" customFormat="false" ht="37.5" hidden="false" customHeight="true" outlineLevel="0" collapsed="false">
      <c r="A71" s="40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2" t="s">
        <v>78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4"/>
    </row>
    <row r="72" customFormat="false" ht="24.75" hidden="false" customHeight="true" outlineLevel="0" collapsed="false">
      <c r="A72" s="43" t="s">
        <v>79</v>
      </c>
      <c r="B72" s="43"/>
      <c r="C72" s="43"/>
      <c r="D72" s="44" t="n">
        <v>60</v>
      </c>
      <c r="E72" s="44" t="n">
        <v>60</v>
      </c>
      <c r="F72" s="44" t="n">
        <v>60</v>
      </c>
      <c r="G72" s="44" t="n">
        <v>60</v>
      </c>
      <c r="H72" s="44" t="n">
        <v>60</v>
      </c>
      <c r="I72" s="44" t="n">
        <v>60</v>
      </c>
      <c r="J72" s="39" t="s">
        <v>80</v>
      </c>
      <c r="K72" s="39" t="n">
        <f aca="false">COUNTIF(K11:K70,"1")</f>
        <v>9</v>
      </c>
      <c r="L72" s="45" t="n">
        <f aca="false">COUNTIF(K11:K70,"0")</f>
        <v>12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4"/>
    </row>
    <row r="73" customFormat="false" ht="24.75" hidden="false" customHeight="true" outlineLevel="0" collapsed="false">
      <c r="A73" s="43" t="s">
        <v>81</v>
      </c>
      <c r="B73" s="43"/>
      <c r="C73" s="43"/>
      <c r="D73" s="44" t="n">
        <f aca="false">COUNT(D11:D70,"!AB")</f>
        <v>52</v>
      </c>
      <c r="E73" s="44" t="n">
        <f aca="false">COUNT(E11:E70,"!AB")</f>
        <v>56</v>
      </c>
      <c r="F73" s="44" t="n">
        <f aca="false">COUNT(F11:F70,"!AB")</f>
        <v>59</v>
      </c>
      <c r="G73" s="44" t="n">
        <f aca="false">COUNT(G11:G70,"!AB")</f>
        <v>54</v>
      </c>
      <c r="H73" s="44" t="n">
        <f aca="false">COUNT(H11:H70,"!AB")</f>
        <v>55</v>
      </c>
      <c r="I73" s="44" t="n">
        <f aca="false">COUNT(I11:I70,"!AB")</f>
        <v>57</v>
      </c>
      <c r="J73" s="39" t="s">
        <v>82</v>
      </c>
      <c r="K73" s="39" t="n">
        <f aca="false">COUNTIF(K12:K70,"2")</f>
        <v>12</v>
      </c>
      <c r="L73" s="45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4"/>
    </row>
    <row r="74" customFormat="false" ht="24.75" hidden="false" customHeight="true" outlineLevel="0" collapsed="false">
      <c r="A74" s="43" t="s">
        <v>83</v>
      </c>
      <c r="B74" s="43"/>
      <c r="C74" s="43"/>
      <c r="D74" s="44" t="n">
        <f aca="false">COUNTIF(D11:D70,"AB")</f>
        <v>8</v>
      </c>
      <c r="E74" s="44" t="n">
        <f aca="false">COUNTIF(E11:E70,"AB")</f>
        <v>4</v>
      </c>
      <c r="F74" s="44" t="n">
        <f aca="false">COUNTIF(F11:F70,"AB")</f>
        <v>1</v>
      </c>
      <c r="G74" s="44" t="n">
        <f aca="false">COUNTIF(G11:G70,"AB")</f>
        <v>6</v>
      </c>
      <c r="H74" s="44" t="n">
        <f aca="false">COUNTIF(H11:H70,"AB")</f>
        <v>5</v>
      </c>
      <c r="I74" s="44" t="n">
        <f aca="false">COUNTIF(I11:I70,"AB")</f>
        <v>3</v>
      </c>
      <c r="J74" s="39" t="s">
        <v>84</v>
      </c>
      <c r="K74" s="39" t="n">
        <f aca="false">COUNTIF(K13:K70,"3")</f>
        <v>8</v>
      </c>
      <c r="L74" s="45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4"/>
    </row>
    <row r="75" customFormat="false" ht="24.75" hidden="false" customHeight="true" outlineLevel="0" collapsed="false">
      <c r="A75" s="43" t="s">
        <v>85</v>
      </c>
      <c r="B75" s="43"/>
      <c r="C75" s="43"/>
      <c r="D75" s="44" t="n">
        <f aca="false">COUNTIF(D11:D70,"OD")</f>
        <v>0</v>
      </c>
      <c r="E75" s="44" t="n">
        <f aca="false">COUNTIF(E11:E70,"OD")</f>
        <v>0</v>
      </c>
      <c r="F75" s="44" t="n">
        <f aca="false">COUNTIF(F11:F70,"OD")</f>
        <v>0</v>
      </c>
      <c r="G75" s="44" t="n">
        <f aca="false">COUNTIF(G11:G70,"OD")</f>
        <v>0</v>
      </c>
      <c r="H75" s="44" t="n">
        <f aca="false">COUNTIF(H11:H70,"OD")</f>
        <v>0</v>
      </c>
      <c r="I75" s="44" t="n">
        <f aca="false">COUNTIF(I11:I70,"OD")</f>
        <v>0</v>
      </c>
      <c r="J75" s="46" t="s">
        <v>86</v>
      </c>
      <c r="K75" s="39" t="n">
        <f aca="false">COUNTIF(K14:K70,"4")</f>
        <v>8</v>
      </c>
      <c r="L75" s="45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4"/>
    </row>
    <row r="76" customFormat="false" ht="24.75" hidden="false" customHeight="true" outlineLevel="0" collapsed="false">
      <c r="A76" s="43" t="s">
        <v>87</v>
      </c>
      <c r="B76" s="43"/>
      <c r="C76" s="43"/>
      <c r="D76" s="44" t="n">
        <f aca="false">COUNTIF(D11:D70,"&gt;=50")</f>
        <v>19</v>
      </c>
      <c r="E76" s="44" t="n">
        <f aca="false">COUNTIF(E11:E70,"&gt;=50")</f>
        <v>40</v>
      </c>
      <c r="F76" s="44" t="n">
        <f aca="false">COUNTIF(F11:F70,"&gt;=50")</f>
        <v>47</v>
      </c>
      <c r="G76" s="44" t="n">
        <f aca="false">COUNTIF(G11:G70,"&gt;=50")</f>
        <v>39</v>
      </c>
      <c r="H76" s="44" t="n">
        <f aca="false">COUNTIF(H11:H70,"&gt;=50")</f>
        <v>14</v>
      </c>
      <c r="I76" s="44" t="n">
        <f aca="false">COUNTIF(I11:I70,"&gt;=50")</f>
        <v>41</v>
      </c>
      <c r="J76" s="39" t="s">
        <v>88</v>
      </c>
      <c r="K76" s="39" t="n">
        <f aca="false">COUNTIF(K15:K70,"5")</f>
        <v>9</v>
      </c>
      <c r="L76" s="45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4"/>
    </row>
    <row r="77" customFormat="false" ht="24.75" hidden="false" customHeight="true" outlineLevel="0" collapsed="false">
      <c r="A77" s="43" t="s">
        <v>89</v>
      </c>
      <c r="B77" s="43"/>
      <c r="C77" s="43"/>
      <c r="D77" s="44" t="n">
        <f aca="false">COUNTIF(D11:D70,"&lt;=49")</f>
        <v>33</v>
      </c>
      <c r="E77" s="44" t="n">
        <f aca="false">COUNTIF(E11:E70,"&lt;=49")</f>
        <v>16</v>
      </c>
      <c r="F77" s="44" t="n">
        <f aca="false">COUNTIF(F11:F70,"&lt;=49")</f>
        <v>12</v>
      </c>
      <c r="G77" s="44" t="n">
        <f aca="false">COUNTIF(G11:G70,"&lt;=49")</f>
        <v>15</v>
      </c>
      <c r="H77" s="44" t="n">
        <f aca="false">COUNTIF(H11:H70,"&lt;=49")</f>
        <v>41</v>
      </c>
      <c r="I77" s="44" t="n">
        <f aca="false">COUNTIF(I11:I70,"&lt;=49")</f>
        <v>16</v>
      </c>
      <c r="J77" s="39" t="s">
        <v>90</v>
      </c>
      <c r="K77" s="39" t="n">
        <f aca="false">COUNTIF(K16:K70,"6")</f>
        <v>0</v>
      </c>
      <c r="L77" s="45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4"/>
    </row>
    <row r="78" customFormat="false" ht="24.75" hidden="false" customHeight="true" outlineLevel="0" collapsed="false">
      <c r="A78" s="47" t="s">
        <v>91</v>
      </c>
      <c r="B78" s="47"/>
      <c r="C78" s="47"/>
      <c r="D78" s="48" t="n">
        <f aca="false">D76/D73</f>
        <v>0.365384615384615</v>
      </c>
      <c r="E78" s="48" t="n">
        <f aca="false">E76/E73</f>
        <v>0.714285714285714</v>
      </c>
      <c r="F78" s="48" t="n">
        <f aca="false">F76/F73</f>
        <v>0.796610169491525</v>
      </c>
      <c r="G78" s="48" t="n">
        <f aca="false">G76/G73</f>
        <v>0.722222222222222</v>
      </c>
      <c r="H78" s="48" t="n">
        <f aca="false">H76/H73</f>
        <v>0.254545454545455</v>
      </c>
      <c r="I78" s="48" t="n">
        <f aca="false">I76/I73</f>
        <v>0.719298245614035</v>
      </c>
      <c r="J78" s="39" t="s">
        <v>92</v>
      </c>
      <c r="K78" s="49" t="n">
        <f aca="false">L72/60*100</f>
        <v>20</v>
      </c>
      <c r="L78" s="4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4"/>
    </row>
    <row r="79" customFormat="false" ht="59.25" hidden="false" customHeight="true" outlineLevel="0" collapsed="false">
      <c r="A79" s="46" t="s">
        <v>93</v>
      </c>
      <c r="B79" s="50" t="s">
        <v>94</v>
      </c>
      <c r="C79" s="51" t="s">
        <v>95</v>
      </c>
      <c r="D79" s="52" t="s">
        <v>96</v>
      </c>
      <c r="E79" s="53"/>
      <c r="F79" s="54" t="s">
        <v>97</v>
      </c>
      <c r="G79" s="53"/>
      <c r="H79" s="55" t="s">
        <v>98</v>
      </c>
      <c r="I79" s="56"/>
      <c r="J79" s="56"/>
      <c r="K79" s="57" t="s">
        <v>99</v>
      </c>
      <c r="L79" s="58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4"/>
    </row>
    <row r="80" customFormat="false" ht="56.25" hidden="false" customHeight="true" outlineLevel="0" collapsed="false">
      <c r="A80" s="59" t="n">
        <v>1</v>
      </c>
      <c r="B80" s="60" t="s">
        <v>100</v>
      </c>
      <c r="C80" s="60" t="s">
        <v>101</v>
      </c>
      <c r="D80" s="61" t="n">
        <f aca="false">D73</f>
        <v>52</v>
      </c>
      <c r="E80" s="62"/>
      <c r="F80" s="63" t="n">
        <f aca="false">D74</f>
        <v>8</v>
      </c>
      <c r="G80" s="62"/>
      <c r="H80" s="63" t="n">
        <f aca="false">D76</f>
        <v>19</v>
      </c>
      <c r="I80" s="61"/>
      <c r="J80" s="62"/>
      <c r="K80" s="64" t="n">
        <f aca="false">H80/D80*100</f>
        <v>36.5384615384615</v>
      </c>
      <c r="L80" s="58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4"/>
    </row>
    <row r="81" customFormat="false" ht="76.5" hidden="false" customHeight="true" outlineLevel="0" collapsed="false">
      <c r="A81" s="59" t="n">
        <v>2</v>
      </c>
      <c r="B81" s="60" t="s">
        <v>102</v>
      </c>
      <c r="C81" s="60" t="s">
        <v>103</v>
      </c>
      <c r="D81" s="61" t="n">
        <f aca="false">E73</f>
        <v>56</v>
      </c>
      <c r="E81" s="62"/>
      <c r="F81" s="63" t="n">
        <f aca="false">E74</f>
        <v>4</v>
      </c>
      <c r="G81" s="62"/>
      <c r="H81" s="63" t="n">
        <f aca="false">E76</f>
        <v>40</v>
      </c>
      <c r="I81" s="61"/>
      <c r="J81" s="62"/>
      <c r="K81" s="64" t="n">
        <f aca="false">H81/D81*100</f>
        <v>71.4285714285714</v>
      </c>
      <c r="L81" s="58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4"/>
    </row>
    <row r="82" customFormat="false" ht="60.75" hidden="false" customHeight="true" outlineLevel="0" collapsed="false">
      <c r="A82" s="59" t="n">
        <v>3</v>
      </c>
      <c r="B82" s="60" t="s">
        <v>104</v>
      </c>
      <c r="C82" s="60" t="s">
        <v>105</v>
      </c>
      <c r="D82" s="61" t="n">
        <f aca="false">F73</f>
        <v>59</v>
      </c>
      <c r="E82" s="62"/>
      <c r="F82" s="63" t="n">
        <f aca="false">F74</f>
        <v>1</v>
      </c>
      <c r="G82" s="62"/>
      <c r="H82" s="63" t="n">
        <f aca="false">F76</f>
        <v>47</v>
      </c>
      <c r="I82" s="61"/>
      <c r="J82" s="62"/>
      <c r="K82" s="65" t="n">
        <f aca="false">H82/D82*100</f>
        <v>79.6610169491525</v>
      </c>
      <c r="L82" s="58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4"/>
    </row>
    <row r="83" customFormat="false" ht="60.75" hidden="false" customHeight="true" outlineLevel="0" collapsed="false">
      <c r="A83" s="59" t="n">
        <v>4</v>
      </c>
      <c r="B83" s="60" t="s">
        <v>106</v>
      </c>
      <c r="C83" s="60" t="s">
        <v>107</v>
      </c>
      <c r="D83" s="61" t="n">
        <f aca="false">G73</f>
        <v>54</v>
      </c>
      <c r="E83" s="62"/>
      <c r="F83" s="66" t="n">
        <f aca="false">G74</f>
        <v>6</v>
      </c>
      <c r="G83" s="67"/>
      <c r="H83" s="63" t="n">
        <f aca="false">G76</f>
        <v>39</v>
      </c>
      <c r="I83" s="61"/>
      <c r="J83" s="62"/>
      <c r="K83" s="65" t="n">
        <f aca="false">H83/D83*100</f>
        <v>72.2222222222222</v>
      </c>
      <c r="L83" s="58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4"/>
    </row>
    <row r="84" customFormat="false" ht="60.75" hidden="false" customHeight="true" outlineLevel="0" collapsed="false">
      <c r="A84" s="59" t="n">
        <v>5</v>
      </c>
      <c r="B84" s="60" t="s">
        <v>108</v>
      </c>
      <c r="C84" s="60" t="s">
        <v>109</v>
      </c>
      <c r="D84" s="61" t="n">
        <f aca="false">H73</f>
        <v>55</v>
      </c>
      <c r="E84" s="61"/>
      <c r="F84" s="63" t="n">
        <f aca="false">H74</f>
        <v>5</v>
      </c>
      <c r="G84" s="62"/>
      <c r="H84" s="63" t="n">
        <f aca="false">H76</f>
        <v>14</v>
      </c>
      <c r="I84" s="61"/>
      <c r="J84" s="62"/>
      <c r="K84" s="65" t="n">
        <f aca="false">H84/D84*100</f>
        <v>25.4545454545455</v>
      </c>
      <c r="L84" s="68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4"/>
    </row>
    <row r="85" customFormat="false" ht="62.25" hidden="false" customHeight="true" outlineLevel="0" collapsed="false">
      <c r="A85" s="46" t="n">
        <v>6</v>
      </c>
      <c r="B85" s="60" t="s">
        <v>110</v>
      </c>
      <c r="C85" s="60" t="s">
        <v>111</v>
      </c>
      <c r="D85" s="61" t="n">
        <f aca="false">I73</f>
        <v>57</v>
      </c>
      <c r="E85" s="62"/>
      <c r="F85" s="63" t="n">
        <f aca="false">I74</f>
        <v>3</v>
      </c>
      <c r="G85" s="62"/>
      <c r="H85" s="63" t="n">
        <f aca="false">I76</f>
        <v>41</v>
      </c>
      <c r="I85" s="61"/>
      <c r="J85" s="61"/>
      <c r="K85" s="65" t="n">
        <f aca="false">H85/D85*100</f>
        <v>71.9298245614035</v>
      </c>
      <c r="L85" s="68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4"/>
    </row>
    <row r="86" customFormat="false" ht="15.75" hidden="false" customHeight="true" outlineLevel="0" collapsed="false">
      <c r="A86" s="2"/>
      <c r="B86" s="69"/>
      <c r="C86" s="70"/>
      <c r="D86" s="69"/>
      <c r="E86" s="69"/>
      <c r="F86" s="69"/>
      <c r="G86" s="69"/>
      <c r="H86" s="69"/>
      <c r="I86" s="69"/>
      <c r="J86" s="69"/>
      <c r="K86" s="1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4"/>
    </row>
    <row r="87" customFormat="false" ht="15.75" hidden="false" customHeight="true" outlineLevel="0" collapsed="false">
      <c r="A87" s="2"/>
      <c r="B87" s="69"/>
      <c r="C87" s="70"/>
      <c r="D87" s="69"/>
      <c r="E87" s="69"/>
      <c r="F87" s="69"/>
      <c r="G87" s="69"/>
      <c r="H87" s="69"/>
      <c r="I87" s="69"/>
      <c r="J87" s="6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4"/>
    </row>
    <row r="88" customFormat="false" ht="15.75" hidden="false" customHeight="true" outlineLevel="0" collapsed="false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4"/>
    </row>
    <row r="89" customFormat="false" ht="15.75" hidden="false" customHeight="true" outlineLevel="0" collapsed="false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4"/>
    </row>
    <row r="90" customFormat="false" ht="15.75" hidden="false" customHeight="true" outlineLevel="0" collapsed="false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4"/>
    </row>
    <row r="91" customFormat="false" ht="15.75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4"/>
    </row>
    <row r="92" customFormat="false" ht="15.75" hidden="false" customHeight="true" outlineLevel="0" collapsed="false">
      <c r="A92" s="2"/>
      <c r="B92" s="2"/>
      <c r="C92" s="3"/>
      <c r="D92" s="2"/>
      <c r="E92" s="2"/>
      <c r="F92" s="7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4"/>
    </row>
    <row r="93" customFormat="false" ht="15.75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4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4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4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4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4"/>
    </row>
    <row r="98" customFormat="false" ht="15.75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4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4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4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4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4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4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4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4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4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4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4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4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4"/>
    </row>
    <row r="111" customFormat="false" ht="15.75" hidden="false" customHeight="true" outlineLevel="0" collapsed="false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4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4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4"/>
    </row>
    <row r="114" customFormat="false" ht="15.75" hidden="false" customHeight="true" outlineLevel="0" collapsed="false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4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4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4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4"/>
    </row>
    <row r="118" customFormat="false" ht="15.75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4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4"/>
    </row>
    <row r="120" customFormat="false" ht="15.75" hidden="false" customHeight="true" outlineLevel="0" collapsed="false">
      <c r="A120" s="2"/>
      <c r="B120" s="72"/>
      <c r="C120" s="72"/>
      <c r="D120" s="2"/>
      <c r="E120" s="73"/>
      <c r="F120" s="73"/>
      <c r="G120" s="73"/>
      <c r="H120" s="7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4"/>
    </row>
    <row r="121" customFormat="false" ht="15.75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4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4"/>
    </row>
    <row r="123" customFormat="false" ht="15.75" hidden="false" customHeight="true" outlineLevel="0" collapsed="false">
      <c r="A123" s="2"/>
      <c r="B123" s="72" t="s">
        <v>112</v>
      </c>
      <c r="C123" s="72"/>
      <c r="D123" s="2"/>
      <c r="E123" s="73" t="s">
        <v>113</v>
      </c>
      <c r="F123" s="73"/>
      <c r="G123" s="73"/>
      <c r="H123" s="73" t="s">
        <v>114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4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4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4"/>
    </row>
    <row r="126" customFormat="false" ht="15.75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4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4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4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4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4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4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4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4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4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4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4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4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4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4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4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4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4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4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4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4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4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4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4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4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4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4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4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4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4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4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4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4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4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4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4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4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4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4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4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4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4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4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4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4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4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4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4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4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4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4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4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4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4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4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4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4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4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4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4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4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4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4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4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4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4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4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4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4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4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4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4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4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4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4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4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4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4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4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4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4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4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4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4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4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4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4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4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4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4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4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4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4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4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4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4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4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4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4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4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4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4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4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4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4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4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4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4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4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4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4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4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4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4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4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4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4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4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4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4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4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4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4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4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4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4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4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4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4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4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4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4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4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4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4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4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4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4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4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4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4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4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4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4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4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4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4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4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4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4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4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4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4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4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4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4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4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4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4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4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4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4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4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4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4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4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4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4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4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4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4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4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4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4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4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4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4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4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4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4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4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4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4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4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4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4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4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4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4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4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4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4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4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4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4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4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4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4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.7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5.7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5.7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customFormat="false" ht="15.7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customFormat="false" ht="15.7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customFormat="false" ht="15.7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customFormat="false" ht="15.7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17">
    <mergeCell ref="A7:J7"/>
    <mergeCell ref="A9:A10"/>
    <mergeCell ref="B9:B10"/>
    <mergeCell ref="C9:C10"/>
    <mergeCell ref="J9:J10"/>
    <mergeCell ref="K9:K10"/>
    <mergeCell ref="L9:L10"/>
    <mergeCell ref="A72:C72"/>
    <mergeCell ref="L72:L78"/>
    <mergeCell ref="A73:C73"/>
    <mergeCell ref="A74:C74"/>
    <mergeCell ref="A75:C75"/>
    <mergeCell ref="A76:C76"/>
    <mergeCell ref="A77:C77"/>
    <mergeCell ref="A78:C78"/>
    <mergeCell ref="B120:C120"/>
    <mergeCell ref="B123:C123"/>
  </mergeCells>
  <conditionalFormatting sqref="I11:J70 J72:J74 J76:J78">
    <cfRule type="cellIs" priority="2" operator="lessThan" aboveAverage="0" equalAverage="0" bottom="0" percent="0" rank="0" text="" dxfId="2">
      <formula>50</formula>
    </cfRule>
  </conditionalFormatting>
  <conditionalFormatting sqref="I11:J70 J72:J74 J76:J78">
    <cfRule type="cellIs" priority="3" operator="equal" aboveAverage="0" equalAverage="0" bottom="0" percent="0" rank="0" text="" dxfId="2">
      <formula>"AB"</formula>
    </cfRule>
  </conditionalFormatting>
  <hyperlinks>
    <hyperlink ref="A9" r:id="rId1" display="S.NO"/>
  </hyperlinks>
  <printOptions headings="false" gridLines="true" gridLinesSet="true" horizontalCentered="true" verticalCentered="false"/>
  <pageMargins left="0.317361111111111" right="0.267361111111111" top="0.434027777777778" bottom="0.618055555555556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1.38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7" min="6" style="0" width="14"/>
    <col collapsed="false" customWidth="true" hidden="false" outlineLevel="0" max="9" min="8" style="0" width="13.88"/>
    <col collapsed="false" customWidth="true" hidden="false" outlineLevel="0" max="10" min="10" style="0" width="16.12"/>
    <col collapsed="false" customWidth="true" hidden="false" outlineLevel="0" max="13" min="13" style="0" width="0.38"/>
  </cols>
  <sheetData>
    <row r="1" customFormat="false" ht="15.75" hidden="false" customHeight="true" outlineLevel="0" collapsed="false">
      <c r="A1" s="74"/>
      <c r="B1" s="74"/>
      <c r="C1" s="75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customFormat="false" ht="15.75" hidden="false" customHeight="true" outlineLevel="0" collapsed="false">
      <c r="A2" s="74"/>
      <c r="B2" s="74"/>
      <c r="C2" s="75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customFormat="false" ht="15.75" hidden="false" customHeight="true" outlineLevel="0" collapsed="false">
      <c r="A3" s="74"/>
      <c r="B3" s="74"/>
      <c r="C3" s="75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customFormat="false" ht="15.75" hidden="false" customHeight="true" outlineLevel="0" collapsed="false">
      <c r="A4" s="74"/>
      <c r="B4" s="74"/>
      <c r="C4" s="75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customFormat="false" ht="15.75" hidden="false" customHeight="true" outlineLevel="0" collapsed="false">
      <c r="A5" s="74"/>
      <c r="B5" s="74"/>
      <c r="C5" s="75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customFormat="false" ht="15.75" hidden="false" customHeight="true" outlineLevel="0" collapsed="false">
      <c r="A6" s="74"/>
      <c r="B6" s="74"/>
      <c r="C6" s="75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customFormat="false" ht="15.75" hidden="false" customHeight="true" outlineLevel="0" collapsed="false">
      <c r="A7" s="76" t="s">
        <v>1</v>
      </c>
      <c r="B7" s="76"/>
      <c r="C7" s="76"/>
      <c r="D7" s="76"/>
      <c r="E7" s="76"/>
      <c r="F7" s="76"/>
      <c r="G7" s="76"/>
      <c r="H7" s="76"/>
      <c r="I7" s="76"/>
      <c r="J7" s="76"/>
      <c r="K7" s="77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customFormat="false" ht="15.75" hidden="false" customHeight="true" outlineLevel="0" collapsed="false">
      <c r="A8" s="78" t="s">
        <v>115</v>
      </c>
      <c r="B8" s="78" t="s">
        <v>116</v>
      </c>
      <c r="C8" s="79"/>
      <c r="D8" s="80"/>
      <c r="E8" s="81" t="s">
        <v>3</v>
      </c>
      <c r="F8" s="82"/>
      <c r="G8" s="82"/>
      <c r="H8" s="82"/>
      <c r="I8" s="82" t="s">
        <v>117</v>
      </c>
      <c r="J8" s="82" t="s">
        <v>118</v>
      </c>
      <c r="K8" s="80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customFormat="false" ht="21.75" hidden="false" customHeight="true" outlineLevel="0" collapsed="false">
      <c r="A9" s="83" t="s">
        <v>119</v>
      </c>
      <c r="B9" s="83" t="s">
        <v>7</v>
      </c>
      <c r="C9" s="84" t="s">
        <v>8</v>
      </c>
      <c r="D9" s="17" t="s">
        <v>120</v>
      </c>
      <c r="E9" s="17" t="s">
        <v>121</v>
      </c>
      <c r="F9" s="17" t="s">
        <v>122</v>
      </c>
      <c r="G9" s="17" t="s">
        <v>123</v>
      </c>
      <c r="H9" s="17" t="s">
        <v>124</v>
      </c>
      <c r="I9" s="17" t="s">
        <v>125</v>
      </c>
      <c r="J9" s="85" t="s">
        <v>126</v>
      </c>
      <c r="K9" s="85" t="s">
        <v>10</v>
      </c>
      <c r="L9" s="86" t="s">
        <v>11</v>
      </c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customFormat="false" ht="60" hidden="false" customHeight="true" outlineLevel="0" collapsed="false">
      <c r="A10" s="83"/>
      <c r="B10" s="83"/>
      <c r="C10" s="83"/>
      <c r="D10" s="87" t="s">
        <v>127</v>
      </c>
      <c r="E10" s="87" t="s">
        <v>128</v>
      </c>
      <c r="F10" s="87" t="s">
        <v>129</v>
      </c>
      <c r="G10" s="88" t="s">
        <v>130</v>
      </c>
      <c r="H10" s="87" t="s">
        <v>131</v>
      </c>
      <c r="I10" s="87" t="s">
        <v>132</v>
      </c>
      <c r="J10" s="85"/>
      <c r="K10" s="85"/>
      <c r="L10" s="85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customFormat="false" ht="24.75" hidden="false" customHeight="true" outlineLevel="0" collapsed="false">
      <c r="A11" s="89" t="n">
        <v>1</v>
      </c>
      <c r="B11" s="90" t="n">
        <v>511523205001</v>
      </c>
      <c r="C11" s="91" t="s">
        <v>133</v>
      </c>
      <c r="D11" s="92" t="s">
        <v>28</v>
      </c>
      <c r="E11" s="92" t="s">
        <v>28</v>
      </c>
      <c r="F11" s="92" t="s">
        <v>28</v>
      </c>
      <c r="G11" s="93" t="s">
        <v>28</v>
      </c>
      <c r="H11" s="92" t="s">
        <v>28</v>
      </c>
      <c r="I11" s="94" t="n">
        <v>18</v>
      </c>
      <c r="J11" s="93" t="n">
        <f aca="false">SUM(D11:I11)</f>
        <v>18</v>
      </c>
      <c r="K11" s="22" t="n">
        <f aca="false">COUNTIF(D11:I11,"&lt;=49")+COUNTIF(D11:I11,"AB")</f>
        <v>6</v>
      </c>
      <c r="L11" s="22" t="n">
        <f aca="false">COUNTIF(C11:J11,"AB")</f>
        <v>5</v>
      </c>
      <c r="M11" s="74" t="e">
        <f aca="false">(G11/25)*100</f>
        <v>#VALUE!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customFormat="false" ht="24.75" hidden="false" customHeight="true" outlineLevel="0" collapsed="false">
      <c r="A12" s="89" t="n">
        <v>2</v>
      </c>
      <c r="B12" s="95" t="n">
        <v>511523205002</v>
      </c>
      <c r="C12" s="96" t="s">
        <v>134</v>
      </c>
      <c r="D12" s="97" t="n">
        <v>80</v>
      </c>
      <c r="E12" s="93" t="n">
        <v>76</v>
      </c>
      <c r="F12" s="92" t="n">
        <v>52</v>
      </c>
      <c r="G12" s="92" t="s">
        <v>28</v>
      </c>
      <c r="H12" s="98" t="s">
        <v>21</v>
      </c>
      <c r="I12" s="92" t="s">
        <v>28</v>
      </c>
      <c r="J12" s="22" t="n">
        <f aca="false">SUM(D12:I12)</f>
        <v>208</v>
      </c>
      <c r="K12" s="22" t="n">
        <f aca="false">COUNTIF(D12:I12,"&lt;=49")+COUNTIF(D12:I12,"AB")</f>
        <v>3</v>
      </c>
      <c r="L12" s="22" t="n">
        <f aca="false">COUNTIF(E12:J12,"AB")</f>
        <v>3</v>
      </c>
      <c r="M12" s="74" t="e">
        <f aca="false">(G12/25)*100</f>
        <v>#VALUE!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customFormat="false" ht="24.75" hidden="false" customHeight="true" outlineLevel="0" collapsed="false">
      <c r="A13" s="89" t="n">
        <v>3</v>
      </c>
      <c r="B13" s="95" t="n">
        <v>511523205003</v>
      </c>
      <c r="C13" s="96" t="s">
        <v>135</v>
      </c>
      <c r="D13" s="97" t="n">
        <v>82</v>
      </c>
      <c r="E13" s="93" t="n">
        <v>86</v>
      </c>
      <c r="F13" s="92" t="n">
        <v>68</v>
      </c>
      <c r="G13" s="93" t="n">
        <v>72</v>
      </c>
      <c r="H13" s="93" t="s">
        <v>21</v>
      </c>
      <c r="I13" s="92" t="n">
        <v>62</v>
      </c>
      <c r="J13" s="22" t="n">
        <f aca="false">SUM(D13:I13)</f>
        <v>370</v>
      </c>
      <c r="K13" s="22" t="n">
        <f aca="false">COUNTIF(D13:I13,"&lt;=49")+COUNTIF(D13:I13,"AB")</f>
        <v>1</v>
      </c>
      <c r="L13" s="22" t="n">
        <f aca="false">COUNTIF(E13:J13,"AB")</f>
        <v>1</v>
      </c>
      <c r="M13" s="74" t="n">
        <f aca="false">(G13/25)*100</f>
        <v>288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customFormat="false" ht="24.75" hidden="false" customHeight="true" outlineLevel="0" collapsed="false">
      <c r="A14" s="89" t="n">
        <v>4</v>
      </c>
      <c r="B14" s="95" t="n">
        <v>511523205004</v>
      </c>
      <c r="C14" s="96" t="s">
        <v>136</v>
      </c>
      <c r="D14" s="97" t="n">
        <v>74</v>
      </c>
      <c r="E14" s="93" t="n">
        <v>82</v>
      </c>
      <c r="F14" s="92" t="n">
        <v>66</v>
      </c>
      <c r="G14" s="93" t="n">
        <v>72</v>
      </c>
      <c r="H14" s="93" t="n">
        <v>82</v>
      </c>
      <c r="I14" s="92" t="n">
        <v>68</v>
      </c>
      <c r="J14" s="22" t="n">
        <f aca="false">SUM(D14:I14)</f>
        <v>444</v>
      </c>
      <c r="K14" s="22" t="n">
        <f aca="false">COUNTIF(D14:I14,"&lt;=49")+COUNTIF(D14:I14,"AB")</f>
        <v>0</v>
      </c>
      <c r="L14" s="22" t="n">
        <f aca="false">COUNTIF(E14:J14,"AB")</f>
        <v>0</v>
      </c>
      <c r="M14" s="74" t="n">
        <f aca="false">(G55/25)*100</f>
        <v>208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customFormat="false" ht="24.75" hidden="false" customHeight="true" outlineLevel="0" collapsed="false">
      <c r="A15" s="89" t="n">
        <v>5</v>
      </c>
      <c r="B15" s="95" t="n">
        <v>511523205005</v>
      </c>
      <c r="C15" s="96" t="s">
        <v>137</v>
      </c>
      <c r="D15" s="97" t="n">
        <v>54</v>
      </c>
      <c r="E15" s="93" t="n">
        <v>78</v>
      </c>
      <c r="F15" s="92" t="n">
        <v>52</v>
      </c>
      <c r="G15" s="93" t="n">
        <v>38</v>
      </c>
      <c r="H15" s="98" t="n">
        <v>36</v>
      </c>
      <c r="I15" s="92" t="n">
        <v>38</v>
      </c>
      <c r="J15" s="22" t="n">
        <f aca="false">SUM(D15:I15)</f>
        <v>296</v>
      </c>
      <c r="K15" s="22" t="n">
        <f aca="false">COUNTIF(D15:I15,"&lt;=49")+COUNTIF(D15:I15,"AB")</f>
        <v>3</v>
      </c>
      <c r="L15" s="22" t="n">
        <f aca="false">COUNTIF(E15:J15,"AB")</f>
        <v>0</v>
      </c>
      <c r="M15" s="74" t="n">
        <f aca="false">(G15/25)*100</f>
        <v>152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customFormat="false" ht="24.75" hidden="false" customHeight="true" outlineLevel="0" collapsed="false">
      <c r="A16" s="89" t="n">
        <v>6</v>
      </c>
      <c r="B16" s="95" t="n">
        <v>511523205006</v>
      </c>
      <c r="C16" s="96" t="s">
        <v>138</v>
      </c>
      <c r="D16" s="97" t="n">
        <v>88</v>
      </c>
      <c r="E16" s="93" t="n">
        <v>84</v>
      </c>
      <c r="F16" s="92" t="s">
        <v>28</v>
      </c>
      <c r="G16" s="92" t="s">
        <v>28</v>
      </c>
      <c r="H16" s="93" t="n">
        <v>52</v>
      </c>
      <c r="I16" s="92" t="n">
        <v>50</v>
      </c>
      <c r="J16" s="22" t="n">
        <f aca="false">SUM(D16:I16)</f>
        <v>274</v>
      </c>
      <c r="K16" s="22" t="n">
        <f aca="false">COUNTIF(D16:I16,"&lt;=49")+COUNTIF(D16:I16,"AB")</f>
        <v>2</v>
      </c>
      <c r="L16" s="22" t="n">
        <f aca="false">COUNTIF(E16:J16,"AB")</f>
        <v>2</v>
      </c>
      <c r="M16" s="74" t="e">
        <f aca="false">(G16/25)*100</f>
        <v>#VALUE!</v>
      </c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customFormat="false" ht="24.75" hidden="false" customHeight="true" outlineLevel="0" collapsed="false">
      <c r="A17" s="89" t="n">
        <v>7</v>
      </c>
      <c r="B17" s="95" t="n">
        <v>511523205007</v>
      </c>
      <c r="C17" s="96" t="s">
        <v>139</v>
      </c>
      <c r="D17" s="97" t="n">
        <v>50</v>
      </c>
      <c r="E17" s="93" t="n">
        <v>58</v>
      </c>
      <c r="F17" s="92" t="n">
        <v>32</v>
      </c>
      <c r="G17" s="93" t="n">
        <v>50</v>
      </c>
      <c r="H17" s="98" t="n">
        <v>20</v>
      </c>
      <c r="I17" s="92" t="n">
        <v>38</v>
      </c>
      <c r="J17" s="22" t="n">
        <f aca="false">SUM(D17:I17)</f>
        <v>248</v>
      </c>
      <c r="K17" s="22" t="n">
        <f aca="false">COUNTIF(D17:I17,"&lt;=49")+COUNTIF(D17:I17,"AB")</f>
        <v>3</v>
      </c>
      <c r="L17" s="22" t="n">
        <f aca="false">COUNTIF(E17:J17,"AB")</f>
        <v>0</v>
      </c>
      <c r="M17" s="74" t="n">
        <f aca="false">(G17/25)*100</f>
        <v>200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customFormat="false" ht="24.75" hidden="false" customHeight="true" outlineLevel="0" collapsed="false">
      <c r="A18" s="89" t="n">
        <v>8</v>
      </c>
      <c r="B18" s="95" t="n">
        <v>511523205008</v>
      </c>
      <c r="C18" s="96" t="s">
        <v>140</v>
      </c>
      <c r="D18" s="97" t="n">
        <v>50</v>
      </c>
      <c r="E18" s="93" t="n">
        <v>68</v>
      </c>
      <c r="F18" s="92" t="n">
        <v>0</v>
      </c>
      <c r="G18" s="93" t="n">
        <v>50</v>
      </c>
      <c r="H18" s="93" t="n">
        <v>12</v>
      </c>
      <c r="I18" s="92" t="n">
        <v>16</v>
      </c>
      <c r="J18" s="22" t="n">
        <f aca="false">SUM(D18:I18)</f>
        <v>196</v>
      </c>
      <c r="K18" s="22" t="n">
        <f aca="false">COUNTIF(D18:I18,"&lt;=49")+COUNTIF(D18:I18,"AB")</f>
        <v>3</v>
      </c>
      <c r="L18" s="22" t="n">
        <f aca="false">COUNTIF(E18:J18,"AB")</f>
        <v>0</v>
      </c>
      <c r="M18" s="74" t="n">
        <f aca="false">(G18/25)*100</f>
        <v>200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customFormat="false" ht="24.75" hidden="false" customHeight="true" outlineLevel="0" collapsed="false">
      <c r="A19" s="89" t="n">
        <v>9</v>
      </c>
      <c r="B19" s="95" t="n">
        <v>511523205009</v>
      </c>
      <c r="C19" s="96" t="s">
        <v>141</v>
      </c>
      <c r="D19" s="97" t="n">
        <v>74</v>
      </c>
      <c r="E19" s="93" t="n">
        <v>82</v>
      </c>
      <c r="F19" s="92" t="n">
        <v>16</v>
      </c>
      <c r="G19" s="93" t="n">
        <v>18</v>
      </c>
      <c r="H19" s="93" t="n">
        <v>16</v>
      </c>
      <c r="I19" s="92" t="n">
        <v>28</v>
      </c>
      <c r="J19" s="22" t="n">
        <f aca="false">SUM(D19:I19)</f>
        <v>234</v>
      </c>
      <c r="K19" s="22" t="n">
        <f aca="false">COUNTIF(D19:I19,"&lt;=49")+COUNTIF(D19:I19,"AB")</f>
        <v>4</v>
      </c>
      <c r="L19" s="22" t="n">
        <f aca="false">COUNTIF(E19:J19,"AB")</f>
        <v>0</v>
      </c>
      <c r="M19" s="74" t="n">
        <f aca="false">(G19/25)*100</f>
        <v>72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customFormat="false" ht="24.75" hidden="false" customHeight="true" outlineLevel="0" collapsed="false">
      <c r="A20" s="89" t="n">
        <v>10</v>
      </c>
      <c r="B20" s="95" t="n">
        <v>511523205010</v>
      </c>
      <c r="C20" s="96" t="s">
        <v>142</v>
      </c>
      <c r="D20" s="97" t="n">
        <v>76</v>
      </c>
      <c r="E20" s="93" t="n">
        <v>82</v>
      </c>
      <c r="F20" s="92" t="n">
        <v>62</v>
      </c>
      <c r="G20" s="93" t="n">
        <v>72</v>
      </c>
      <c r="H20" s="93" t="n">
        <v>72</v>
      </c>
      <c r="I20" s="92" t="n">
        <v>64</v>
      </c>
      <c r="J20" s="22" t="n">
        <f aca="false">SUM(D20:I20)</f>
        <v>428</v>
      </c>
      <c r="K20" s="22" t="n">
        <f aca="false">COUNTIF(D20:I20,"&lt;=49")+COUNTIF(D20:I20,"AB")</f>
        <v>0</v>
      </c>
      <c r="L20" s="22" t="n">
        <f aca="false">COUNTIF(E20:J20,"AB")</f>
        <v>0</v>
      </c>
      <c r="M20" s="74" t="n">
        <f aca="false">(G20/25)*100</f>
        <v>288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customFormat="false" ht="24.75" hidden="false" customHeight="true" outlineLevel="0" collapsed="false">
      <c r="A21" s="89" t="n">
        <v>11</v>
      </c>
      <c r="B21" s="95" t="n">
        <v>511523205011</v>
      </c>
      <c r="C21" s="96" t="s">
        <v>143</v>
      </c>
      <c r="D21" s="97" t="n">
        <v>72</v>
      </c>
      <c r="E21" s="93" t="n">
        <v>80</v>
      </c>
      <c r="F21" s="92" t="n">
        <v>70</v>
      </c>
      <c r="G21" s="93" t="n">
        <v>64</v>
      </c>
      <c r="H21" s="93" t="n">
        <v>50</v>
      </c>
      <c r="I21" s="92" t="n">
        <v>38</v>
      </c>
      <c r="J21" s="22" t="n">
        <f aca="false">SUM(D21:I21)</f>
        <v>374</v>
      </c>
      <c r="K21" s="22" t="n">
        <f aca="false">COUNTIF(D21:I21,"&lt;=49")+COUNTIF(D21:I21,"AB")</f>
        <v>1</v>
      </c>
      <c r="L21" s="22" t="n">
        <f aca="false">COUNTIF(E21:J21,"AB")</f>
        <v>0</v>
      </c>
      <c r="M21" s="74" t="n">
        <f aca="false">(G21/25)*100</f>
        <v>256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customFormat="false" ht="24.75" hidden="false" customHeight="true" outlineLevel="0" collapsed="false">
      <c r="A22" s="89" t="n">
        <v>12</v>
      </c>
      <c r="B22" s="95" t="n">
        <v>511523205012</v>
      </c>
      <c r="C22" s="96" t="s">
        <v>144</v>
      </c>
      <c r="D22" s="97" t="n">
        <v>72</v>
      </c>
      <c r="E22" s="93" t="n">
        <v>80</v>
      </c>
      <c r="F22" s="92" t="n">
        <v>66</v>
      </c>
      <c r="G22" s="93" t="n">
        <v>64</v>
      </c>
      <c r="H22" s="93" t="n">
        <v>70</v>
      </c>
      <c r="I22" s="92" t="n">
        <v>54</v>
      </c>
      <c r="J22" s="22" t="n">
        <f aca="false">SUM(D22:I22)</f>
        <v>406</v>
      </c>
      <c r="K22" s="22" t="n">
        <f aca="false">COUNTIF(D22:I22,"&lt;=49")+COUNTIF(D22:I22,"AB")</f>
        <v>0</v>
      </c>
      <c r="L22" s="22" t="n">
        <f aca="false">COUNTIF(E22:J22,"AB")</f>
        <v>0</v>
      </c>
      <c r="M22" s="74" t="n">
        <f aca="false">(G22/25)*100</f>
        <v>256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customFormat="false" ht="24.75" hidden="false" customHeight="true" outlineLevel="0" collapsed="false">
      <c r="A23" s="89" t="n">
        <v>13</v>
      </c>
      <c r="B23" s="95" t="n">
        <v>511523205013</v>
      </c>
      <c r="C23" s="96" t="s">
        <v>145</v>
      </c>
      <c r="D23" s="97" t="n">
        <v>62</v>
      </c>
      <c r="E23" s="93" t="n">
        <v>72</v>
      </c>
      <c r="F23" s="92" t="n">
        <v>52</v>
      </c>
      <c r="G23" s="93" t="n">
        <v>52</v>
      </c>
      <c r="H23" s="93" t="n">
        <v>66</v>
      </c>
      <c r="I23" s="92" t="n">
        <v>50</v>
      </c>
      <c r="J23" s="22" t="n">
        <f aca="false">SUM(D23:I23)</f>
        <v>354</v>
      </c>
      <c r="K23" s="22" t="n">
        <f aca="false">COUNTIF(D23:I23,"&lt;=49")+COUNTIF(D23:I23,"AB")</f>
        <v>0</v>
      </c>
      <c r="L23" s="22" t="n">
        <f aca="false">COUNTIF(E23:J23,"AB")</f>
        <v>0</v>
      </c>
      <c r="M23" s="74" t="n">
        <f aca="false">(G23/25)*100</f>
        <v>208</v>
      </c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customFormat="false" ht="24.75" hidden="false" customHeight="true" outlineLevel="0" collapsed="false">
      <c r="A24" s="89" t="n">
        <v>14</v>
      </c>
      <c r="B24" s="95" t="n">
        <v>511523205014</v>
      </c>
      <c r="C24" s="96" t="s">
        <v>146</v>
      </c>
      <c r="D24" s="97" t="n">
        <v>76</v>
      </c>
      <c r="E24" s="93" t="n">
        <v>86</v>
      </c>
      <c r="F24" s="92" t="n">
        <v>68</v>
      </c>
      <c r="G24" s="93" t="n">
        <v>62</v>
      </c>
      <c r="H24" s="93" t="n">
        <v>72</v>
      </c>
      <c r="I24" s="92" t="n">
        <v>58</v>
      </c>
      <c r="J24" s="22" t="n">
        <f aca="false">SUM(D24:I24)</f>
        <v>422</v>
      </c>
      <c r="K24" s="22" t="n">
        <f aca="false">COUNTIF(D24:I24,"&lt;=49")+COUNTIF(D24:I24,"AB")</f>
        <v>0</v>
      </c>
      <c r="L24" s="22" t="n">
        <f aca="false">COUNTIF(E24:J24,"AB")</f>
        <v>0</v>
      </c>
      <c r="M24" s="74" t="n">
        <f aca="false">(G24/25)*100</f>
        <v>248</v>
      </c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customFormat="false" ht="24.75" hidden="false" customHeight="true" outlineLevel="0" collapsed="false">
      <c r="A25" s="89" t="n">
        <v>15</v>
      </c>
      <c r="B25" s="95" t="n">
        <v>511523205015</v>
      </c>
      <c r="C25" s="96" t="s">
        <v>147</v>
      </c>
      <c r="D25" s="97" t="n">
        <v>80</v>
      </c>
      <c r="E25" s="93" t="n">
        <v>86</v>
      </c>
      <c r="F25" s="92" t="n">
        <v>72</v>
      </c>
      <c r="G25" s="93" t="n">
        <v>74</v>
      </c>
      <c r="H25" s="93" t="n">
        <v>86</v>
      </c>
      <c r="I25" s="92" t="n">
        <v>64</v>
      </c>
      <c r="J25" s="22" t="n">
        <f aca="false">SUM(D25:I25)</f>
        <v>462</v>
      </c>
      <c r="K25" s="22" t="n">
        <f aca="false">COUNTIF(D25:I25,"&lt;=49")+COUNTIF(D25:I25,"AB")</f>
        <v>0</v>
      </c>
      <c r="L25" s="22" t="n">
        <f aca="false">COUNTIF(E25:J25,"AB")</f>
        <v>0</v>
      </c>
      <c r="M25" s="74" t="n">
        <f aca="false">(G25/25)*100</f>
        <v>296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customFormat="false" ht="24.75" hidden="false" customHeight="true" outlineLevel="0" collapsed="false">
      <c r="A26" s="89" t="n">
        <v>16</v>
      </c>
      <c r="B26" s="95" t="n">
        <v>511523205016</v>
      </c>
      <c r="C26" s="96" t="s">
        <v>148</v>
      </c>
      <c r="D26" s="97" t="n">
        <v>62</v>
      </c>
      <c r="E26" s="93" t="n">
        <v>78</v>
      </c>
      <c r="F26" s="92" t="n">
        <v>60</v>
      </c>
      <c r="G26" s="93" t="n">
        <v>50</v>
      </c>
      <c r="H26" s="93" t="n">
        <v>22</v>
      </c>
      <c r="I26" s="92" t="n">
        <v>42</v>
      </c>
      <c r="J26" s="22" t="n">
        <f aca="false">SUM(D26:I26)</f>
        <v>314</v>
      </c>
      <c r="K26" s="22" t="n">
        <f aca="false">COUNTIF(D26:I26,"&lt;=49")+COUNTIF(D26:I26,"AB")</f>
        <v>2</v>
      </c>
      <c r="L26" s="22" t="n">
        <f aca="false">COUNTIF(E26:J26,"AB")</f>
        <v>0</v>
      </c>
      <c r="M26" s="74" t="n">
        <f aca="false">(G26/25)*100</f>
        <v>200</v>
      </c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customFormat="false" ht="24.75" hidden="false" customHeight="true" outlineLevel="0" collapsed="false">
      <c r="A27" s="89" t="n">
        <v>17</v>
      </c>
      <c r="B27" s="95" t="n">
        <v>511523205017</v>
      </c>
      <c r="C27" s="96" t="s">
        <v>149</v>
      </c>
      <c r="D27" s="97" t="n">
        <v>62</v>
      </c>
      <c r="E27" s="93" t="n">
        <v>76</v>
      </c>
      <c r="F27" s="92" t="n">
        <v>54</v>
      </c>
      <c r="G27" s="93" t="n">
        <v>56</v>
      </c>
      <c r="H27" s="93" t="n">
        <v>22</v>
      </c>
      <c r="I27" s="92" t="n">
        <v>48</v>
      </c>
      <c r="J27" s="22" t="n">
        <f aca="false">SUM(D27:I27)</f>
        <v>318</v>
      </c>
      <c r="K27" s="22" t="n">
        <f aca="false">COUNTIF(D27:I27,"&lt;=49")+COUNTIF(D27:I27,"AB")</f>
        <v>2</v>
      </c>
      <c r="L27" s="22" t="n">
        <f aca="false">COUNTIF(E27:J27,"AB")</f>
        <v>0</v>
      </c>
      <c r="M27" s="74" t="n">
        <f aca="false">(G27/25)*100</f>
        <v>224</v>
      </c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customFormat="false" ht="24.75" hidden="false" customHeight="true" outlineLevel="0" collapsed="false">
      <c r="A28" s="99" t="n">
        <v>18</v>
      </c>
      <c r="B28" s="100" t="n">
        <v>511523205018</v>
      </c>
      <c r="C28" s="101" t="s">
        <v>150</v>
      </c>
      <c r="D28" s="97" t="n">
        <v>80</v>
      </c>
      <c r="E28" s="93" t="n">
        <v>78</v>
      </c>
      <c r="F28" s="92" t="n">
        <v>66</v>
      </c>
      <c r="G28" s="93" t="n">
        <v>58</v>
      </c>
      <c r="H28" s="93" t="n">
        <v>58</v>
      </c>
      <c r="I28" s="92" t="n">
        <v>50</v>
      </c>
      <c r="J28" s="35" t="n">
        <f aca="false">SUM(D28:I28)</f>
        <v>390</v>
      </c>
      <c r="K28" s="22" t="n">
        <f aca="false">COUNTIF(D28:I28,"&lt;=49")+COUNTIF(D28:I28,"AB")</f>
        <v>0</v>
      </c>
      <c r="L28" s="22" t="n">
        <f aca="false">COUNTIF(E28:J28,"AB")</f>
        <v>0</v>
      </c>
      <c r="M28" s="74" t="n">
        <f aca="false">(G28/25)*100</f>
        <v>232</v>
      </c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customFormat="false" ht="24.75" hidden="false" customHeight="true" outlineLevel="0" collapsed="false">
      <c r="A29" s="89" t="n">
        <v>19</v>
      </c>
      <c r="B29" s="95" t="n">
        <v>511523205019</v>
      </c>
      <c r="C29" s="96" t="s">
        <v>151</v>
      </c>
      <c r="D29" s="97" t="n">
        <v>76</v>
      </c>
      <c r="E29" s="93" t="n">
        <v>80</v>
      </c>
      <c r="F29" s="92" t="n">
        <v>64</v>
      </c>
      <c r="G29" s="93" t="n">
        <v>58</v>
      </c>
      <c r="H29" s="93" t="n">
        <v>62</v>
      </c>
      <c r="I29" s="92" t="n">
        <v>46</v>
      </c>
      <c r="J29" s="22" t="n">
        <f aca="false">SUM(D29:I29)</f>
        <v>386</v>
      </c>
      <c r="K29" s="22" t="n">
        <f aca="false">COUNTIF(D29:I29,"&lt;=49")+COUNTIF(D29:I29,"AB")</f>
        <v>1</v>
      </c>
      <c r="L29" s="22" t="n">
        <f aca="false">COUNTIF(E29:J29,"AB")</f>
        <v>0</v>
      </c>
      <c r="M29" s="74" t="n">
        <f aca="false">(G29/25)*100</f>
        <v>232</v>
      </c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customFormat="false" ht="24.75" hidden="false" customHeight="true" outlineLevel="0" collapsed="false">
      <c r="A30" s="89" t="n">
        <v>20</v>
      </c>
      <c r="B30" s="95" t="n">
        <v>511523205020</v>
      </c>
      <c r="C30" s="96" t="s">
        <v>152</v>
      </c>
      <c r="D30" s="97" t="n">
        <v>52</v>
      </c>
      <c r="E30" s="93" t="n">
        <v>80</v>
      </c>
      <c r="F30" s="92" t="n">
        <v>58</v>
      </c>
      <c r="G30" s="93" t="n">
        <v>42</v>
      </c>
      <c r="H30" s="93" t="n">
        <v>28</v>
      </c>
      <c r="I30" s="92" t="n">
        <v>30</v>
      </c>
      <c r="J30" s="22" t="n">
        <f aca="false">SUM(D30:I30)</f>
        <v>290</v>
      </c>
      <c r="K30" s="22" t="n">
        <f aca="false">COUNTIF(D30:I30,"&lt;=49")+COUNTIF(D30:I30,"AB")</f>
        <v>3</v>
      </c>
      <c r="L30" s="22" t="n">
        <f aca="false">COUNTIF(E30:J30,"AB")</f>
        <v>0</v>
      </c>
      <c r="M30" s="74" t="n">
        <f aca="false">(G30/25)*100</f>
        <v>168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customFormat="false" ht="24.75" hidden="false" customHeight="true" outlineLevel="0" collapsed="false">
      <c r="A31" s="89" t="n">
        <v>21</v>
      </c>
      <c r="B31" s="95" t="n">
        <v>511523205021</v>
      </c>
      <c r="C31" s="96" t="s">
        <v>153</v>
      </c>
      <c r="D31" s="97" t="n">
        <v>74</v>
      </c>
      <c r="E31" s="93" t="n">
        <v>84</v>
      </c>
      <c r="F31" s="92" t="n">
        <v>78</v>
      </c>
      <c r="G31" s="93" t="n">
        <v>56</v>
      </c>
      <c r="H31" s="93" t="n">
        <v>74</v>
      </c>
      <c r="I31" s="92" t="n">
        <v>58</v>
      </c>
      <c r="J31" s="22" t="n">
        <f aca="false">SUM(D31:I31)</f>
        <v>424</v>
      </c>
      <c r="K31" s="22" t="n">
        <f aca="false">COUNTIF(D31:I31,"&lt;=49")+COUNTIF(D31:I31,"AB")</f>
        <v>0</v>
      </c>
      <c r="L31" s="22" t="n">
        <f aca="false">COUNTIF(E31:J31,"AB")</f>
        <v>0</v>
      </c>
      <c r="M31" s="74" t="n">
        <f aca="false">(G31/25)*100</f>
        <v>224</v>
      </c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customFormat="false" ht="24.75" hidden="false" customHeight="true" outlineLevel="0" collapsed="false">
      <c r="A32" s="89" t="n">
        <v>22</v>
      </c>
      <c r="B32" s="95" t="n">
        <v>511523205023</v>
      </c>
      <c r="C32" s="96" t="s">
        <v>154</v>
      </c>
      <c r="D32" s="97" t="n">
        <v>74</v>
      </c>
      <c r="E32" s="93" t="n">
        <v>86</v>
      </c>
      <c r="F32" s="92" t="n">
        <v>70</v>
      </c>
      <c r="G32" s="93" t="n">
        <v>70</v>
      </c>
      <c r="H32" s="93" t="n">
        <v>72</v>
      </c>
      <c r="I32" s="92" t="n">
        <v>52</v>
      </c>
      <c r="J32" s="22" t="n">
        <f aca="false">SUM(D32:I32)</f>
        <v>424</v>
      </c>
      <c r="K32" s="22" t="n">
        <f aca="false">COUNTIF(D32:I32,"&lt;=49")+COUNTIF(D32:I32,"AB")</f>
        <v>0</v>
      </c>
      <c r="L32" s="22" t="n">
        <f aca="false">COUNTIF(E32:J32,"AB")</f>
        <v>0</v>
      </c>
      <c r="M32" s="74" t="n">
        <f aca="false">(G32/25)*100</f>
        <v>280</v>
      </c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customFormat="false" ht="24.75" hidden="false" customHeight="true" outlineLevel="0" collapsed="false">
      <c r="A33" s="89" t="n">
        <v>23</v>
      </c>
      <c r="B33" s="95" t="n">
        <v>511523205025</v>
      </c>
      <c r="C33" s="96" t="s">
        <v>155</v>
      </c>
      <c r="D33" s="97" t="n">
        <v>66</v>
      </c>
      <c r="E33" s="93" t="n">
        <v>84</v>
      </c>
      <c r="F33" s="92" t="n">
        <v>60</v>
      </c>
      <c r="G33" s="93" t="n">
        <v>50</v>
      </c>
      <c r="H33" s="93" t="s">
        <v>21</v>
      </c>
      <c r="I33" s="92" t="n">
        <v>50</v>
      </c>
      <c r="J33" s="22" t="n">
        <f aca="false">SUM(D33:I33)</f>
        <v>310</v>
      </c>
      <c r="K33" s="22" t="n">
        <f aca="false">COUNTIF(D33:I33,"&lt;=49")+COUNTIF(D33:I33,"AB")</f>
        <v>1</v>
      </c>
      <c r="L33" s="22" t="n">
        <f aca="false">COUNTIF(E33:J33,"AB")</f>
        <v>1</v>
      </c>
      <c r="M33" s="74" t="n">
        <f aca="false">(G33/25)*100</f>
        <v>200</v>
      </c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customFormat="false" ht="24.75" hidden="false" customHeight="true" outlineLevel="0" collapsed="false">
      <c r="A34" s="89" t="n">
        <v>24</v>
      </c>
      <c r="B34" s="95" t="n">
        <v>511523205026</v>
      </c>
      <c r="C34" s="96" t="s">
        <v>156</v>
      </c>
      <c r="D34" s="97" t="n">
        <v>72</v>
      </c>
      <c r="E34" s="93" t="n">
        <v>84</v>
      </c>
      <c r="F34" s="92" t="n">
        <v>50</v>
      </c>
      <c r="G34" s="93" t="n">
        <v>60</v>
      </c>
      <c r="H34" s="93" t="n">
        <v>50</v>
      </c>
      <c r="I34" s="92" t="n">
        <v>38</v>
      </c>
      <c r="J34" s="22" t="n">
        <f aca="false">SUM(D34:I34)</f>
        <v>354</v>
      </c>
      <c r="K34" s="22" t="n">
        <f aca="false">COUNTIF(D34:I34,"&lt;=49")+COUNTIF(D34:I34,"AB")</f>
        <v>1</v>
      </c>
      <c r="L34" s="22" t="n">
        <f aca="false">COUNTIF(E34:J34,"AB")</f>
        <v>0</v>
      </c>
      <c r="M34" s="74" t="n">
        <f aca="false">(G34/25)*100</f>
        <v>240</v>
      </c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customFormat="false" ht="24.75" hidden="false" customHeight="true" outlineLevel="0" collapsed="false">
      <c r="A35" s="89" t="n">
        <v>25</v>
      </c>
      <c r="B35" s="95" t="n">
        <v>511523205027</v>
      </c>
      <c r="C35" s="96" t="s">
        <v>157</v>
      </c>
      <c r="D35" s="92" t="n">
        <v>32</v>
      </c>
      <c r="E35" s="93" t="n">
        <v>52</v>
      </c>
      <c r="F35" s="92" t="s">
        <v>28</v>
      </c>
      <c r="G35" s="93" t="n">
        <v>40</v>
      </c>
      <c r="H35" s="93" t="n">
        <v>10</v>
      </c>
      <c r="I35" s="92" t="n">
        <v>22</v>
      </c>
      <c r="J35" s="22" t="n">
        <f aca="false">SUM(D35:I35)</f>
        <v>156</v>
      </c>
      <c r="K35" s="22" t="n">
        <f aca="false">COUNTIF(D35:I35,"&lt;=49")+COUNTIF(D35:I35,"AB")</f>
        <v>5</v>
      </c>
      <c r="L35" s="22" t="n">
        <f aca="false">COUNTIF(E35:J35,"AB")</f>
        <v>1</v>
      </c>
      <c r="M35" s="74" t="n">
        <f aca="false">(G35/25)*100</f>
        <v>160</v>
      </c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customFormat="false" ht="24.75" hidden="false" customHeight="true" outlineLevel="0" collapsed="false">
      <c r="A36" s="89" t="n">
        <v>26</v>
      </c>
      <c r="B36" s="95" t="n">
        <v>511523205028</v>
      </c>
      <c r="C36" s="96" t="s">
        <v>158</v>
      </c>
      <c r="D36" s="97" t="n">
        <v>76</v>
      </c>
      <c r="E36" s="93" t="n">
        <v>86</v>
      </c>
      <c r="F36" s="93" t="n">
        <v>66</v>
      </c>
      <c r="G36" s="93" t="n">
        <v>66</v>
      </c>
      <c r="H36" s="93" t="n">
        <v>66</v>
      </c>
      <c r="I36" s="92" t="n">
        <v>58</v>
      </c>
      <c r="J36" s="22" t="n">
        <f aca="false">SUM(D36:I36)</f>
        <v>418</v>
      </c>
      <c r="K36" s="22" t="n">
        <f aca="false">COUNTIF(D36:I36,"&lt;=49")+COUNTIF(D36:I36,"AB")</f>
        <v>0</v>
      </c>
      <c r="L36" s="22" t="n">
        <f aca="false">COUNTIF(E36:J36,"AB")</f>
        <v>0</v>
      </c>
      <c r="M36" s="74" t="n">
        <f aca="false">(G36/25)*100</f>
        <v>264</v>
      </c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customFormat="false" ht="24.75" hidden="false" customHeight="true" outlineLevel="0" collapsed="false">
      <c r="A37" s="89" t="n">
        <v>27</v>
      </c>
      <c r="B37" s="95" t="n">
        <v>511523205029</v>
      </c>
      <c r="C37" s="96" t="s">
        <v>159</v>
      </c>
      <c r="D37" s="97" t="n">
        <v>68</v>
      </c>
      <c r="E37" s="93" t="n">
        <v>84</v>
      </c>
      <c r="F37" s="92" t="n">
        <v>70</v>
      </c>
      <c r="G37" s="93" t="n">
        <v>62</v>
      </c>
      <c r="H37" s="93" t="n">
        <v>50</v>
      </c>
      <c r="I37" s="92" t="n">
        <v>56</v>
      </c>
      <c r="J37" s="22" t="n">
        <f aca="false">SUM(D37:I37)</f>
        <v>390</v>
      </c>
      <c r="K37" s="22" t="n">
        <f aca="false">COUNTIF(D37:I37,"&lt;=49")+COUNTIF(D37:I37,"AB")</f>
        <v>0</v>
      </c>
      <c r="L37" s="22" t="n">
        <f aca="false">COUNTIF(E37:J37,"AB")</f>
        <v>0</v>
      </c>
      <c r="M37" s="74" t="n">
        <f aca="false">(G37/25)*100</f>
        <v>248</v>
      </c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customFormat="false" ht="24.75" hidden="false" customHeight="true" outlineLevel="0" collapsed="false">
      <c r="A38" s="89" t="n">
        <v>28</v>
      </c>
      <c r="B38" s="95" t="n">
        <v>511523205030</v>
      </c>
      <c r="C38" s="96" t="s">
        <v>160</v>
      </c>
      <c r="D38" s="97" t="n">
        <v>72</v>
      </c>
      <c r="E38" s="93" t="n">
        <v>82</v>
      </c>
      <c r="F38" s="92" t="n">
        <v>64</v>
      </c>
      <c r="G38" s="93" t="n">
        <v>62</v>
      </c>
      <c r="H38" s="93" t="n">
        <v>80</v>
      </c>
      <c r="I38" s="92" t="n">
        <v>56</v>
      </c>
      <c r="J38" s="22" t="n">
        <f aca="false">SUM(D38:I38)</f>
        <v>416</v>
      </c>
      <c r="K38" s="22" t="n">
        <f aca="false">COUNTIF(D38:I38,"&lt;=49")+COUNTIF(D38:I38,"AB")</f>
        <v>0</v>
      </c>
      <c r="L38" s="22" t="n">
        <f aca="false">COUNTIF(E38:J38,"AB")</f>
        <v>0</v>
      </c>
      <c r="M38" s="74" t="n">
        <f aca="false">(G38/25)*100</f>
        <v>248</v>
      </c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customFormat="false" ht="24.75" hidden="false" customHeight="true" outlineLevel="0" collapsed="false">
      <c r="A39" s="89" t="n">
        <v>29</v>
      </c>
      <c r="B39" s="95" t="n">
        <v>511523205031</v>
      </c>
      <c r="C39" s="96" t="s">
        <v>161</v>
      </c>
      <c r="D39" s="97" t="n">
        <v>54</v>
      </c>
      <c r="E39" s="93" t="n">
        <v>60</v>
      </c>
      <c r="F39" s="92" t="n">
        <v>40</v>
      </c>
      <c r="G39" s="93" t="n">
        <v>36</v>
      </c>
      <c r="H39" s="93" t="n">
        <v>40</v>
      </c>
      <c r="I39" s="92" t="n">
        <v>36</v>
      </c>
      <c r="J39" s="22" t="n">
        <f aca="false">SUM(D39:I39)</f>
        <v>266</v>
      </c>
      <c r="K39" s="22" t="n">
        <f aca="false">COUNTIF(D39:I39,"&lt;=49")+COUNTIF(D39:I39,"AB")</f>
        <v>4</v>
      </c>
      <c r="L39" s="22" t="n">
        <f aca="false">COUNTIF(E39:J39,"AB")</f>
        <v>0</v>
      </c>
      <c r="M39" s="74" t="n">
        <f aca="false">(G39/25)*100</f>
        <v>144</v>
      </c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customFormat="false" ht="24.75" hidden="false" customHeight="true" outlineLevel="0" collapsed="false">
      <c r="A40" s="89" t="n">
        <v>30</v>
      </c>
      <c r="B40" s="95" t="n">
        <v>511523205032</v>
      </c>
      <c r="C40" s="96" t="s">
        <v>162</v>
      </c>
      <c r="D40" s="97" t="n">
        <v>68</v>
      </c>
      <c r="E40" s="93" t="n">
        <v>86</v>
      </c>
      <c r="F40" s="92" t="n">
        <v>56</v>
      </c>
      <c r="G40" s="93" t="n">
        <v>62</v>
      </c>
      <c r="H40" s="93" t="n">
        <v>66</v>
      </c>
      <c r="I40" s="92" t="n">
        <v>54</v>
      </c>
      <c r="J40" s="22" t="n">
        <f aca="false">SUM(D40:I40)</f>
        <v>392</v>
      </c>
      <c r="K40" s="22" t="n">
        <f aca="false">COUNTIF(D40:I40,"&lt;=49")+COUNTIF(D40:I40,"AB")</f>
        <v>0</v>
      </c>
      <c r="L40" s="22" t="n">
        <f aca="false">COUNTIF(E40:J40,"AB")</f>
        <v>0</v>
      </c>
      <c r="M40" s="74" t="n">
        <f aca="false">(G40/25)*100</f>
        <v>248</v>
      </c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customFormat="false" ht="24.75" hidden="false" customHeight="true" outlineLevel="0" collapsed="false">
      <c r="A41" s="89" t="n">
        <v>31</v>
      </c>
      <c r="B41" s="95" t="n">
        <v>511523205033</v>
      </c>
      <c r="C41" s="96" t="s">
        <v>163</v>
      </c>
      <c r="D41" s="97" t="n">
        <v>72</v>
      </c>
      <c r="E41" s="93" t="n">
        <v>86</v>
      </c>
      <c r="F41" s="92" t="n">
        <v>72</v>
      </c>
      <c r="G41" s="93" t="n">
        <v>68</v>
      </c>
      <c r="H41" s="93" t="n">
        <v>60</v>
      </c>
      <c r="I41" s="92" t="n">
        <v>50</v>
      </c>
      <c r="J41" s="22" t="n">
        <f aca="false">SUM(D41:I41)</f>
        <v>408</v>
      </c>
      <c r="K41" s="22" t="n">
        <f aca="false">COUNTIF(D41:I41,"&lt;=49")+COUNTIF(D41:I41,"AB")</f>
        <v>0</v>
      </c>
      <c r="L41" s="22" t="n">
        <f aca="false">COUNTIF(E41:J41,"AB")</f>
        <v>0</v>
      </c>
      <c r="M41" s="74" t="n">
        <f aca="false">(G41/25)*100</f>
        <v>272</v>
      </c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customFormat="false" ht="24.75" hidden="false" customHeight="true" outlineLevel="0" collapsed="false">
      <c r="A42" s="89" t="n">
        <v>32</v>
      </c>
      <c r="B42" s="95" t="n">
        <v>511523205034</v>
      </c>
      <c r="C42" s="96" t="s">
        <v>164</v>
      </c>
      <c r="D42" s="97" t="n">
        <v>78</v>
      </c>
      <c r="E42" s="93" t="n">
        <v>86</v>
      </c>
      <c r="F42" s="92" t="n">
        <v>74</v>
      </c>
      <c r="G42" s="93" t="n">
        <v>68</v>
      </c>
      <c r="H42" s="93" t="n">
        <v>66</v>
      </c>
      <c r="I42" s="92" t="n">
        <v>56</v>
      </c>
      <c r="J42" s="22" t="n">
        <f aca="false">SUM(D42:I42)</f>
        <v>428</v>
      </c>
      <c r="K42" s="22" t="n">
        <f aca="false">COUNTIF(D42:I42,"&lt;=49")+COUNTIF(D42:I42,"AB")</f>
        <v>0</v>
      </c>
      <c r="L42" s="22" t="n">
        <f aca="false">COUNTIF(E42:J42,"AB")</f>
        <v>0</v>
      </c>
      <c r="M42" s="74" t="n">
        <f aca="false">(G42/25)*100</f>
        <v>272</v>
      </c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customFormat="false" ht="24.75" hidden="false" customHeight="true" outlineLevel="0" collapsed="false">
      <c r="A43" s="89" t="n">
        <v>33</v>
      </c>
      <c r="B43" s="95" t="n">
        <v>511523205035</v>
      </c>
      <c r="C43" s="96" t="s">
        <v>165</v>
      </c>
      <c r="D43" s="92" t="s">
        <v>28</v>
      </c>
      <c r="E43" s="93" t="n">
        <v>76</v>
      </c>
      <c r="F43" s="92" t="n">
        <v>32</v>
      </c>
      <c r="G43" s="93" t="n">
        <v>36</v>
      </c>
      <c r="H43" s="93" t="n">
        <v>50</v>
      </c>
      <c r="I43" s="92" t="n">
        <v>30</v>
      </c>
      <c r="J43" s="22" t="n">
        <f aca="false">SUM(D43:I43)</f>
        <v>224</v>
      </c>
      <c r="K43" s="22" t="n">
        <f aca="false">COUNTIF(D43:I43,"&lt;=49")+COUNTIF(D43:I43,"AB")</f>
        <v>4</v>
      </c>
      <c r="L43" s="22" t="n">
        <f aca="false">COUNTIF(E43:J43,"AB")</f>
        <v>0</v>
      </c>
      <c r="M43" s="74" t="n">
        <f aca="false">(G43/25)*100</f>
        <v>144</v>
      </c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customFormat="false" ht="24.75" hidden="false" customHeight="true" outlineLevel="0" collapsed="false">
      <c r="A44" s="89" t="n">
        <v>34</v>
      </c>
      <c r="B44" s="95" t="n">
        <v>511523205036</v>
      </c>
      <c r="C44" s="96" t="s">
        <v>166</v>
      </c>
      <c r="D44" s="97" t="n">
        <v>50</v>
      </c>
      <c r="E44" s="93" t="n">
        <v>66</v>
      </c>
      <c r="F44" s="92" t="n">
        <v>50</v>
      </c>
      <c r="G44" s="93" t="n">
        <v>38</v>
      </c>
      <c r="H44" s="93" t="n">
        <v>24</v>
      </c>
      <c r="I44" s="92" t="s">
        <v>28</v>
      </c>
      <c r="J44" s="22" t="n">
        <f aca="false">SUM(D44:I44)</f>
        <v>228</v>
      </c>
      <c r="K44" s="22" t="n">
        <f aca="false">COUNTIF(D44:I44,"&lt;=49")+COUNTIF(D44:I44,"AB")</f>
        <v>3</v>
      </c>
      <c r="L44" s="22" t="n">
        <f aca="false">COUNTIF(E44:J44,"AB")</f>
        <v>1</v>
      </c>
      <c r="M44" s="74" t="n">
        <f aca="false">(G44/25)*100</f>
        <v>152</v>
      </c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customFormat="false" ht="24.75" hidden="false" customHeight="true" outlineLevel="0" collapsed="false">
      <c r="A45" s="89" t="n">
        <v>35</v>
      </c>
      <c r="B45" s="95" t="n">
        <v>511523205037</v>
      </c>
      <c r="C45" s="96" t="s">
        <v>167</v>
      </c>
      <c r="D45" s="97" t="n">
        <v>60</v>
      </c>
      <c r="E45" s="93" t="n">
        <v>76</v>
      </c>
      <c r="F45" s="92" t="n">
        <v>58</v>
      </c>
      <c r="G45" s="93" t="n">
        <v>58</v>
      </c>
      <c r="H45" s="93" t="n">
        <v>52</v>
      </c>
      <c r="I45" s="92" t="n">
        <v>50</v>
      </c>
      <c r="J45" s="22" t="n">
        <f aca="false">SUM(D45:I45)</f>
        <v>354</v>
      </c>
      <c r="K45" s="22" t="n">
        <f aca="false">COUNTIF(D45:I45,"&lt;=49")+COUNTIF(D45:I45,"AB")</f>
        <v>0</v>
      </c>
      <c r="L45" s="22" t="n">
        <f aca="false">COUNTIF(E45:J45,"AB")</f>
        <v>0</v>
      </c>
      <c r="M45" s="74" t="n">
        <f aca="false">(G45/25)*100</f>
        <v>232</v>
      </c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customFormat="false" ht="24.75" hidden="false" customHeight="true" outlineLevel="0" collapsed="false">
      <c r="A46" s="89" t="n">
        <v>36</v>
      </c>
      <c r="B46" s="95" t="n">
        <v>511523205038</v>
      </c>
      <c r="C46" s="96" t="s">
        <v>168</v>
      </c>
      <c r="D46" s="97" t="n">
        <v>80</v>
      </c>
      <c r="E46" s="93" t="n">
        <v>88</v>
      </c>
      <c r="F46" s="92" t="n">
        <v>74</v>
      </c>
      <c r="G46" s="93" t="n">
        <v>92</v>
      </c>
      <c r="H46" s="93" t="n">
        <v>78</v>
      </c>
      <c r="I46" s="92" t="n">
        <v>64</v>
      </c>
      <c r="J46" s="22" t="n">
        <f aca="false">SUM(D46:I46)</f>
        <v>476</v>
      </c>
      <c r="K46" s="22" t="n">
        <f aca="false">COUNTIF(D46:I46,"&lt;=49")+COUNTIF(D46:I46,"AB")</f>
        <v>0</v>
      </c>
      <c r="L46" s="22" t="n">
        <f aca="false">COUNTIF(E46:J46,"AB")</f>
        <v>0</v>
      </c>
      <c r="M46" s="74" t="n">
        <f aca="false">(G46/25)*100</f>
        <v>368</v>
      </c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customFormat="false" ht="24.75" hidden="false" customHeight="true" outlineLevel="0" collapsed="false">
      <c r="A47" s="89" t="n">
        <v>37</v>
      </c>
      <c r="B47" s="95" t="n">
        <v>511523205039</v>
      </c>
      <c r="C47" s="96" t="s">
        <v>169</v>
      </c>
      <c r="D47" s="97" t="n">
        <v>80</v>
      </c>
      <c r="E47" s="93" t="n">
        <v>88</v>
      </c>
      <c r="F47" s="92" t="n">
        <v>70</v>
      </c>
      <c r="G47" s="93" t="n">
        <v>66</v>
      </c>
      <c r="H47" s="93" t="n">
        <v>56</v>
      </c>
      <c r="I47" s="92" t="n">
        <v>58</v>
      </c>
      <c r="J47" s="22" t="n">
        <f aca="false">SUM(D47:I47)</f>
        <v>418</v>
      </c>
      <c r="K47" s="22" t="n">
        <f aca="false">COUNTIF(D47:I47,"&lt;=49")+COUNTIF(D47:I47,"AB")</f>
        <v>0</v>
      </c>
      <c r="L47" s="22" t="n">
        <f aca="false">COUNTIF(E47:J47,"AB")</f>
        <v>0</v>
      </c>
      <c r="M47" s="74" t="n">
        <f aca="false">(G47/25)*100</f>
        <v>264</v>
      </c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customFormat="false" ht="24.75" hidden="false" customHeight="true" outlineLevel="0" collapsed="false">
      <c r="A48" s="89" t="n">
        <v>38</v>
      </c>
      <c r="B48" s="95" t="n">
        <v>511523205040</v>
      </c>
      <c r="C48" s="96" t="s">
        <v>170</v>
      </c>
      <c r="D48" s="97" t="n">
        <v>68</v>
      </c>
      <c r="E48" s="93" t="n">
        <v>80</v>
      </c>
      <c r="F48" s="92" t="n">
        <v>52</v>
      </c>
      <c r="G48" s="93" t="n">
        <v>34</v>
      </c>
      <c r="H48" s="93" t="n">
        <v>52</v>
      </c>
      <c r="I48" s="92" t="n">
        <v>50</v>
      </c>
      <c r="J48" s="22" t="n">
        <f aca="false">SUM(D48:I48)</f>
        <v>336</v>
      </c>
      <c r="K48" s="22" t="n">
        <f aca="false">COUNTIF(D48:I48,"&lt;=49")+COUNTIF(D48:I48,"AB")</f>
        <v>1</v>
      </c>
      <c r="L48" s="22" t="n">
        <f aca="false">COUNTIF(E48:J48,"AB")</f>
        <v>0</v>
      </c>
      <c r="M48" s="74" t="n">
        <f aca="false">(G48/25)*100</f>
        <v>136</v>
      </c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customFormat="false" ht="24.75" hidden="false" customHeight="true" outlineLevel="0" collapsed="false">
      <c r="A49" s="89" t="n">
        <v>39</v>
      </c>
      <c r="B49" s="95" t="n">
        <v>511523205041</v>
      </c>
      <c r="C49" s="96" t="s">
        <v>171</v>
      </c>
      <c r="D49" s="97" t="n">
        <v>68</v>
      </c>
      <c r="E49" s="93" t="n">
        <v>82</v>
      </c>
      <c r="F49" s="92" t="n">
        <v>62</v>
      </c>
      <c r="G49" s="93" t="n">
        <v>60</v>
      </c>
      <c r="H49" s="93" t="n">
        <v>62</v>
      </c>
      <c r="I49" s="92" t="n">
        <v>50</v>
      </c>
      <c r="J49" s="22" t="n">
        <f aca="false">SUM(D49:I49)</f>
        <v>384</v>
      </c>
      <c r="K49" s="22" t="n">
        <f aca="false">COUNTIF(D49:I49,"&lt;=49")+COUNTIF(D49:I49,"AB")</f>
        <v>0</v>
      </c>
      <c r="L49" s="22" t="n">
        <f aca="false">COUNTIF(E49:J49,"AB")</f>
        <v>0</v>
      </c>
      <c r="M49" s="74" t="n">
        <f aca="false">(G49/25)*100</f>
        <v>240</v>
      </c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customFormat="false" ht="24.75" hidden="false" customHeight="true" outlineLevel="0" collapsed="false">
      <c r="A50" s="89" t="n">
        <v>40</v>
      </c>
      <c r="B50" s="95" t="n">
        <v>511523205042</v>
      </c>
      <c r="C50" s="96" t="s">
        <v>172</v>
      </c>
      <c r="D50" s="97" t="n">
        <v>86</v>
      </c>
      <c r="E50" s="93" t="n">
        <v>86</v>
      </c>
      <c r="F50" s="92" t="n">
        <v>66</v>
      </c>
      <c r="G50" s="93" t="n">
        <v>72</v>
      </c>
      <c r="H50" s="93" t="n">
        <v>64</v>
      </c>
      <c r="I50" s="92" t="n">
        <v>46</v>
      </c>
      <c r="J50" s="22" t="n">
        <f aca="false">SUM(D50:I50)</f>
        <v>420</v>
      </c>
      <c r="K50" s="22" t="n">
        <f aca="false">COUNTIF(D50:I50,"&lt;=49")+COUNTIF(D50:I50,"AB")</f>
        <v>1</v>
      </c>
      <c r="L50" s="22" t="n">
        <f aca="false">COUNTIF(E50:J50,"AB")</f>
        <v>0</v>
      </c>
      <c r="M50" s="74" t="n">
        <f aca="false">(G50/25)*100</f>
        <v>288</v>
      </c>
      <c r="N50" s="102"/>
      <c r="O50" s="102"/>
      <c r="P50" s="102"/>
      <c r="Q50" s="102"/>
      <c r="R50" s="102"/>
      <c r="S50" s="102"/>
      <c r="T50" s="74"/>
      <c r="U50" s="74"/>
      <c r="V50" s="74"/>
      <c r="W50" s="74"/>
      <c r="X50" s="74"/>
      <c r="Y50" s="74"/>
      <c r="Z50" s="74"/>
    </row>
    <row r="51" customFormat="false" ht="24.75" hidden="false" customHeight="true" outlineLevel="0" collapsed="false">
      <c r="A51" s="89" t="n">
        <v>41</v>
      </c>
      <c r="B51" s="95" t="n">
        <v>511523205043</v>
      </c>
      <c r="C51" s="96" t="s">
        <v>173</v>
      </c>
      <c r="D51" s="92" t="n">
        <v>80</v>
      </c>
      <c r="E51" s="93" t="n">
        <v>80</v>
      </c>
      <c r="F51" s="92" t="n">
        <v>70</v>
      </c>
      <c r="G51" s="93" t="n">
        <v>70</v>
      </c>
      <c r="H51" s="93" t="n">
        <v>82</v>
      </c>
      <c r="I51" s="92" t="n">
        <v>42</v>
      </c>
      <c r="J51" s="22" t="n">
        <f aca="false">SUM(D51:I51)</f>
        <v>424</v>
      </c>
      <c r="K51" s="22" t="n">
        <f aca="false">COUNTIF(D51:I51,"&lt;=49")+COUNTIF(D51:I51,"AB")</f>
        <v>1</v>
      </c>
      <c r="L51" s="22" t="n">
        <f aca="false">COUNTIF(E51:J51,"AB")</f>
        <v>0</v>
      </c>
      <c r="M51" s="74" t="n">
        <f aca="false">(G51/25)*100</f>
        <v>280</v>
      </c>
      <c r="N51" s="103"/>
      <c r="O51" s="103"/>
      <c r="P51" s="103"/>
      <c r="Q51" s="103"/>
      <c r="R51" s="103"/>
      <c r="S51" s="103"/>
      <c r="T51" s="74"/>
      <c r="U51" s="74"/>
      <c r="V51" s="74"/>
      <c r="W51" s="74"/>
      <c r="X51" s="74"/>
      <c r="Y51" s="74"/>
      <c r="Z51" s="74"/>
    </row>
    <row r="52" customFormat="false" ht="24.75" hidden="false" customHeight="true" outlineLevel="0" collapsed="false">
      <c r="A52" s="89" t="n">
        <v>42</v>
      </c>
      <c r="B52" s="95" t="n">
        <v>511523205044</v>
      </c>
      <c r="C52" s="96" t="s">
        <v>174</v>
      </c>
      <c r="D52" s="97" t="n">
        <v>16</v>
      </c>
      <c r="E52" s="93" t="n">
        <v>74</v>
      </c>
      <c r="F52" s="92" t="n">
        <v>16</v>
      </c>
      <c r="G52" s="93" t="n">
        <v>6</v>
      </c>
      <c r="H52" s="93" t="n">
        <v>6</v>
      </c>
      <c r="I52" s="92" t="n">
        <v>8</v>
      </c>
      <c r="J52" s="22" t="n">
        <f aca="false">SUM(D52:I52)</f>
        <v>126</v>
      </c>
      <c r="K52" s="22" t="n">
        <f aca="false">COUNTIF(D52:I52,"&lt;=49")+COUNTIF(D52:I52,"AB")</f>
        <v>5</v>
      </c>
      <c r="L52" s="22" t="n">
        <f aca="false">COUNTIF(E52:J52,"AB")</f>
        <v>0</v>
      </c>
      <c r="M52" s="74" t="n">
        <f aca="false">(G52/25)*100</f>
        <v>24</v>
      </c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customFormat="false" ht="24.75" hidden="false" customHeight="true" outlineLevel="0" collapsed="false">
      <c r="A53" s="89" t="n">
        <v>43</v>
      </c>
      <c r="B53" s="95" t="n">
        <v>511523205045</v>
      </c>
      <c r="C53" s="96" t="s">
        <v>175</v>
      </c>
      <c r="D53" s="97" t="n">
        <v>70</v>
      </c>
      <c r="E53" s="93" t="n">
        <v>82</v>
      </c>
      <c r="F53" s="92" t="n">
        <v>50</v>
      </c>
      <c r="G53" s="93" t="n">
        <v>64</v>
      </c>
      <c r="H53" s="93" t="s">
        <v>21</v>
      </c>
      <c r="I53" s="92" t="n">
        <v>50</v>
      </c>
      <c r="J53" s="22" t="n">
        <f aca="false">SUM(D53:I53)</f>
        <v>316</v>
      </c>
      <c r="K53" s="22" t="n">
        <f aca="false">COUNTIF(D53:I53,"&lt;=49")+COUNTIF(D53:I53,"AB")</f>
        <v>1</v>
      </c>
      <c r="L53" s="22" t="n">
        <f aca="false">COUNTIF(E53:J53,"AB")</f>
        <v>1</v>
      </c>
      <c r="M53" s="74" t="n">
        <f aca="false">(G53/25)*100</f>
        <v>256</v>
      </c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customFormat="false" ht="24.75" hidden="false" customHeight="true" outlineLevel="0" collapsed="false">
      <c r="A54" s="89" t="n">
        <v>44</v>
      </c>
      <c r="B54" s="95" t="n">
        <v>511523205046</v>
      </c>
      <c r="C54" s="96" t="s">
        <v>176</v>
      </c>
      <c r="D54" s="97" t="n">
        <v>74</v>
      </c>
      <c r="E54" s="93" t="n">
        <v>86</v>
      </c>
      <c r="F54" s="92" t="n">
        <v>64</v>
      </c>
      <c r="G54" s="93" t="n">
        <v>56</v>
      </c>
      <c r="H54" s="93" t="n">
        <v>64</v>
      </c>
      <c r="I54" s="92" t="n">
        <v>50</v>
      </c>
      <c r="J54" s="22" t="n">
        <f aca="false">SUM(D54:I54)</f>
        <v>394</v>
      </c>
      <c r="K54" s="22" t="n">
        <f aca="false">COUNTIF(D54:I54,"&lt;=49")+COUNTIF(D54:I54,"AB")</f>
        <v>0</v>
      </c>
      <c r="L54" s="22" t="n">
        <f aca="false">COUNTIF(E54:J54,"AB")</f>
        <v>0</v>
      </c>
      <c r="M54" s="74" t="n">
        <f aca="false">(G54/25)*100</f>
        <v>224</v>
      </c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customFormat="false" ht="24.75" hidden="false" customHeight="true" outlineLevel="0" collapsed="false">
      <c r="A55" s="89" t="n">
        <v>45</v>
      </c>
      <c r="B55" s="95" t="n">
        <v>511523205047</v>
      </c>
      <c r="C55" s="96" t="s">
        <v>177</v>
      </c>
      <c r="D55" s="97" t="n">
        <v>76</v>
      </c>
      <c r="E55" s="93" t="n">
        <v>76</v>
      </c>
      <c r="F55" s="92" t="n">
        <v>48</v>
      </c>
      <c r="G55" s="93" t="n">
        <v>52</v>
      </c>
      <c r="H55" s="93" t="n">
        <v>50</v>
      </c>
      <c r="I55" s="92" t="n">
        <v>50</v>
      </c>
      <c r="J55" s="22" t="n">
        <f aca="false">SUM(D55:I55)</f>
        <v>352</v>
      </c>
      <c r="K55" s="22" t="n">
        <f aca="false">COUNTIF(D55:I55,"&lt;=49")+COUNTIF(D55:I55,"AB")</f>
        <v>1</v>
      </c>
      <c r="L55" s="22" t="n">
        <f aca="false">COUNTIF(E55:J55,"AB")</f>
        <v>0</v>
      </c>
      <c r="M55" s="74" t="e">
        <f aca="false">(#ref!/25)*100</f>
        <v>#NAME?</v>
      </c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customFormat="false" ht="24.75" hidden="false" customHeight="true" outlineLevel="0" collapsed="false">
      <c r="A56" s="89" t="n">
        <v>46</v>
      </c>
      <c r="B56" s="95" t="n">
        <v>511523205048</v>
      </c>
      <c r="C56" s="96" t="s">
        <v>178</v>
      </c>
      <c r="D56" s="97" t="n">
        <v>38</v>
      </c>
      <c r="E56" s="93" t="n">
        <v>38</v>
      </c>
      <c r="F56" s="92" t="n">
        <v>78</v>
      </c>
      <c r="G56" s="93" t="n">
        <v>12</v>
      </c>
      <c r="H56" s="93" t="s">
        <v>28</v>
      </c>
      <c r="I56" s="92" t="s">
        <v>28</v>
      </c>
      <c r="J56" s="22" t="n">
        <f aca="false">SUM(D56:I56)</f>
        <v>166</v>
      </c>
      <c r="K56" s="22" t="n">
        <f aca="false">COUNTIF(D56:I56,"&lt;=49")+COUNTIF(D56:I56,"AB")</f>
        <v>5</v>
      </c>
      <c r="L56" s="22" t="n">
        <f aca="false">COUNTIF(E56:J56,"AB")</f>
        <v>2</v>
      </c>
      <c r="M56" s="74" t="n">
        <f aca="false">(G56/25)*100</f>
        <v>48</v>
      </c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customFormat="false" ht="24.75" hidden="false" customHeight="true" outlineLevel="0" collapsed="false">
      <c r="A57" s="89" t="n">
        <v>47</v>
      </c>
      <c r="B57" s="95" t="n">
        <v>511523205049</v>
      </c>
      <c r="C57" s="96" t="s">
        <v>179</v>
      </c>
      <c r="D57" s="97" t="n">
        <v>64</v>
      </c>
      <c r="E57" s="93" t="n">
        <v>76</v>
      </c>
      <c r="F57" s="92" t="s">
        <v>28</v>
      </c>
      <c r="G57" s="93" t="n">
        <v>36</v>
      </c>
      <c r="H57" s="93" t="n">
        <v>50</v>
      </c>
      <c r="I57" s="92" t="s">
        <v>28</v>
      </c>
      <c r="J57" s="22" t="n">
        <f aca="false">SUM(D57:I57)</f>
        <v>226</v>
      </c>
      <c r="K57" s="22" t="n">
        <f aca="false">COUNTIF(D57:I57,"&lt;=49")+COUNTIF(D57:I57,"AB")</f>
        <v>3</v>
      </c>
      <c r="L57" s="22" t="n">
        <f aca="false">COUNTIF(E57:J57,"AB")</f>
        <v>2</v>
      </c>
      <c r="M57" s="74" t="n">
        <f aca="false">(G57/25)*100</f>
        <v>144</v>
      </c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customFormat="false" ht="24.75" hidden="false" customHeight="true" outlineLevel="0" collapsed="false">
      <c r="A58" s="89" t="n">
        <v>48</v>
      </c>
      <c r="B58" s="95" t="n">
        <v>511523205050</v>
      </c>
      <c r="C58" s="96" t="s">
        <v>180</v>
      </c>
      <c r="D58" s="97" t="n">
        <v>82</v>
      </c>
      <c r="E58" s="93" t="n">
        <v>80</v>
      </c>
      <c r="F58" s="92" t="n">
        <v>64</v>
      </c>
      <c r="G58" s="93" t="n">
        <v>58</v>
      </c>
      <c r="H58" s="93" t="n">
        <v>52</v>
      </c>
      <c r="I58" s="92" t="n">
        <v>50</v>
      </c>
      <c r="J58" s="22" t="n">
        <f aca="false">SUM(D58:I58)</f>
        <v>386</v>
      </c>
      <c r="K58" s="22" t="n">
        <f aca="false">COUNTIF(D58:I58,"&lt;=49")+COUNTIF(D58:I58,"AB")</f>
        <v>0</v>
      </c>
      <c r="L58" s="22" t="n">
        <f aca="false">COUNTIF(E58:J58,"AB")</f>
        <v>0</v>
      </c>
      <c r="M58" s="74" t="n">
        <f aca="false">(G58/25)*100</f>
        <v>232</v>
      </c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customFormat="false" ht="24.75" hidden="false" customHeight="true" outlineLevel="0" collapsed="false">
      <c r="A59" s="89" t="n">
        <v>49</v>
      </c>
      <c r="B59" s="95" t="n">
        <v>511523205051</v>
      </c>
      <c r="C59" s="96" t="s">
        <v>181</v>
      </c>
      <c r="D59" s="97" t="n">
        <v>2</v>
      </c>
      <c r="E59" s="93" t="n">
        <v>12</v>
      </c>
      <c r="F59" s="92" t="s">
        <v>28</v>
      </c>
      <c r="G59" s="93" t="n">
        <v>0</v>
      </c>
      <c r="H59" s="93" t="n">
        <v>0</v>
      </c>
      <c r="I59" s="92" t="s">
        <v>28</v>
      </c>
      <c r="J59" s="22" t="n">
        <f aca="false">SUM(D59:I59)</f>
        <v>14</v>
      </c>
      <c r="K59" s="22" t="n">
        <f aca="false">COUNTIF(D59:I59,"&lt;=49")+COUNTIF(D59:I59,"AB")</f>
        <v>6</v>
      </c>
      <c r="L59" s="22" t="n">
        <f aca="false">COUNTIF(E59:J59,"AB")</f>
        <v>2</v>
      </c>
      <c r="M59" s="74" t="n">
        <f aca="false">(G59/25)*100</f>
        <v>0</v>
      </c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customFormat="false" ht="24.75" hidden="false" customHeight="true" outlineLevel="0" collapsed="false">
      <c r="A60" s="89" t="n">
        <v>50</v>
      </c>
      <c r="B60" s="95" t="n">
        <v>511523205052</v>
      </c>
      <c r="C60" s="96" t="s">
        <v>182</v>
      </c>
      <c r="D60" s="97" t="n">
        <v>26</v>
      </c>
      <c r="E60" s="93" t="n">
        <v>44</v>
      </c>
      <c r="F60" s="92" t="n">
        <v>8</v>
      </c>
      <c r="G60" s="93" t="n">
        <v>14</v>
      </c>
      <c r="H60" s="93" t="n">
        <v>10</v>
      </c>
      <c r="I60" s="92" t="n">
        <v>20</v>
      </c>
      <c r="J60" s="22" t="n">
        <f aca="false">SUM(D60:I60)</f>
        <v>122</v>
      </c>
      <c r="K60" s="22" t="n">
        <f aca="false">COUNTIF(D60:I60,"&lt;=49")+COUNTIF(D60:I60,"AB")</f>
        <v>6</v>
      </c>
      <c r="L60" s="22" t="n">
        <f aca="false">COUNTIF(E60:J60,"AB")</f>
        <v>0</v>
      </c>
      <c r="M60" s="74" t="n">
        <f aca="false">(G60/25)*100</f>
        <v>56</v>
      </c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customFormat="false" ht="24.75" hidden="false" customHeight="true" outlineLevel="0" collapsed="false">
      <c r="A61" s="89" t="n">
        <v>51</v>
      </c>
      <c r="B61" s="95" t="n">
        <v>511523205053</v>
      </c>
      <c r="C61" s="96" t="s">
        <v>183</v>
      </c>
      <c r="D61" s="97" t="n">
        <v>40</v>
      </c>
      <c r="E61" s="93" t="n">
        <v>80</v>
      </c>
      <c r="F61" s="92" t="n">
        <v>24</v>
      </c>
      <c r="G61" s="93" t="n">
        <v>14</v>
      </c>
      <c r="H61" s="93" t="n">
        <v>0</v>
      </c>
      <c r="I61" s="92" t="n">
        <v>14</v>
      </c>
      <c r="J61" s="22" t="n">
        <f aca="false">SUM(D61:I61)</f>
        <v>172</v>
      </c>
      <c r="K61" s="22" t="n">
        <f aca="false">COUNTIF(D61:I61,"&lt;=49")+COUNTIF(D61:I61,"AB")</f>
        <v>5</v>
      </c>
      <c r="L61" s="22" t="n">
        <f aca="false">COUNTIF(E61:J61,"AB")</f>
        <v>0</v>
      </c>
      <c r="M61" s="74" t="n">
        <f aca="false">(G61/25)*100</f>
        <v>56</v>
      </c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customFormat="false" ht="24.75" hidden="false" customHeight="true" outlineLevel="0" collapsed="false">
      <c r="A62" s="89" t="n">
        <v>52</v>
      </c>
      <c r="B62" s="95" t="n">
        <v>511523205054</v>
      </c>
      <c r="C62" s="96" t="s">
        <v>184</v>
      </c>
      <c r="D62" s="92" t="s">
        <v>28</v>
      </c>
      <c r="E62" s="93" t="n">
        <v>80</v>
      </c>
      <c r="F62" s="92" t="n">
        <v>34</v>
      </c>
      <c r="G62" s="93" t="n">
        <v>52</v>
      </c>
      <c r="H62" s="93" t="n">
        <v>56</v>
      </c>
      <c r="I62" s="92" t="s">
        <v>28</v>
      </c>
      <c r="J62" s="22" t="n">
        <f aca="false">SUM(D62:I62)</f>
        <v>222</v>
      </c>
      <c r="K62" s="22" t="n">
        <f aca="false">COUNTIF(D62:I62,"&lt;=49")+COUNTIF(D62:I62,"AB")</f>
        <v>3</v>
      </c>
      <c r="L62" s="22" t="n">
        <f aca="false">COUNTIF(E62:J62,"AB")</f>
        <v>1</v>
      </c>
      <c r="M62" s="74" t="n">
        <f aca="false">(G62/25)*100</f>
        <v>208</v>
      </c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customFormat="false" ht="24.75" hidden="false" customHeight="true" outlineLevel="0" collapsed="false">
      <c r="A63" s="89" t="n">
        <v>53</v>
      </c>
      <c r="B63" s="95" t="n">
        <v>511523205055</v>
      </c>
      <c r="C63" s="96" t="s">
        <v>185</v>
      </c>
      <c r="D63" s="92" t="n">
        <v>84</v>
      </c>
      <c r="E63" s="93" t="n">
        <v>86</v>
      </c>
      <c r="F63" s="92" t="n">
        <v>74</v>
      </c>
      <c r="G63" s="93" t="n">
        <v>74</v>
      </c>
      <c r="H63" s="93" t="n">
        <v>78</v>
      </c>
      <c r="I63" s="92" t="n">
        <v>60</v>
      </c>
      <c r="J63" s="22" t="n">
        <f aca="false">SUM(D63:I63)</f>
        <v>456</v>
      </c>
      <c r="K63" s="22" t="n">
        <f aca="false">COUNTIF(D63:I63,"&lt;=49")+COUNTIF(D63:I63,"AB")</f>
        <v>0</v>
      </c>
      <c r="L63" s="22" t="n">
        <f aca="false">COUNTIF(E63:J63,"AB")</f>
        <v>0</v>
      </c>
      <c r="M63" s="74" t="n">
        <f aca="false">(G63/25)*100</f>
        <v>296</v>
      </c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customFormat="false" ht="24.75" hidden="false" customHeight="true" outlineLevel="0" collapsed="false">
      <c r="A64" s="89" t="n">
        <v>54</v>
      </c>
      <c r="B64" s="95" t="n">
        <v>511523205056</v>
      </c>
      <c r="C64" s="96" t="s">
        <v>186</v>
      </c>
      <c r="D64" s="97" t="n">
        <v>58</v>
      </c>
      <c r="E64" s="93" t="n">
        <v>74</v>
      </c>
      <c r="F64" s="92" t="n">
        <v>40</v>
      </c>
      <c r="G64" s="93" t="n">
        <v>54</v>
      </c>
      <c r="H64" s="93" t="n">
        <v>30</v>
      </c>
      <c r="I64" s="92" t="n">
        <v>42</v>
      </c>
      <c r="J64" s="22" t="n">
        <f aca="false">SUM(D64:I64)</f>
        <v>298</v>
      </c>
      <c r="K64" s="22" t="n">
        <f aca="false">COUNTIF(D64:I64,"&lt;=49")+COUNTIF(D64:I64,"AB")</f>
        <v>3</v>
      </c>
      <c r="L64" s="22" t="n">
        <f aca="false">COUNTIF(E64:J64,"AB")</f>
        <v>0</v>
      </c>
      <c r="M64" s="74" t="n">
        <f aca="false">(G64/25)*100</f>
        <v>216</v>
      </c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customFormat="false" ht="24.75" hidden="false" customHeight="true" outlineLevel="0" collapsed="false">
      <c r="A65" s="89" t="n">
        <v>55</v>
      </c>
      <c r="B65" s="95" t="n">
        <v>511523205057</v>
      </c>
      <c r="C65" s="96" t="s">
        <v>187</v>
      </c>
      <c r="D65" s="97" t="n">
        <v>68</v>
      </c>
      <c r="E65" s="93" t="n">
        <v>80</v>
      </c>
      <c r="F65" s="92" t="n">
        <v>60</v>
      </c>
      <c r="G65" s="93" t="n">
        <v>50</v>
      </c>
      <c r="H65" s="93" t="n">
        <v>54</v>
      </c>
      <c r="I65" s="92" t="n">
        <v>42</v>
      </c>
      <c r="J65" s="22" t="n">
        <f aca="false">SUM(D65:I65)</f>
        <v>354</v>
      </c>
      <c r="K65" s="22" t="n">
        <f aca="false">COUNTIF(D65:I65,"&lt;=49")+COUNTIF(D65:I65,"AB")</f>
        <v>1</v>
      </c>
      <c r="L65" s="22" t="n">
        <f aca="false">COUNTIF(E65:J65,"AB")</f>
        <v>0</v>
      </c>
      <c r="M65" s="74" t="n">
        <f aca="false">(G65/25)*100</f>
        <v>200</v>
      </c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customFormat="false" ht="24.75" hidden="false" customHeight="true" outlineLevel="0" collapsed="false">
      <c r="A66" s="89" t="n">
        <v>56</v>
      </c>
      <c r="B66" s="95" t="n">
        <v>511523205058</v>
      </c>
      <c r="C66" s="96" t="s">
        <v>188</v>
      </c>
      <c r="D66" s="97" t="n">
        <v>68</v>
      </c>
      <c r="E66" s="93" t="n">
        <v>80</v>
      </c>
      <c r="F66" s="92" t="n">
        <v>24</v>
      </c>
      <c r="G66" s="93" t="n">
        <v>30</v>
      </c>
      <c r="H66" s="93" t="n">
        <v>50</v>
      </c>
      <c r="I66" s="92" t="n">
        <v>46</v>
      </c>
      <c r="J66" s="22" t="n">
        <f aca="false">SUM(D66:I66)</f>
        <v>298</v>
      </c>
      <c r="K66" s="22" t="n">
        <f aca="false">COUNTIF(D66:I66,"&lt;=49")+COUNTIF(D66:I66,"AB")</f>
        <v>3</v>
      </c>
      <c r="L66" s="22" t="n">
        <f aca="false">COUNTIF(E66:J66,"AB")</f>
        <v>0</v>
      </c>
      <c r="M66" s="74" t="n">
        <f aca="false">(G66/25)*100</f>
        <v>120</v>
      </c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customFormat="false" ht="24.75" hidden="false" customHeight="true" outlineLevel="0" collapsed="false">
      <c r="A67" s="89" t="n">
        <v>57</v>
      </c>
      <c r="B67" s="95" t="n">
        <v>511523205059</v>
      </c>
      <c r="C67" s="96" t="s">
        <v>189</v>
      </c>
      <c r="D67" s="97" t="n">
        <v>58</v>
      </c>
      <c r="E67" s="93" t="n">
        <v>80</v>
      </c>
      <c r="F67" s="92" t="n">
        <v>36</v>
      </c>
      <c r="G67" s="93" t="n">
        <v>36</v>
      </c>
      <c r="H67" s="93" t="n">
        <v>60</v>
      </c>
      <c r="I67" s="92" t="n">
        <v>52</v>
      </c>
      <c r="J67" s="22" t="n">
        <f aca="false">SUM(D67:I67)</f>
        <v>322</v>
      </c>
      <c r="K67" s="22" t="n">
        <f aca="false">COUNTIF(D67:I67,"&lt;=49")+COUNTIF(D67:I67,"AB")</f>
        <v>2</v>
      </c>
      <c r="L67" s="22" t="n">
        <f aca="false">COUNTIF(E67:J67,"AB")</f>
        <v>0</v>
      </c>
      <c r="M67" s="74" t="n">
        <f aca="false">(G67/25)*100</f>
        <v>144</v>
      </c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customFormat="false" ht="24.75" hidden="false" customHeight="true" outlineLevel="0" collapsed="false">
      <c r="A68" s="89" t="n">
        <v>58</v>
      </c>
      <c r="B68" s="95" t="n">
        <v>511523205060</v>
      </c>
      <c r="C68" s="96" t="s">
        <v>190</v>
      </c>
      <c r="D68" s="97" t="n">
        <v>50</v>
      </c>
      <c r="E68" s="93" t="n">
        <v>82</v>
      </c>
      <c r="F68" s="92" t="n">
        <v>28</v>
      </c>
      <c r="G68" s="93" t="n">
        <v>32</v>
      </c>
      <c r="H68" s="93" t="n">
        <v>30</v>
      </c>
      <c r="I68" s="92" t="n">
        <v>40</v>
      </c>
      <c r="J68" s="22" t="n">
        <f aca="false">SUM(D68:I68)</f>
        <v>262</v>
      </c>
      <c r="K68" s="22" t="n">
        <f aca="false">COUNTIF(D68:I68,"&lt;=49")+COUNTIF(D68:I68,"AB")</f>
        <v>4</v>
      </c>
      <c r="L68" s="22" t="n">
        <f aca="false">COUNTIF(E68:J68,"AB")</f>
        <v>0</v>
      </c>
      <c r="M68" s="74" t="n">
        <f aca="false">(G68/25)*100</f>
        <v>128</v>
      </c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customFormat="false" ht="24.75" hidden="false" customHeight="true" outlineLevel="0" collapsed="false">
      <c r="A69" s="89" t="n">
        <v>59</v>
      </c>
      <c r="B69" s="95" t="n">
        <v>511523205061</v>
      </c>
      <c r="C69" s="96" t="s">
        <v>191</v>
      </c>
      <c r="D69" s="97" t="n">
        <v>68</v>
      </c>
      <c r="E69" s="93" t="n">
        <v>84</v>
      </c>
      <c r="F69" s="92" t="n">
        <v>62</v>
      </c>
      <c r="G69" s="93" t="n">
        <v>74</v>
      </c>
      <c r="H69" s="93" t="n">
        <v>68</v>
      </c>
      <c r="I69" s="92" t="n">
        <v>46</v>
      </c>
      <c r="J69" s="22" t="n">
        <f aca="false">SUM(D69:I69)</f>
        <v>402</v>
      </c>
      <c r="K69" s="22" t="n">
        <f aca="false">COUNTIF(D69:I69,"&lt;=49")+COUNTIF(D69:I69,"AB")</f>
        <v>1</v>
      </c>
      <c r="L69" s="22" t="n">
        <f aca="false">COUNTIF(E69:J69,"AB")</f>
        <v>0</v>
      </c>
      <c r="M69" s="74" t="n">
        <f aca="false">(G69/25)*100</f>
        <v>296</v>
      </c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customFormat="false" ht="24.75" hidden="false" customHeight="true" outlineLevel="0" collapsed="false">
      <c r="A70" s="89" t="n">
        <v>60</v>
      </c>
      <c r="B70" s="95" t="n">
        <v>511523205062</v>
      </c>
      <c r="C70" s="96" t="s">
        <v>192</v>
      </c>
      <c r="D70" s="97" t="s">
        <v>28</v>
      </c>
      <c r="E70" s="93" t="s">
        <v>28</v>
      </c>
      <c r="F70" s="92" t="s">
        <v>28</v>
      </c>
      <c r="G70" s="92" t="s">
        <v>28</v>
      </c>
      <c r="H70" s="93" t="s">
        <v>21</v>
      </c>
      <c r="I70" s="92" t="n">
        <v>2</v>
      </c>
      <c r="J70" s="22" t="n">
        <f aca="false">SUM(D70:I70)</f>
        <v>2</v>
      </c>
      <c r="K70" s="22" t="n">
        <f aca="false">COUNTIF(D70:I70,"&lt;=49")+COUNTIF(D70:I70,"AB")</f>
        <v>6</v>
      </c>
      <c r="L70" s="22" t="n">
        <f aca="false">COUNTIF(E70:J70,"AB")</f>
        <v>4</v>
      </c>
      <c r="M70" s="74" t="e">
        <f aca="false">(G70/25)*100</f>
        <v>#VALUE!</v>
      </c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customFormat="false" ht="24.75" hidden="false" customHeight="true" outlineLevel="0" collapsed="false">
      <c r="A71" s="104" t="n">
        <v>61</v>
      </c>
      <c r="B71" s="95" t="n">
        <v>511523205063</v>
      </c>
      <c r="C71" s="96" t="s">
        <v>193</v>
      </c>
      <c r="D71" s="97" t="n">
        <v>62</v>
      </c>
      <c r="E71" s="93" t="n">
        <v>78</v>
      </c>
      <c r="F71" s="92" t="n">
        <v>46</v>
      </c>
      <c r="G71" s="93" t="n">
        <v>16</v>
      </c>
      <c r="H71" s="105" t="n">
        <v>32</v>
      </c>
      <c r="I71" s="92" t="n">
        <v>30</v>
      </c>
      <c r="J71" s="22" t="n">
        <f aca="false">SUM(D71:I71)</f>
        <v>264</v>
      </c>
      <c r="K71" s="22" t="n">
        <f aca="false">COUNTIF(D71:I71,"&lt;=49")+COUNTIF(D71:I71,"AB")</f>
        <v>4</v>
      </c>
      <c r="L71" s="22" t="n">
        <f aca="false">COUNTIF(E71:J71,"AB")</f>
        <v>0</v>
      </c>
      <c r="M71" s="74" t="n">
        <f aca="false">(G71/25)*100</f>
        <v>64</v>
      </c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customFormat="false" ht="24.75" hidden="false" customHeight="true" outlineLevel="0" collapsed="false">
      <c r="A72" s="104" t="n">
        <v>62</v>
      </c>
      <c r="B72" s="95" t="n">
        <v>511523205064</v>
      </c>
      <c r="C72" s="96" t="s">
        <v>194</v>
      </c>
      <c r="D72" s="97" t="s">
        <v>28</v>
      </c>
      <c r="E72" s="93" t="s">
        <v>28</v>
      </c>
      <c r="F72" s="106" t="s">
        <v>28</v>
      </c>
      <c r="G72" s="92" t="s">
        <v>28</v>
      </c>
      <c r="H72" s="105" t="n">
        <v>28</v>
      </c>
      <c r="I72" s="92" t="n">
        <v>38</v>
      </c>
      <c r="J72" s="22" t="n">
        <f aca="false">SUM(D72:I72)</f>
        <v>66</v>
      </c>
      <c r="K72" s="22" t="n">
        <f aca="false">COUNTIF(D72:I72,"&lt;=49")+COUNTIF(D72:I72,"AB")</f>
        <v>6</v>
      </c>
      <c r="L72" s="22" t="n">
        <f aca="false">COUNTIF(E72:J72,"AB")</f>
        <v>3</v>
      </c>
      <c r="M72" s="74" t="e">
        <f aca="false">(G72/25)*100</f>
        <v>#VALUE!</v>
      </c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customFormat="false" ht="24.75" hidden="false" customHeight="true" outlineLevel="0" collapsed="false">
      <c r="A73" s="104" t="n">
        <v>63</v>
      </c>
      <c r="B73" s="107" t="n">
        <v>511523205301</v>
      </c>
      <c r="C73" s="108" t="s">
        <v>195</v>
      </c>
      <c r="D73" s="93" t="n">
        <v>68</v>
      </c>
      <c r="E73" s="93" t="n">
        <v>76</v>
      </c>
      <c r="F73" s="106" t="n">
        <v>40</v>
      </c>
      <c r="G73" s="106" t="n">
        <v>32</v>
      </c>
      <c r="H73" s="105" t="n">
        <v>40</v>
      </c>
      <c r="I73" s="92" t="n">
        <v>36</v>
      </c>
      <c r="J73" s="22" t="n">
        <f aca="false">SUM(D73:I73)</f>
        <v>292</v>
      </c>
      <c r="K73" s="22" t="n">
        <f aca="false">COUNTIF(D73:I73,"&lt;=49")+COUNTIF(D73:I73,"AB")</f>
        <v>4</v>
      </c>
      <c r="L73" s="22" t="n">
        <f aca="false">COUNTIF(E73:J73,"AB")</f>
        <v>0</v>
      </c>
      <c r="M73" s="74" t="n">
        <f aca="false">(G73/25)*100</f>
        <v>128</v>
      </c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customFormat="false" ht="24.75" hidden="false" customHeight="true" outlineLevel="0" collapsed="false">
      <c r="A74" s="104" t="n">
        <v>64</v>
      </c>
      <c r="B74" s="107" t="n">
        <v>511523205701</v>
      </c>
      <c r="C74" s="108" t="s">
        <v>196</v>
      </c>
      <c r="D74" s="93" t="n">
        <v>64</v>
      </c>
      <c r="E74" s="93" t="n">
        <v>82</v>
      </c>
      <c r="F74" s="106" t="n">
        <v>6</v>
      </c>
      <c r="G74" s="106" t="n">
        <v>38</v>
      </c>
      <c r="H74" s="105" t="n">
        <v>50</v>
      </c>
      <c r="I74" s="92" t="n">
        <v>32</v>
      </c>
      <c r="J74" s="22" t="n">
        <f aca="false">SUM(D74:I74)</f>
        <v>272</v>
      </c>
      <c r="K74" s="22" t="n">
        <f aca="false">COUNTIF(D74:I74,"&lt;=49")+COUNTIF(D74:I74,"AB")</f>
        <v>3</v>
      </c>
      <c r="L74" s="22" t="n">
        <f aca="false">COUNTIF(E74:J74,"AB")</f>
        <v>0</v>
      </c>
      <c r="M74" s="74" t="n">
        <f aca="false">(G74/25)*100</f>
        <v>152</v>
      </c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customFormat="false" ht="37.5" hidden="false" customHeight="true" outlineLevel="0" collapsed="false">
      <c r="A75" s="109" t="n">
        <v>0</v>
      </c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10" t="s">
        <v>78</v>
      </c>
      <c r="M75" s="74" t="n">
        <f aca="false">(G75/25)*100</f>
        <v>0</v>
      </c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customFormat="false" ht="24.75" hidden="false" customHeight="true" outlineLevel="0" collapsed="false">
      <c r="A76" s="111" t="s">
        <v>79</v>
      </c>
      <c r="B76" s="111"/>
      <c r="C76" s="111"/>
      <c r="D76" s="112" t="n">
        <v>64</v>
      </c>
      <c r="E76" s="112" t="n">
        <v>64</v>
      </c>
      <c r="F76" s="112" t="n">
        <v>64</v>
      </c>
      <c r="G76" s="112" t="n">
        <v>64</v>
      </c>
      <c r="H76" s="112" t="n">
        <v>64</v>
      </c>
      <c r="I76" s="112" t="n">
        <v>64</v>
      </c>
      <c r="J76" s="113" t="s">
        <v>80</v>
      </c>
      <c r="K76" s="113" t="n">
        <f aca="false">COUNTIF(K11:K70,"1")</f>
        <v>12</v>
      </c>
      <c r="L76" s="114" t="n">
        <f aca="false">COUNTIF(K11:K74,"0")</f>
        <v>22</v>
      </c>
      <c r="M76" s="74" t="n">
        <f aca="false">(G76/25)*100</f>
        <v>256</v>
      </c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customFormat="false" ht="24.75" hidden="false" customHeight="true" outlineLevel="0" collapsed="false">
      <c r="A77" s="111" t="s">
        <v>81</v>
      </c>
      <c r="B77" s="111"/>
      <c r="C77" s="111"/>
      <c r="D77" s="112" t="n">
        <f aca="false">COUNT(D11:D74,"!AB")</f>
        <v>59</v>
      </c>
      <c r="E77" s="112" t="n">
        <f aca="false">COUNT(E11:E74,"!AB")</f>
        <v>61</v>
      </c>
      <c r="F77" s="112" t="n">
        <f aca="false">COUNT(F11:F74,"!AB")</f>
        <v>57</v>
      </c>
      <c r="G77" s="112" t="n">
        <f aca="false">COUNT(G11:G74,"!AB")</f>
        <v>59</v>
      </c>
      <c r="H77" s="112" t="n">
        <f aca="false">COUNT(H11:H74,"!AB")</f>
        <v>57</v>
      </c>
      <c r="I77" s="112" t="n">
        <f aca="false">COUNT(I11:I74,"!AB")</f>
        <v>58</v>
      </c>
      <c r="J77" s="113" t="s">
        <v>82</v>
      </c>
      <c r="K77" s="113" t="n">
        <f aca="false">COUNTIF(K12:K70,"2")</f>
        <v>4</v>
      </c>
      <c r="L77" s="114"/>
      <c r="M77" s="74" t="n">
        <f aca="false">(G77/25)*100</f>
        <v>236</v>
      </c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customFormat="false" ht="24.75" hidden="false" customHeight="true" outlineLevel="0" collapsed="false">
      <c r="A78" s="111" t="s">
        <v>83</v>
      </c>
      <c r="B78" s="111"/>
      <c r="C78" s="111"/>
      <c r="D78" s="112" t="n">
        <f aca="false">COUNTIF(D11:D74,"AB")</f>
        <v>5</v>
      </c>
      <c r="E78" s="112" t="n">
        <f aca="false">COUNTIF(E11:E74,"AB")</f>
        <v>3</v>
      </c>
      <c r="F78" s="112" t="n">
        <f aca="false">COUNTIF(F11:F74,"AB")</f>
        <v>7</v>
      </c>
      <c r="G78" s="112" t="n">
        <f aca="false">COUNTIF(G11:G74,"AB")</f>
        <v>5</v>
      </c>
      <c r="H78" s="112" t="n">
        <f aca="false">COUNTIF(H11:H74,"AB")</f>
        <v>7</v>
      </c>
      <c r="I78" s="112" t="n">
        <f aca="false">COUNTIF(I11:I74,"AB")</f>
        <v>6</v>
      </c>
      <c r="J78" s="113" t="s">
        <v>84</v>
      </c>
      <c r="K78" s="113" t="n">
        <f aca="false">COUNTIF(K13:K70,"3")</f>
        <v>9</v>
      </c>
      <c r="L78" s="114"/>
      <c r="M78" s="74" t="n">
        <f aca="false">(G78/25)*100</f>
        <v>20</v>
      </c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customFormat="false" ht="24.75" hidden="false" customHeight="true" outlineLevel="0" collapsed="false">
      <c r="A79" s="111" t="s">
        <v>85</v>
      </c>
      <c r="B79" s="111"/>
      <c r="C79" s="111"/>
      <c r="D79" s="112" t="n">
        <f aca="false">COUNTIF(D11:D70,"OD")</f>
        <v>0</v>
      </c>
      <c r="E79" s="112" t="n">
        <f aca="false">COUNTIF(E11:E70,"OD")</f>
        <v>0</v>
      </c>
      <c r="F79" s="112" t="n">
        <f aca="false">COUNTIF(F11:F70,"OD")</f>
        <v>0</v>
      </c>
      <c r="G79" s="112" t="n">
        <f aca="false">COUNTIF(G11:G43,"OD")</f>
        <v>0</v>
      </c>
      <c r="H79" s="112" t="n">
        <f aca="false">COUNTIF(H11:H70,"OD")</f>
        <v>0</v>
      </c>
      <c r="I79" s="112" t="n">
        <f aca="false">COUNTIF(I11:I70,"OD")</f>
        <v>0</v>
      </c>
      <c r="J79" s="115" t="s">
        <v>86</v>
      </c>
      <c r="K79" s="113" t="n">
        <f aca="false">COUNTIF(K14:K70,"4")</f>
        <v>4</v>
      </c>
      <c r="L79" s="114"/>
      <c r="M79" s="74" t="n">
        <f aca="false">(G79/25)*100</f>
        <v>0</v>
      </c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customFormat="false" ht="24.75" hidden="false" customHeight="true" outlineLevel="0" collapsed="false">
      <c r="A80" s="111" t="s">
        <v>87</v>
      </c>
      <c r="B80" s="111"/>
      <c r="C80" s="111"/>
      <c r="D80" s="112" t="n">
        <f aca="false">COUNTIF(D11:D74,"&gt;=50")</f>
        <v>53</v>
      </c>
      <c r="E80" s="112" t="n">
        <f aca="false">COUNTIF(E11:E74,"&gt;=50")</f>
        <v>58</v>
      </c>
      <c r="F80" s="112" t="n">
        <f aca="false">COUNTIF(F11:F74,"&gt;=50")</f>
        <v>40</v>
      </c>
      <c r="G80" s="112" t="n">
        <f aca="false">COUNTIF(G11:G74,"&gt;=50")</f>
        <v>39</v>
      </c>
      <c r="H80" s="112" t="n">
        <f aca="false">COUNTIF(H11:H74,"&gt;=50")</f>
        <v>38</v>
      </c>
      <c r="I80" s="112" t="n">
        <f aca="false">COUNTIF(I11:I74,"&gt;=50")</f>
        <v>29</v>
      </c>
      <c r="J80" s="113" t="s">
        <v>88</v>
      </c>
      <c r="K80" s="113" t="n">
        <f aca="false">COUNTIF(K15:K70,"5")</f>
        <v>4</v>
      </c>
      <c r="L80" s="114"/>
      <c r="M80" s="74" t="n">
        <f aca="false">(G80/25)*100</f>
        <v>156</v>
      </c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customFormat="false" ht="24.75" hidden="false" customHeight="true" outlineLevel="0" collapsed="false">
      <c r="A81" s="111" t="s">
        <v>89</v>
      </c>
      <c r="B81" s="111"/>
      <c r="C81" s="111"/>
      <c r="D81" s="112" t="n">
        <f aca="false">COUNTIF(D11:D74,"&lt;=49")</f>
        <v>6</v>
      </c>
      <c r="E81" s="112" t="n">
        <f aca="false">COUNTIF(E11:E74,"&lt;=49")</f>
        <v>3</v>
      </c>
      <c r="F81" s="112" t="n">
        <f aca="false">COUNTIF(F11:F74,"&lt;=49")</f>
        <v>17</v>
      </c>
      <c r="G81" s="112" t="n">
        <f aca="false">COUNTIF(G11:G74,"&lt;=49")</f>
        <v>20</v>
      </c>
      <c r="H81" s="112" t="n">
        <f aca="false">COUNTIF(H11:H74,"&lt;=49")</f>
        <v>19</v>
      </c>
      <c r="I81" s="112" t="n">
        <f aca="false">COUNTIF(I11:I74,"&lt;=49")</f>
        <v>29</v>
      </c>
      <c r="J81" s="116" t="s">
        <v>197</v>
      </c>
      <c r="K81" s="113" t="n">
        <f aca="false">COUNTIF(K16:K70,"6")</f>
        <v>3</v>
      </c>
      <c r="L81" s="114"/>
      <c r="M81" s="74" t="n">
        <f aca="false">(G81/25)*100</f>
        <v>80</v>
      </c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customFormat="false" ht="24.75" hidden="false" customHeight="true" outlineLevel="0" collapsed="false">
      <c r="A82" s="117" t="s">
        <v>91</v>
      </c>
      <c r="B82" s="117"/>
      <c r="C82" s="117"/>
      <c r="D82" s="118" t="n">
        <f aca="false">D80/D77</f>
        <v>0.898305084745763</v>
      </c>
      <c r="E82" s="118" t="n">
        <f aca="false">E80/E77</f>
        <v>0.950819672131148</v>
      </c>
      <c r="F82" s="118" t="n">
        <f aca="false">F80/F77</f>
        <v>0.701754385964912</v>
      </c>
      <c r="G82" s="118" t="n">
        <f aca="false">G80/G77</f>
        <v>0.661016949152542</v>
      </c>
      <c r="H82" s="118" t="n">
        <f aca="false">H80/H77</f>
        <v>0.666666666666667</v>
      </c>
      <c r="I82" s="118" t="n">
        <f aca="false">I80/I77</f>
        <v>0.5</v>
      </c>
      <c r="J82" s="113" t="s">
        <v>92</v>
      </c>
      <c r="K82" s="119" t="n">
        <f aca="false">L76/64*100</f>
        <v>34.375</v>
      </c>
      <c r="L82" s="114"/>
      <c r="M82" s="74" t="n">
        <f aca="false">(G82/25)*100</f>
        <v>2.64406779661017</v>
      </c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customFormat="false" ht="56.25" hidden="false" customHeight="true" outlineLevel="0" collapsed="false">
      <c r="B83" s="120" t="s">
        <v>94</v>
      </c>
      <c r="C83" s="121" t="s">
        <v>95</v>
      </c>
      <c r="D83" s="122" t="s">
        <v>96</v>
      </c>
      <c r="E83" s="123"/>
      <c r="F83" s="124" t="s">
        <v>97</v>
      </c>
      <c r="G83" s="122"/>
      <c r="H83" s="123"/>
      <c r="I83" s="125" t="s">
        <v>98</v>
      </c>
      <c r="J83" s="126"/>
      <c r="K83" s="127" t="s">
        <v>99</v>
      </c>
      <c r="L83" s="128"/>
      <c r="M83" s="74" t="n">
        <f aca="false">(G83/25)*100</f>
        <v>0</v>
      </c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customFormat="false" ht="56.25" hidden="false" customHeight="true" outlineLevel="0" collapsed="false">
      <c r="A84" s="129" t="n">
        <v>1</v>
      </c>
      <c r="B84" s="130" t="s">
        <v>127</v>
      </c>
      <c r="C84" s="131" t="s">
        <v>198</v>
      </c>
      <c r="D84" s="61" t="n">
        <f aca="false">D77</f>
        <v>59</v>
      </c>
      <c r="E84" s="132"/>
      <c r="F84" s="63" t="n">
        <f aca="false">D78</f>
        <v>5</v>
      </c>
      <c r="G84" s="61"/>
      <c r="H84" s="132"/>
      <c r="I84" s="63" t="n">
        <f aca="false">D80</f>
        <v>53</v>
      </c>
      <c r="J84" s="132"/>
      <c r="K84" s="64" t="n">
        <f aca="false">I84/D84*100</f>
        <v>89.8305084745763</v>
      </c>
      <c r="L84" s="128"/>
      <c r="M84" s="74" t="n">
        <f aca="false">(G84/25)*100</f>
        <v>0</v>
      </c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customFormat="false" ht="39.75" hidden="false" customHeight="true" outlineLevel="0" collapsed="false">
      <c r="A85" s="129" t="n">
        <v>2</v>
      </c>
      <c r="B85" s="130" t="s">
        <v>128</v>
      </c>
      <c r="C85" s="131" t="s">
        <v>199</v>
      </c>
      <c r="D85" s="133" t="n">
        <f aca="false">E77</f>
        <v>61</v>
      </c>
      <c r="E85" s="132"/>
      <c r="F85" s="63" t="n">
        <f aca="false">E78</f>
        <v>3</v>
      </c>
      <c r="G85" s="61"/>
      <c r="H85" s="132"/>
      <c r="I85" s="63" t="n">
        <f aca="false">E80</f>
        <v>58</v>
      </c>
      <c r="J85" s="132"/>
      <c r="K85" s="64" t="n">
        <f aca="false">I85/D85*100</f>
        <v>95.0819672131148</v>
      </c>
      <c r="L85" s="128"/>
      <c r="M85" s="74" t="n">
        <f aca="false">(G85/25)*100</f>
        <v>0</v>
      </c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customFormat="false" ht="45" hidden="false" customHeight="true" outlineLevel="0" collapsed="false">
      <c r="A86" s="129" t="n">
        <v>3</v>
      </c>
      <c r="B86" s="130" t="s">
        <v>129</v>
      </c>
      <c r="C86" s="131" t="s">
        <v>200</v>
      </c>
      <c r="D86" s="61" t="n">
        <f aca="false">F77</f>
        <v>57</v>
      </c>
      <c r="E86" s="132"/>
      <c r="F86" s="63" t="n">
        <f aca="false">F78</f>
        <v>7</v>
      </c>
      <c r="G86" s="61"/>
      <c r="H86" s="132"/>
      <c r="I86" s="63" t="n">
        <f aca="false">F80</f>
        <v>40</v>
      </c>
      <c r="J86" s="132"/>
      <c r="K86" s="64" t="n">
        <f aca="false">I86/D86*100</f>
        <v>70.1754385964912</v>
      </c>
      <c r="L86" s="128"/>
      <c r="M86" s="74" t="n">
        <f aca="false">(G86/25)*100</f>
        <v>0</v>
      </c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customFormat="false" ht="60.75" hidden="false" customHeight="true" outlineLevel="0" collapsed="false">
      <c r="A87" s="129" t="n">
        <v>4</v>
      </c>
      <c r="B87" s="134" t="s">
        <v>130</v>
      </c>
      <c r="C87" s="131" t="s">
        <v>201</v>
      </c>
      <c r="D87" s="61" t="n">
        <f aca="false">G77</f>
        <v>59</v>
      </c>
      <c r="E87" s="132"/>
      <c r="F87" s="63" t="n">
        <f aca="false">G78</f>
        <v>5</v>
      </c>
      <c r="G87" s="61"/>
      <c r="H87" s="132"/>
      <c r="I87" s="63" t="n">
        <f aca="false">G80</f>
        <v>39</v>
      </c>
      <c r="J87" s="132"/>
      <c r="K87" s="64" t="n">
        <f aca="false">I87/D87*100</f>
        <v>66.1016949152542</v>
      </c>
      <c r="L87" s="128"/>
      <c r="M87" s="74" t="n">
        <f aca="false">(G87/25)*100</f>
        <v>0</v>
      </c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customFormat="false" ht="45" hidden="false" customHeight="true" outlineLevel="0" collapsed="false">
      <c r="A88" s="129" t="n">
        <v>5</v>
      </c>
      <c r="B88" s="130" t="s">
        <v>131</v>
      </c>
      <c r="C88" s="131" t="s">
        <v>202</v>
      </c>
      <c r="D88" s="61" t="n">
        <f aca="false">H77</f>
        <v>57</v>
      </c>
      <c r="E88" s="132"/>
      <c r="F88" s="63" t="n">
        <f aca="false">H78</f>
        <v>7</v>
      </c>
      <c r="G88" s="61"/>
      <c r="H88" s="132"/>
      <c r="I88" s="63" t="n">
        <f aca="false">H80</f>
        <v>38</v>
      </c>
      <c r="J88" s="132"/>
      <c r="K88" s="65" t="n">
        <f aca="false">I88/D88*100</f>
        <v>66.6666666666667</v>
      </c>
      <c r="L88" s="74"/>
      <c r="M88" s="74" t="n">
        <f aca="false">(G88/25)*100</f>
        <v>0</v>
      </c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customFormat="false" ht="63.75" hidden="false" customHeight="true" outlineLevel="0" collapsed="false">
      <c r="A89" s="129" t="n">
        <v>6</v>
      </c>
      <c r="B89" s="130" t="s">
        <v>132</v>
      </c>
      <c r="C89" s="131" t="s">
        <v>203</v>
      </c>
      <c r="D89" s="63" t="n">
        <f aca="false">I77</f>
        <v>58</v>
      </c>
      <c r="E89" s="62"/>
      <c r="F89" s="63" t="n">
        <f aca="false">I78</f>
        <v>6</v>
      </c>
      <c r="G89" s="61"/>
      <c r="H89" s="62"/>
      <c r="I89" s="63" t="n">
        <f aca="false">I80</f>
        <v>29</v>
      </c>
      <c r="J89" s="62"/>
      <c r="K89" s="65" t="n">
        <f aca="false">I89/D89*100</f>
        <v>50</v>
      </c>
      <c r="L89" s="74"/>
      <c r="M89" s="74" t="n">
        <f aca="false">(G89/25)*100</f>
        <v>0</v>
      </c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customFormat="false" ht="15.75" hidden="false" customHeight="true" outlineLevel="0" collapsed="false">
      <c r="A90" s="74"/>
      <c r="B90" s="135"/>
      <c r="C90" s="136"/>
      <c r="D90" s="135"/>
      <c r="E90" s="135"/>
      <c r="F90" s="135"/>
      <c r="G90" s="135"/>
      <c r="H90" s="135"/>
      <c r="I90" s="135"/>
      <c r="J90" s="135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customFormat="false" ht="15.75" hidden="false" customHeight="true" outlineLevel="0" collapsed="false">
      <c r="A91" s="74"/>
      <c r="B91" s="74"/>
      <c r="C91" s="75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customFormat="false" ht="15.75" hidden="false" customHeight="true" outlineLevel="0" collapsed="false">
      <c r="A92" s="74"/>
      <c r="B92" s="74"/>
      <c r="C92" s="75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customFormat="false" ht="15.75" hidden="false" customHeight="true" outlineLevel="0" collapsed="false">
      <c r="A93" s="74"/>
      <c r="B93" s="74"/>
      <c r="C93" s="75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customFormat="false" ht="15.75" hidden="false" customHeight="true" outlineLevel="0" collapsed="false">
      <c r="A94" s="74"/>
      <c r="B94" s="74"/>
      <c r="C94" s="75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customFormat="false" ht="15.75" hidden="false" customHeight="true" outlineLevel="0" collapsed="false">
      <c r="A95" s="74"/>
      <c r="B95" s="74"/>
      <c r="C95" s="75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customFormat="false" ht="15.75" hidden="false" customHeight="true" outlineLevel="0" collapsed="false">
      <c r="A96" s="74"/>
      <c r="B96" s="74"/>
      <c r="C96" s="75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customFormat="false" ht="15.75" hidden="false" customHeight="true" outlineLevel="0" collapsed="false">
      <c r="A97" s="74"/>
      <c r="B97" s="74"/>
      <c r="C97" s="75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customFormat="false" ht="15.75" hidden="false" customHeight="true" outlineLevel="0" collapsed="false">
      <c r="A98" s="74"/>
      <c r="B98" s="74"/>
      <c r="C98" s="75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customFormat="false" ht="15.75" hidden="false" customHeight="true" outlineLevel="0" collapsed="false">
      <c r="A99" s="74"/>
      <c r="B99" s="74"/>
      <c r="C99" s="75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customFormat="false" ht="15.75" hidden="false" customHeight="true" outlineLevel="0" collapsed="false">
      <c r="A100" s="74"/>
      <c r="B100" s="74"/>
      <c r="C100" s="75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customFormat="false" ht="15.75" hidden="false" customHeight="true" outlineLevel="0" collapsed="false">
      <c r="A101" s="74"/>
      <c r="B101" s="74"/>
      <c r="C101" s="75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customFormat="false" ht="15.75" hidden="false" customHeight="true" outlineLevel="0" collapsed="false">
      <c r="A102" s="74"/>
      <c r="B102" s="74"/>
      <c r="C102" s="75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customFormat="false" ht="15.75" hidden="false" customHeight="true" outlineLevel="0" collapsed="false">
      <c r="A103" s="74"/>
      <c r="B103" s="74"/>
      <c r="C103" s="75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customFormat="false" ht="15.75" hidden="false" customHeight="true" outlineLevel="0" collapsed="false">
      <c r="A104" s="74"/>
      <c r="B104" s="74"/>
      <c r="C104" s="75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customFormat="false" ht="15.75" hidden="false" customHeight="true" outlineLevel="0" collapsed="false">
      <c r="A105" s="74"/>
      <c r="B105" s="74"/>
      <c r="C105" s="75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customFormat="false" ht="15.75" hidden="false" customHeight="true" outlineLevel="0" collapsed="false">
      <c r="A106" s="74"/>
      <c r="B106" s="74"/>
      <c r="C106" s="75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customFormat="false" ht="15.75" hidden="false" customHeight="true" outlineLevel="0" collapsed="false">
      <c r="A107" s="74"/>
      <c r="B107" s="74"/>
      <c r="C107" s="75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customFormat="false" ht="15.75" hidden="false" customHeight="true" outlineLevel="0" collapsed="false">
      <c r="A108" s="74"/>
      <c r="B108" s="74"/>
      <c r="C108" s="75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customFormat="false" ht="15.75" hidden="false" customHeight="true" outlineLevel="0" collapsed="false">
      <c r="A109" s="74"/>
      <c r="B109" s="74"/>
      <c r="C109" s="75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customFormat="false" ht="15.75" hidden="false" customHeight="true" outlineLevel="0" collapsed="false">
      <c r="A110" s="74"/>
      <c r="B110" s="74"/>
      <c r="C110" s="75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customFormat="false" ht="15.75" hidden="false" customHeight="true" outlineLevel="0" collapsed="false">
      <c r="A111" s="74"/>
      <c r="B111" s="74"/>
      <c r="C111" s="75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customFormat="false" ht="15.75" hidden="false" customHeight="true" outlineLevel="0" collapsed="false">
      <c r="A112" s="74"/>
      <c r="B112" s="74"/>
      <c r="C112" s="75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customFormat="false" ht="15.75" hidden="false" customHeight="true" outlineLevel="0" collapsed="false">
      <c r="A113" s="74"/>
      <c r="B113" s="74"/>
      <c r="C113" s="75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customFormat="false" ht="15.75" hidden="false" customHeight="true" outlineLevel="0" collapsed="false">
      <c r="A114" s="74"/>
      <c r="B114" s="74"/>
      <c r="C114" s="75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customFormat="false" ht="15.75" hidden="false" customHeight="true" outlineLevel="0" collapsed="false">
      <c r="A115" s="74"/>
      <c r="B115" s="74"/>
      <c r="C115" s="75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customFormat="false" ht="15.75" hidden="false" customHeight="true" outlineLevel="0" collapsed="false">
      <c r="A116" s="74"/>
      <c r="B116" s="74"/>
      <c r="C116" s="75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customFormat="false" ht="15.75" hidden="false" customHeight="true" outlineLevel="0" collapsed="false">
      <c r="A117" s="74"/>
      <c r="B117" s="74"/>
      <c r="C117" s="75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customFormat="false" ht="15.75" hidden="false" customHeight="true" outlineLevel="0" collapsed="false">
      <c r="A118" s="74"/>
      <c r="B118" s="74"/>
      <c r="C118" s="75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customFormat="false" ht="15.75" hidden="false" customHeight="true" outlineLevel="0" collapsed="false">
      <c r="A119" s="74"/>
      <c r="B119" s="74"/>
      <c r="C119" s="75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customFormat="false" ht="15.75" hidden="false" customHeight="true" outlineLevel="0" collapsed="false">
      <c r="A120" s="74"/>
      <c r="B120" s="74"/>
      <c r="C120" s="75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customFormat="false" ht="15.75" hidden="false" customHeight="true" outlineLevel="0" collapsed="false">
      <c r="A121" s="74"/>
      <c r="B121" s="137" t="s">
        <v>112</v>
      </c>
      <c r="C121" s="137"/>
      <c r="D121" s="74"/>
      <c r="E121" s="138" t="s">
        <v>113</v>
      </c>
      <c r="F121" s="138"/>
      <c r="G121" s="138"/>
      <c r="H121" s="138"/>
      <c r="I121" s="138" t="s">
        <v>114</v>
      </c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customFormat="false" ht="15.75" hidden="false" customHeight="true" outlineLevel="0" collapsed="false">
      <c r="A122" s="74"/>
      <c r="B122" s="74"/>
      <c r="C122" s="75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customFormat="false" ht="15.75" hidden="false" customHeight="true" outlineLevel="0" collapsed="false">
      <c r="A123" s="74"/>
      <c r="B123" s="74"/>
      <c r="C123" s="75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customFormat="false" ht="15.75" hidden="false" customHeight="true" outlineLevel="0" collapsed="false">
      <c r="A124" s="74"/>
      <c r="B124" s="74"/>
      <c r="C124" s="75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customFormat="false" ht="15.75" hidden="false" customHeight="true" outlineLevel="0" collapsed="false">
      <c r="A125" s="74"/>
      <c r="B125" s="74"/>
      <c r="C125" s="75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customFormat="false" ht="15.75" hidden="false" customHeight="true" outlineLevel="0" collapsed="false">
      <c r="A126" s="74"/>
      <c r="B126" s="74"/>
      <c r="C126" s="75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customFormat="false" ht="15.75" hidden="false" customHeight="true" outlineLevel="0" collapsed="false">
      <c r="A127" s="74"/>
      <c r="B127" s="74"/>
      <c r="C127" s="75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customFormat="false" ht="15.75" hidden="false" customHeight="true" outlineLevel="0" collapsed="false">
      <c r="A128" s="74"/>
      <c r="B128" s="74"/>
      <c r="C128" s="75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customFormat="false" ht="15.75" hidden="false" customHeight="true" outlineLevel="0" collapsed="false">
      <c r="A129" s="74"/>
      <c r="B129" s="74"/>
      <c r="C129" s="75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customFormat="false" ht="15.75" hidden="false" customHeight="true" outlineLevel="0" collapsed="false">
      <c r="A130" s="74"/>
      <c r="B130" s="74"/>
      <c r="C130" s="75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customFormat="false" ht="15.75" hidden="false" customHeight="true" outlineLevel="0" collapsed="false">
      <c r="A131" s="74"/>
      <c r="B131" s="74"/>
      <c r="C131" s="75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customFormat="false" ht="15.75" hidden="false" customHeight="true" outlineLevel="0" collapsed="false">
      <c r="A132" s="74"/>
      <c r="B132" s="74"/>
      <c r="C132" s="75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customFormat="false" ht="15.75" hidden="false" customHeight="true" outlineLevel="0" collapsed="false">
      <c r="A133" s="74"/>
      <c r="B133" s="74"/>
      <c r="C133" s="75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customFormat="false" ht="15.75" hidden="false" customHeight="true" outlineLevel="0" collapsed="false">
      <c r="A134" s="74"/>
      <c r="B134" s="74"/>
      <c r="C134" s="75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customFormat="false" ht="15.75" hidden="false" customHeight="true" outlineLevel="0" collapsed="false">
      <c r="A135" s="74"/>
      <c r="B135" s="74"/>
      <c r="C135" s="75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customFormat="false" ht="15.75" hidden="false" customHeight="true" outlineLevel="0" collapsed="false">
      <c r="A136" s="74"/>
      <c r="B136" s="74"/>
      <c r="C136" s="75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customFormat="false" ht="15.75" hidden="false" customHeight="true" outlineLevel="0" collapsed="false">
      <c r="A137" s="74"/>
      <c r="B137" s="74"/>
      <c r="C137" s="75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customFormat="false" ht="15.75" hidden="false" customHeight="true" outlineLevel="0" collapsed="false">
      <c r="A138" s="74"/>
      <c r="B138" s="74"/>
      <c r="C138" s="75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customFormat="false" ht="15.75" hidden="false" customHeight="true" outlineLevel="0" collapsed="false">
      <c r="A139" s="74"/>
      <c r="B139" s="74"/>
      <c r="C139" s="75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customFormat="false" ht="15.75" hidden="false" customHeight="true" outlineLevel="0" collapsed="false">
      <c r="A140" s="74"/>
      <c r="B140" s="74"/>
      <c r="C140" s="75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customFormat="false" ht="15.75" hidden="false" customHeight="true" outlineLevel="0" collapsed="false">
      <c r="A141" s="74"/>
      <c r="B141" s="74"/>
      <c r="C141" s="75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customFormat="false" ht="15.75" hidden="false" customHeight="true" outlineLevel="0" collapsed="false">
      <c r="A142" s="74"/>
      <c r="B142" s="74"/>
      <c r="C142" s="75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customFormat="false" ht="15.75" hidden="false" customHeight="true" outlineLevel="0" collapsed="false">
      <c r="A143" s="74"/>
      <c r="B143" s="74"/>
      <c r="C143" s="75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customFormat="false" ht="15.75" hidden="false" customHeight="true" outlineLevel="0" collapsed="false">
      <c r="A144" s="74"/>
      <c r="B144" s="74"/>
      <c r="C144" s="75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customFormat="false" ht="15.75" hidden="false" customHeight="true" outlineLevel="0" collapsed="false">
      <c r="A145" s="74"/>
      <c r="B145" s="74"/>
      <c r="C145" s="75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customFormat="false" ht="15.75" hidden="false" customHeight="true" outlineLevel="0" collapsed="false">
      <c r="A146" s="74"/>
      <c r="B146" s="74"/>
      <c r="C146" s="75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customFormat="false" ht="15.75" hidden="false" customHeight="true" outlineLevel="0" collapsed="false">
      <c r="A147" s="74"/>
      <c r="B147" s="74"/>
      <c r="C147" s="75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customFormat="false" ht="15.75" hidden="false" customHeight="true" outlineLevel="0" collapsed="false">
      <c r="A148" s="74"/>
      <c r="B148" s="74"/>
      <c r="C148" s="75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customFormat="false" ht="15.75" hidden="false" customHeight="true" outlineLevel="0" collapsed="false">
      <c r="A149" s="74"/>
      <c r="B149" s="74"/>
      <c r="C149" s="75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customFormat="false" ht="15.75" hidden="false" customHeight="true" outlineLevel="0" collapsed="false">
      <c r="A150" s="74"/>
      <c r="B150" s="74"/>
      <c r="C150" s="75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customFormat="false" ht="15.75" hidden="false" customHeight="true" outlineLevel="0" collapsed="false">
      <c r="A151" s="74"/>
      <c r="B151" s="74"/>
      <c r="C151" s="75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customFormat="false" ht="15.75" hidden="false" customHeight="true" outlineLevel="0" collapsed="false">
      <c r="A152" s="74"/>
      <c r="B152" s="74"/>
      <c r="C152" s="75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customFormat="false" ht="15.75" hidden="false" customHeight="true" outlineLevel="0" collapsed="false">
      <c r="A153" s="74"/>
      <c r="B153" s="74"/>
      <c r="C153" s="75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customFormat="false" ht="15.75" hidden="false" customHeight="true" outlineLevel="0" collapsed="false">
      <c r="A154" s="74"/>
      <c r="B154" s="74"/>
      <c r="C154" s="75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customFormat="false" ht="15.75" hidden="false" customHeight="true" outlineLevel="0" collapsed="false">
      <c r="A155" s="74"/>
      <c r="B155" s="74"/>
      <c r="C155" s="75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customFormat="false" ht="15.75" hidden="false" customHeight="true" outlineLevel="0" collapsed="false">
      <c r="A156" s="74"/>
      <c r="B156" s="74"/>
      <c r="C156" s="75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customFormat="false" ht="15.75" hidden="false" customHeight="true" outlineLevel="0" collapsed="false">
      <c r="A157" s="74"/>
      <c r="B157" s="74"/>
      <c r="C157" s="75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customFormat="false" ht="15.75" hidden="false" customHeight="true" outlineLevel="0" collapsed="false">
      <c r="A158" s="74"/>
      <c r="B158" s="74"/>
      <c r="C158" s="75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customFormat="false" ht="15.75" hidden="false" customHeight="true" outlineLevel="0" collapsed="false">
      <c r="A159" s="74"/>
      <c r="B159" s="74"/>
      <c r="C159" s="75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customFormat="false" ht="15.75" hidden="false" customHeight="true" outlineLevel="0" collapsed="false">
      <c r="A160" s="74"/>
      <c r="B160" s="74"/>
      <c r="C160" s="75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customFormat="false" ht="15.75" hidden="false" customHeight="true" outlineLevel="0" collapsed="false">
      <c r="A161" s="74"/>
      <c r="B161" s="74"/>
      <c r="C161" s="75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customFormat="false" ht="15.75" hidden="false" customHeight="true" outlineLevel="0" collapsed="false">
      <c r="A162" s="74"/>
      <c r="B162" s="74"/>
      <c r="C162" s="75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customFormat="false" ht="15.75" hidden="false" customHeight="true" outlineLevel="0" collapsed="false">
      <c r="A163" s="74"/>
      <c r="B163" s="74"/>
      <c r="C163" s="75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customFormat="false" ht="15.75" hidden="false" customHeight="true" outlineLevel="0" collapsed="false">
      <c r="A164" s="74"/>
      <c r="B164" s="74"/>
      <c r="C164" s="75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customFormat="false" ht="15.75" hidden="false" customHeight="true" outlineLevel="0" collapsed="false">
      <c r="A165" s="74"/>
      <c r="B165" s="74"/>
      <c r="C165" s="75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customFormat="false" ht="15.75" hidden="false" customHeight="true" outlineLevel="0" collapsed="false">
      <c r="A166" s="74"/>
      <c r="B166" s="74"/>
      <c r="C166" s="75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customFormat="false" ht="15.75" hidden="false" customHeight="true" outlineLevel="0" collapsed="false">
      <c r="A167" s="74"/>
      <c r="B167" s="74"/>
      <c r="C167" s="75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customFormat="false" ht="15.75" hidden="false" customHeight="true" outlineLevel="0" collapsed="false">
      <c r="A168" s="74"/>
      <c r="B168" s="74"/>
      <c r="C168" s="75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customFormat="false" ht="15.75" hidden="false" customHeight="true" outlineLevel="0" collapsed="false">
      <c r="A169" s="74"/>
      <c r="B169" s="74"/>
      <c r="C169" s="75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customFormat="false" ht="15.75" hidden="false" customHeight="true" outlineLevel="0" collapsed="false">
      <c r="A170" s="74"/>
      <c r="B170" s="74"/>
      <c r="C170" s="75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customFormat="false" ht="15.75" hidden="false" customHeight="true" outlineLevel="0" collapsed="false">
      <c r="A171" s="74"/>
      <c r="B171" s="74"/>
      <c r="C171" s="75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customFormat="false" ht="15.75" hidden="false" customHeight="true" outlineLevel="0" collapsed="false">
      <c r="A172" s="74"/>
      <c r="B172" s="74"/>
      <c r="C172" s="75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customFormat="false" ht="15.75" hidden="false" customHeight="true" outlineLevel="0" collapsed="false">
      <c r="A173" s="74"/>
      <c r="B173" s="74"/>
      <c r="C173" s="75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customFormat="false" ht="15.75" hidden="false" customHeight="true" outlineLevel="0" collapsed="false">
      <c r="A174" s="74"/>
      <c r="B174" s="74"/>
      <c r="C174" s="75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customFormat="false" ht="15.75" hidden="false" customHeight="true" outlineLevel="0" collapsed="false">
      <c r="A175" s="74"/>
      <c r="B175" s="74"/>
      <c r="C175" s="75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customFormat="false" ht="15.75" hidden="false" customHeight="true" outlineLevel="0" collapsed="false">
      <c r="A176" s="74"/>
      <c r="B176" s="74"/>
      <c r="C176" s="75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customFormat="false" ht="15.75" hidden="false" customHeight="true" outlineLevel="0" collapsed="false">
      <c r="A177" s="74"/>
      <c r="B177" s="74"/>
      <c r="C177" s="75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customFormat="false" ht="15.75" hidden="false" customHeight="true" outlineLevel="0" collapsed="false">
      <c r="A178" s="74"/>
      <c r="B178" s="74"/>
      <c r="C178" s="75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customFormat="false" ht="15.75" hidden="false" customHeight="true" outlineLevel="0" collapsed="false">
      <c r="A179" s="74"/>
      <c r="B179" s="74"/>
      <c r="C179" s="75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customFormat="false" ht="15.75" hidden="false" customHeight="true" outlineLevel="0" collapsed="false">
      <c r="A180" s="74"/>
      <c r="B180" s="74"/>
      <c r="C180" s="75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customFormat="false" ht="15.75" hidden="false" customHeight="true" outlineLevel="0" collapsed="false">
      <c r="A181" s="74"/>
      <c r="B181" s="74"/>
      <c r="C181" s="75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customFormat="false" ht="15.75" hidden="false" customHeight="true" outlineLevel="0" collapsed="false">
      <c r="A182" s="74"/>
      <c r="B182" s="74"/>
      <c r="C182" s="75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customFormat="false" ht="15.75" hidden="false" customHeight="true" outlineLevel="0" collapsed="false">
      <c r="A183" s="74"/>
      <c r="B183" s="74"/>
      <c r="C183" s="75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customFormat="false" ht="15.75" hidden="false" customHeight="true" outlineLevel="0" collapsed="false">
      <c r="A184" s="74"/>
      <c r="B184" s="74"/>
      <c r="C184" s="75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customFormat="false" ht="15.75" hidden="false" customHeight="true" outlineLevel="0" collapsed="false">
      <c r="A185" s="74"/>
      <c r="B185" s="74"/>
      <c r="C185" s="75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customFormat="false" ht="15.75" hidden="false" customHeight="true" outlineLevel="0" collapsed="false">
      <c r="A186" s="74"/>
      <c r="B186" s="74"/>
      <c r="C186" s="75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customFormat="false" ht="15.75" hidden="false" customHeight="true" outlineLevel="0" collapsed="false">
      <c r="A187" s="74"/>
      <c r="B187" s="74"/>
      <c r="C187" s="75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customFormat="false" ht="15.75" hidden="false" customHeight="true" outlineLevel="0" collapsed="false">
      <c r="A188" s="74"/>
      <c r="B188" s="74"/>
      <c r="C188" s="75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customFormat="false" ht="15.75" hidden="false" customHeight="true" outlineLevel="0" collapsed="false">
      <c r="A189" s="74"/>
      <c r="B189" s="74"/>
      <c r="C189" s="75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customFormat="false" ht="15.75" hidden="false" customHeight="true" outlineLevel="0" collapsed="false">
      <c r="A190" s="74"/>
      <c r="B190" s="74"/>
      <c r="C190" s="75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customFormat="false" ht="15.75" hidden="false" customHeight="true" outlineLevel="0" collapsed="false">
      <c r="A191" s="74"/>
      <c r="B191" s="74"/>
      <c r="C191" s="75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customFormat="false" ht="15.75" hidden="false" customHeight="true" outlineLevel="0" collapsed="false">
      <c r="A192" s="74"/>
      <c r="B192" s="74"/>
      <c r="C192" s="75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customFormat="false" ht="15.75" hidden="false" customHeight="true" outlineLevel="0" collapsed="false">
      <c r="A193" s="74"/>
      <c r="B193" s="74"/>
      <c r="C193" s="75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customFormat="false" ht="15.75" hidden="false" customHeight="true" outlineLevel="0" collapsed="false">
      <c r="A194" s="74"/>
      <c r="B194" s="74"/>
      <c r="C194" s="75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customFormat="false" ht="15.75" hidden="false" customHeight="true" outlineLevel="0" collapsed="false">
      <c r="A195" s="74"/>
      <c r="B195" s="74"/>
      <c r="C195" s="75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customFormat="false" ht="15.75" hidden="false" customHeight="true" outlineLevel="0" collapsed="false">
      <c r="A196" s="74"/>
      <c r="B196" s="74"/>
      <c r="C196" s="75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customFormat="false" ht="15.75" hidden="false" customHeight="true" outlineLevel="0" collapsed="false">
      <c r="A197" s="74"/>
      <c r="B197" s="74"/>
      <c r="C197" s="75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customFormat="false" ht="15.75" hidden="false" customHeight="true" outlineLevel="0" collapsed="false">
      <c r="A198" s="74"/>
      <c r="B198" s="74"/>
      <c r="C198" s="75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customFormat="false" ht="15.75" hidden="false" customHeight="true" outlineLevel="0" collapsed="false">
      <c r="A199" s="74"/>
      <c r="B199" s="74"/>
      <c r="C199" s="75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customFormat="false" ht="15.75" hidden="false" customHeight="true" outlineLevel="0" collapsed="false">
      <c r="A200" s="74"/>
      <c r="B200" s="74"/>
      <c r="C200" s="75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customFormat="false" ht="15.75" hidden="false" customHeight="true" outlineLevel="0" collapsed="false">
      <c r="A201" s="74"/>
      <c r="B201" s="74"/>
      <c r="C201" s="75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customFormat="false" ht="15.75" hidden="false" customHeight="true" outlineLevel="0" collapsed="false">
      <c r="A202" s="74"/>
      <c r="B202" s="74"/>
      <c r="C202" s="75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customFormat="false" ht="15.75" hidden="false" customHeight="true" outlineLevel="0" collapsed="false">
      <c r="A203" s="74"/>
      <c r="B203" s="74"/>
      <c r="C203" s="75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customFormat="false" ht="15.75" hidden="false" customHeight="true" outlineLevel="0" collapsed="false">
      <c r="A204" s="74"/>
      <c r="B204" s="74"/>
      <c r="C204" s="75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customFormat="false" ht="15.75" hidden="false" customHeight="true" outlineLevel="0" collapsed="false">
      <c r="A205" s="74"/>
      <c r="B205" s="74"/>
      <c r="C205" s="75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customFormat="false" ht="15.75" hidden="false" customHeight="true" outlineLevel="0" collapsed="false">
      <c r="A206" s="74"/>
      <c r="B206" s="74"/>
      <c r="C206" s="75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customFormat="false" ht="15.75" hidden="false" customHeight="true" outlineLevel="0" collapsed="false">
      <c r="A207" s="74"/>
      <c r="B207" s="74"/>
      <c r="C207" s="75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customFormat="false" ht="15.75" hidden="false" customHeight="true" outlineLevel="0" collapsed="false">
      <c r="A208" s="74"/>
      <c r="B208" s="74"/>
      <c r="C208" s="75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customFormat="false" ht="15.75" hidden="false" customHeight="true" outlineLevel="0" collapsed="false">
      <c r="A209" s="74"/>
      <c r="B209" s="74"/>
      <c r="C209" s="75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customFormat="false" ht="15.75" hidden="false" customHeight="true" outlineLevel="0" collapsed="false">
      <c r="A210" s="74"/>
      <c r="B210" s="74"/>
      <c r="C210" s="75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customFormat="false" ht="15.75" hidden="false" customHeight="true" outlineLevel="0" collapsed="false">
      <c r="A211" s="74"/>
      <c r="B211" s="74"/>
      <c r="C211" s="75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customFormat="false" ht="15.75" hidden="false" customHeight="true" outlineLevel="0" collapsed="false">
      <c r="A212" s="74"/>
      <c r="B212" s="74"/>
      <c r="C212" s="75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customFormat="false" ht="15.75" hidden="false" customHeight="true" outlineLevel="0" collapsed="false">
      <c r="A213" s="74"/>
      <c r="B213" s="74"/>
      <c r="C213" s="75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customFormat="false" ht="15.75" hidden="false" customHeight="true" outlineLevel="0" collapsed="false">
      <c r="A214" s="74"/>
      <c r="B214" s="74"/>
      <c r="C214" s="75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customFormat="false" ht="15.75" hidden="false" customHeight="true" outlineLevel="0" collapsed="false">
      <c r="A215" s="74"/>
      <c r="B215" s="74"/>
      <c r="C215" s="75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customFormat="false" ht="15.75" hidden="false" customHeight="true" outlineLevel="0" collapsed="false">
      <c r="A216" s="74"/>
      <c r="B216" s="74"/>
      <c r="C216" s="75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customFormat="false" ht="15.75" hidden="false" customHeight="true" outlineLevel="0" collapsed="false">
      <c r="A217" s="74"/>
      <c r="B217" s="74"/>
      <c r="C217" s="75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customFormat="false" ht="15.75" hidden="false" customHeight="true" outlineLevel="0" collapsed="false">
      <c r="A218" s="74"/>
      <c r="B218" s="74"/>
      <c r="C218" s="75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customFormat="false" ht="15.75" hidden="false" customHeight="true" outlineLevel="0" collapsed="false">
      <c r="A219" s="74"/>
      <c r="B219" s="74"/>
      <c r="C219" s="75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customFormat="false" ht="15.75" hidden="false" customHeight="true" outlineLevel="0" collapsed="false">
      <c r="A220" s="74"/>
      <c r="B220" s="74"/>
      <c r="C220" s="75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customFormat="false" ht="15.75" hidden="false" customHeight="true" outlineLevel="0" collapsed="false">
      <c r="A221" s="74"/>
      <c r="B221" s="74"/>
      <c r="C221" s="75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customFormat="false" ht="15.75" hidden="false" customHeight="true" outlineLevel="0" collapsed="false">
      <c r="A222" s="74"/>
      <c r="B222" s="74"/>
      <c r="C222" s="75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customFormat="false" ht="15.75" hidden="false" customHeight="true" outlineLevel="0" collapsed="false">
      <c r="A223" s="74"/>
      <c r="B223" s="74"/>
      <c r="C223" s="75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customFormat="false" ht="15.75" hidden="false" customHeight="true" outlineLevel="0" collapsed="false">
      <c r="A224" s="74"/>
      <c r="B224" s="74"/>
      <c r="C224" s="75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customFormat="false" ht="15.75" hidden="false" customHeight="true" outlineLevel="0" collapsed="false">
      <c r="A225" s="74"/>
      <c r="B225" s="74"/>
      <c r="C225" s="75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customFormat="false" ht="15.75" hidden="false" customHeight="true" outlineLevel="0" collapsed="false">
      <c r="A226" s="74"/>
      <c r="B226" s="74"/>
      <c r="C226" s="75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customFormat="false" ht="15.75" hidden="false" customHeight="true" outlineLevel="0" collapsed="false">
      <c r="A227" s="74"/>
      <c r="B227" s="74"/>
      <c r="C227" s="75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customFormat="false" ht="15.75" hidden="false" customHeight="true" outlineLevel="0" collapsed="false">
      <c r="A228" s="74"/>
      <c r="B228" s="74"/>
      <c r="C228" s="75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customFormat="false" ht="15.75" hidden="false" customHeight="true" outlineLevel="0" collapsed="false">
      <c r="A229" s="74"/>
      <c r="B229" s="74"/>
      <c r="C229" s="75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customFormat="false" ht="15.75" hidden="false" customHeight="true" outlineLevel="0" collapsed="false">
      <c r="A230" s="74"/>
      <c r="B230" s="74"/>
      <c r="C230" s="75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customFormat="false" ht="15.75" hidden="false" customHeight="true" outlineLevel="0" collapsed="false">
      <c r="A231" s="74"/>
      <c r="B231" s="74"/>
      <c r="C231" s="75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customFormat="false" ht="15.75" hidden="false" customHeight="true" outlineLevel="0" collapsed="false">
      <c r="A232" s="74"/>
      <c r="B232" s="74"/>
      <c r="C232" s="75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customFormat="false" ht="15.75" hidden="false" customHeight="true" outlineLevel="0" collapsed="false">
      <c r="A233" s="74"/>
      <c r="B233" s="74"/>
      <c r="C233" s="75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customFormat="false" ht="15.75" hidden="false" customHeight="true" outlineLevel="0" collapsed="false">
      <c r="A234" s="74"/>
      <c r="B234" s="74"/>
      <c r="C234" s="75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customFormat="false" ht="15.75" hidden="false" customHeight="true" outlineLevel="0" collapsed="false">
      <c r="A235" s="74"/>
      <c r="B235" s="74"/>
      <c r="C235" s="75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customFormat="false" ht="15.75" hidden="false" customHeight="true" outlineLevel="0" collapsed="false">
      <c r="A236" s="74"/>
      <c r="B236" s="74"/>
      <c r="C236" s="75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customFormat="false" ht="15.75" hidden="false" customHeight="true" outlineLevel="0" collapsed="false">
      <c r="A237" s="74"/>
      <c r="B237" s="74"/>
      <c r="C237" s="75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customFormat="false" ht="15.75" hidden="false" customHeight="true" outlineLevel="0" collapsed="false">
      <c r="A238" s="74"/>
      <c r="B238" s="74"/>
      <c r="C238" s="75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customFormat="false" ht="15.75" hidden="false" customHeight="true" outlineLevel="0" collapsed="false">
      <c r="A239" s="74"/>
      <c r="B239" s="74"/>
      <c r="C239" s="75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customFormat="false" ht="15.75" hidden="false" customHeight="true" outlineLevel="0" collapsed="false">
      <c r="A240" s="74"/>
      <c r="B240" s="74"/>
      <c r="C240" s="75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customFormat="false" ht="15.75" hidden="false" customHeight="true" outlineLevel="0" collapsed="false">
      <c r="A241" s="74"/>
      <c r="B241" s="74"/>
      <c r="C241" s="75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customFormat="false" ht="15.75" hidden="false" customHeight="true" outlineLevel="0" collapsed="false">
      <c r="A242" s="74"/>
      <c r="B242" s="74"/>
      <c r="C242" s="75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customFormat="false" ht="15.75" hidden="false" customHeight="true" outlineLevel="0" collapsed="false">
      <c r="A243" s="74"/>
      <c r="B243" s="74"/>
      <c r="C243" s="75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customFormat="false" ht="15.75" hidden="false" customHeight="true" outlineLevel="0" collapsed="false">
      <c r="A244" s="74"/>
      <c r="B244" s="74"/>
      <c r="C244" s="75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customFormat="false" ht="15.75" hidden="false" customHeight="true" outlineLevel="0" collapsed="false">
      <c r="A245" s="74"/>
      <c r="B245" s="74"/>
      <c r="C245" s="75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customFormat="false" ht="15.75" hidden="false" customHeight="true" outlineLevel="0" collapsed="false">
      <c r="A246" s="74"/>
      <c r="B246" s="74"/>
      <c r="C246" s="75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customFormat="false" ht="15.75" hidden="false" customHeight="true" outlineLevel="0" collapsed="false">
      <c r="A247" s="74"/>
      <c r="B247" s="74"/>
      <c r="C247" s="75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customFormat="false" ht="15.75" hidden="false" customHeight="true" outlineLevel="0" collapsed="false">
      <c r="A248" s="74"/>
      <c r="B248" s="74"/>
      <c r="C248" s="75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customFormat="false" ht="15.75" hidden="false" customHeight="true" outlineLevel="0" collapsed="false">
      <c r="A249" s="74"/>
      <c r="B249" s="74"/>
      <c r="C249" s="75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customFormat="false" ht="15.75" hidden="false" customHeight="true" outlineLevel="0" collapsed="false">
      <c r="A250" s="74"/>
      <c r="B250" s="74"/>
      <c r="C250" s="75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customFormat="false" ht="15.75" hidden="false" customHeight="true" outlineLevel="0" collapsed="false">
      <c r="A251" s="74"/>
      <c r="B251" s="74"/>
      <c r="C251" s="75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customFormat="false" ht="15.75" hidden="false" customHeight="true" outlineLevel="0" collapsed="false">
      <c r="A252" s="74"/>
      <c r="B252" s="74"/>
      <c r="C252" s="75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customFormat="false" ht="15.75" hidden="false" customHeight="true" outlineLevel="0" collapsed="false">
      <c r="A253" s="74"/>
      <c r="B253" s="74"/>
      <c r="C253" s="75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customFormat="false" ht="15.75" hidden="false" customHeight="true" outlineLevel="0" collapsed="false">
      <c r="A254" s="74"/>
      <c r="B254" s="74"/>
      <c r="C254" s="75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customFormat="false" ht="15.75" hidden="false" customHeight="true" outlineLevel="0" collapsed="false">
      <c r="A255" s="74"/>
      <c r="B255" s="74"/>
      <c r="C255" s="75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customFormat="false" ht="15.75" hidden="false" customHeight="true" outlineLevel="0" collapsed="false">
      <c r="A256" s="74"/>
      <c r="B256" s="74"/>
      <c r="C256" s="75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customFormat="false" ht="15.75" hidden="false" customHeight="true" outlineLevel="0" collapsed="false">
      <c r="A257" s="74"/>
      <c r="B257" s="74"/>
      <c r="C257" s="75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customFormat="false" ht="15.75" hidden="false" customHeight="true" outlineLevel="0" collapsed="false">
      <c r="A258" s="74"/>
      <c r="B258" s="74"/>
      <c r="C258" s="75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customFormat="false" ht="15.75" hidden="false" customHeight="true" outlineLevel="0" collapsed="false">
      <c r="A259" s="74"/>
      <c r="B259" s="74"/>
      <c r="C259" s="75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customFormat="false" ht="15.75" hidden="false" customHeight="true" outlineLevel="0" collapsed="false">
      <c r="A260" s="74"/>
      <c r="B260" s="74"/>
      <c r="C260" s="75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customFormat="false" ht="15.75" hidden="false" customHeight="true" outlineLevel="0" collapsed="false">
      <c r="A261" s="74"/>
      <c r="B261" s="74"/>
      <c r="C261" s="75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customFormat="false" ht="15.75" hidden="false" customHeight="true" outlineLevel="0" collapsed="false">
      <c r="A262" s="74"/>
      <c r="B262" s="74"/>
      <c r="C262" s="75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customFormat="false" ht="15.75" hidden="false" customHeight="true" outlineLevel="0" collapsed="false">
      <c r="A263" s="74"/>
      <c r="B263" s="74"/>
      <c r="C263" s="75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customFormat="false" ht="15.75" hidden="false" customHeight="true" outlineLevel="0" collapsed="false">
      <c r="A264" s="74"/>
      <c r="B264" s="74"/>
      <c r="C264" s="75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customFormat="false" ht="15.75" hidden="false" customHeight="true" outlineLevel="0" collapsed="false">
      <c r="A265" s="74"/>
      <c r="B265" s="74"/>
      <c r="C265" s="75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customFormat="false" ht="15.75" hidden="false" customHeight="true" outlineLevel="0" collapsed="false">
      <c r="A266" s="74"/>
      <c r="B266" s="74"/>
      <c r="C266" s="75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customFormat="false" ht="15.75" hidden="false" customHeight="true" outlineLevel="0" collapsed="false">
      <c r="A267" s="74"/>
      <c r="B267" s="74"/>
      <c r="C267" s="75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customFormat="false" ht="15.75" hidden="false" customHeight="true" outlineLevel="0" collapsed="false">
      <c r="A268" s="74"/>
      <c r="B268" s="74"/>
      <c r="C268" s="75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customFormat="false" ht="15.75" hidden="false" customHeight="true" outlineLevel="0" collapsed="false">
      <c r="A269" s="74"/>
      <c r="B269" s="74"/>
      <c r="C269" s="75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customFormat="false" ht="15.75" hidden="false" customHeight="true" outlineLevel="0" collapsed="false">
      <c r="A270" s="74"/>
      <c r="B270" s="74"/>
      <c r="C270" s="75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customFormat="false" ht="15.75" hidden="false" customHeight="true" outlineLevel="0" collapsed="false">
      <c r="A271" s="74"/>
      <c r="B271" s="74"/>
      <c r="C271" s="75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customFormat="false" ht="15.75" hidden="false" customHeight="true" outlineLevel="0" collapsed="false">
      <c r="A272" s="74"/>
      <c r="B272" s="74"/>
      <c r="C272" s="75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customFormat="false" ht="15.75" hidden="false" customHeight="true" outlineLevel="0" collapsed="false">
      <c r="A273" s="74"/>
      <c r="B273" s="74"/>
      <c r="C273" s="75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customFormat="false" ht="15.75" hidden="false" customHeight="true" outlineLevel="0" collapsed="false">
      <c r="A274" s="74"/>
      <c r="B274" s="74"/>
      <c r="C274" s="75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customFormat="false" ht="15.75" hidden="false" customHeight="true" outlineLevel="0" collapsed="false">
      <c r="A275" s="74"/>
      <c r="B275" s="74"/>
      <c r="C275" s="75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customFormat="false" ht="15.75" hidden="false" customHeight="true" outlineLevel="0" collapsed="false">
      <c r="A276" s="74"/>
      <c r="B276" s="74"/>
      <c r="C276" s="75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customFormat="false" ht="15.75" hidden="false" customHeight="true" outlineLevel="0" collapsed="false">
      <c r="A277" s="74"/>
      <c r="B277" s="74"/>
      <c r="C277" s="75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customFormat="false" ht="15.75" hidden="false" customHeight="true" outlineLevel="0" collapsed="false">
      <c r="A278" s="74"/>
      <c r="B278" s="74"/>
      <c r="C278" s="75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customFormat="false" ht="15.75" hidden="false" customHeight="true" outlineLevel="0" collapsed="false">
      <c r="A279" s="74"/>
      <c r="B279" s="74"/>
      <c r="C279" s="75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customFormat="false" ht="15.75" hidden="false" customHeight="true" outlineLevel="0" collapsed="false">
      <c r="A280" s="74"/>
      <c r="B280" s="74"/>
      <c r="C280" s="75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customFormat="false" ht="15.75" hidden="false" customHeight="true" outlineLevel="0" collapsed="false">
      <c r="A281" s="74"/>
      <c r="B281" s="74"/>
      <c r="C281" s="75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customFormat="false" ht="15.75" hidden="false" customHeight="true" outlineLevel="0" collapsed="false">
      <c r="A282" s="74"/>
      <c r="B282" s="74"/>
      <c r="C282" s="75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customFormat="false" ht="15.75" hidden="false" customHeight="true" outlineLevel="0" collapsed="false">
      <c r="A283" s="74"/>
      <c r="B283" s="74"/>
      <c r="C283" s="75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customFormat="false" ht="15.75" hidden="false" customHeight="true" outlineLevel="0" collapsed="false">
      <c r="A284" s="74"/>
      <c r="B284" s="74"/>
      <c r="C284" s="75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customFormat="false" ht="15.75" hidden="false" customHeight="true" outlineLevel="0" collapsed="false">
      <c r="A285" s="74"/>
      <c r="B285" s="74"/>
      <c r="C285" s="75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customFormat="false" ht="15.75" hidden="false" customHeight="true" outlineLevel="0" collapsed="false">
      <c r="A286" s="74"/>
      <c r="B286" s="74"/>
      <c r="C286" s="75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customFormat="false" ht="15.75" hidden="false" customHeight="true" outlineLevel="0" collapsed="false">
      <c r="A287" s="74"/>
      <c r="B287" s="74"/>
      <c r="C287" s="75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customFormat="false" ht="15.75" hidden="false" customHeight="true" outlineLevel="0" collapsed="false">
      <c r="A288" s="74"/>
      <c r="B288" s="74"/>
      <c r="C288" s="75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customFormat="false" ht="15.75" hidden="false" customHeight="true" outlineLevel="0" collapsed="false">
      <c r="A289" s="74"/>
      <c r="B289" s="74"/>
      <c r="C289" s="75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customFormat="false" ht="15.75" hidden="false" customHeight="true" outlineLevel="0" collapsed="false">
      <c r="A290" s="74"/>
      <c r="B290" s="74"/>
      <c r="C290" s="75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customFormat="false" ht="15.75" hidden="false" customHeight="true" outlineLevel="0" collapsed="false">
      <c r="A291" s="74"/>
      <c r="B291" s="74"/>
      <c r="C291" s="75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customFormat="false" ht="15.75" hidden="false" customHeight="true" outlineLevel="0" collapsed="false">
      <c r="A292" s="74"/>
      <c r="B292" s="74"/>
      <c r="C292" s="75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customFormat="false" ht="15.75" hidden="false" customHeight="true" outlineLevel="0" collapsed="false">
      <c r="A293" s="74"/>
      <c r="B293" s="74"/>
      <c r="C293" s="75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customFormat="false" ht="15.75" hidden="false" customHeight="true" outlineLevel="0" collapsed="false">
      <c r="A294" s="74"/>
      <c r="B294" s="74"/>
      <c r="C294" s="75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customFormat="false" ht="15.75" hidden="false" customHeight="true" outlineLevel="0" collapsed="false">
      <c r="A295" s="74"/>
      <c r="B295" s="74"/>
      <c r="C295" s="75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customFormat="false" ht="15.75" hidden="false" customHeight="true" outlineLevel="0" collapsed="false">
      <c r="A296" s="74"/>
      <c r="B296" s="74"/>
      <c r="C296" s="75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customFormat="false" ht="15.75" hidden="false" customHeight="true" outlineLevel="0" collapsed="false">
      <c r="A297" s="74"/>
      <c r="B297" s="74"/>
      <c r="C297" s="75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customFormat="false" ht="15.75" hidden="false" customHeight="true" outlineLevel="0" collapsed="false">
      <c r="A298" s="74"/>
      <c r="B298" s="74"/>
      <c r="C298" s="75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customFormat="false" ht="15.75" hidden="false" customHeight="true" outlineLevel="0" collapsed="false">
      <c r="A299" s="74"/>
      <c r="B299" s="74"/>
      <c r="C299" s="75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customFormat="false" ht="15.75" hidden="false" customHeight="true" outlineLevel="0" collapsed="false">
      <c r="A300" s="74"/>
      <c r="B300" s="74"/>
      <c r="C300" s="75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customFormat="false" ht="15.75" hidden="false" customHeight="true" outlineLevel="0" collapsed="false">
      <c r="A301" s="74"/>
      <c r="B301" s="74"/>
      <c r="C301" s="75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customFormat="false" ht="15.75" hidden="false" customHeight="true" outlineLevel="0" collapsed="false">
      <c r="A302" s="74"/>
      <c r="B302" s="74"/>
      <c r="C302" s="75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customFormat="false" ht="15.75" hidden="false" customHeight="true" outlineLevel="0" collapsed="false">
      <c r="A303" s="74"/>
      <c r="B303" s="74"/>
      <c r="C303" s="75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customFormat="false" ht="15.75" hidden="false" customHeight="true" outlineLevel="0" collapsed="false">
      <c r="A304" s="74"/>
      <c r="B304" s="74"/>
      <c r="C304" s="75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customFormat="false" ht="15.75" hidden="false" customHeight="true" outlineLevel="0" collapsed="false">
      <c r="A305" s="74"/>
      <c r="B305" s="74"/>
      <c r="C305" s="75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customFormat="false" ht="15.75" hidden="false" customHeight="true" outlineLevel="0" collapsed="false">
      <c r="A306" s="74"/>
      <c r="B306" s="74"/>
      <c r="C306" s="75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customFormat="false" ht="15.75" hidden="false" customHeight="true" outlineLevel="0" collapsed="false">
      <c r="A307" s="74"/>
      <c r="B307" s="74"/>
      <c r="C307" s="75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customFormat="false" ht="15.75" hidden="false" customHeight="true" outlineLevel="0" collapsed="false">
      <c r="A308" s="74"/>
      <c r="B308" s="74"/>
      <c r="C308" s="75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customFormat="false" ht="15.75" hidden="false" customHeight="true" outlineLevel="0" collapsed="false">
      <c r="A309" s="74"/>
      <c r="B309" s="74"/>
      <c r="C309" s="75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customFormat="false" ht="15.75" hidden="false" customHeight="true" outlineLevel="0" collapsed="false">
      <c r="A310" s="74"/>
      <c r="B310" s="74"/>
      <c r="C310" s="75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customFormat="false" ht="15.75" hidden="false" customHeight="true" outlineLevel="0" collapsed="false">
      <c r="A311" s="74"/>
      <c r="B311" s="74"/>
      <c r="C311" s="75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customFormat="false" ht="15.75" hidden="false" customHeight="true" outlineLevel="0" collapsed="false">
      <c r="A312" s="74"/>
      <c r="B312" s="74"/>
      <c r="C312" s="75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customFormat="false" ht="15.75" hidden="false" customHeight="true" outlineLevel="0" collapsed="false">
      <c r="A313" s="74"/>
      <c r="B313" s="74"/>
      <c r="C313" s="75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customFormat="false" ht="15.75" hidden="false" customHeight="true" outlineLevel="0" collapsed="false">
      <c r="A314" s="74"/>
      <c r="B314" s="74"/>
      <c r="C314" s="75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customFormat="false" ht="15.75" hidden="false" customHeight="true" outlineLevel="0" collapsed="false">
      <c r="A315" s="74"/>
      <c r="B315" s="74"/>
      <c r="C315" s="75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customFormat="false" ht="15.75" hidden="false" customHeight="true" outlineLevel="0" collapsed="false">
      <c r="A316" s="74"/>
      <c r="B316" s="74"/>
      <c r="C316" s="75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customFormat="false" ht="15.75" hidden="false" customHeight="true" outlineLevel="0" collapsed="false">
      <c r="A317" s="74"/>
      <c r="B317" s="74"/>
      <c r="C317" s="75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customFormat="false" ht="15.75" hidden="false" customHeight="true" outlineLevel="0" collapsed="false">
      <c r="A318" s="74"/>
      <c r="B318" s="74"/>
      <c r="C318" s="75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customFormat="false" ht="15.75" hidden="false" customHeight="true" outlineLevel="0" collapsed="false">
      <c r="A319" s="74"/>
      <c r="B319" s="74"/>
      <c r="C319" s="75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customFormat="false" ht="15.75" hidden="false" customHeight="true" outlineLevel="0" collapsed="false">
      <c r="A320" s="74"/>
      <c r="B320" s="74"/>
      <c r="C320" s="75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customFormat="false" ht="15.75" hidden="false" customHeight="true" outlineLevel="0" collapsed="false">
      <c r="A321" s="74"/>
      <c r="B321" s="74"/>
      <c r="C321" s="75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customFormat="false" ht="15.75" hidden="false" customHeight="true" outlineLevel="0" collapsed="false">
      <c r="A322" s="74"/>
      <c r="B322" s="74"/>
      <c r="C322" s="75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customFormat="false" ht="15.75" hidden="false" customHeight="true" outlineLevel="0" collapsed="false">
      <c r="A323" s="74"/>
      <c r="B323" s="74"/>
      <c r="C323" s="75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customFormat="false" ht="15.75" hidden="false" customHeight="true" outlineLevel="0" collapsed="false">
      <c r="A324" s="74"/>
      <c r="B324" s="74"/>
      <c r="C324" s="75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customFormat="false" ht="15.75" hidden="false" customHeight="true" outlineLevel="0" collapsed="false">
      <c r="A325" s="74"/>
      <c r="B325" s="74"/>
      <c r="C325" s="75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customFormat="false" ht="15.75" hidden="false" customHeight="true" outlineLevel="0" collapsed="false">
      <c r="A326" s="74"/>
      <c r="B326" s="74"/>
      <c r="C326" s="75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customFormat="false" ht="15.75" hidden="false" customHeight="true" outlineLevel="0" collapsed="false">
      <c r="A327" s="74"/>
      <c r="B327" s="74"/>
      <c r="C327" s="75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customFormat="false" ht="15.75" hidden="false" customHeight="true" outlineLevel="0" collapsed="false">
      <c r="A328" s="74"/>
      <c r="B328" s="74"/>
      <c r="C328" s="75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customFormat="false" ht="15.75" hidden="false" customHeight="true" outlineLevel="0" collapsed="false">
      <c r="A329" s="74"/>
      <c r="B329" s="74"/>
      <c r="C329" s="75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customFormat="false" ht="15.75" hidden="false" customHeight="true" outlineLevel="0" collapsed="false">
      <c r="A330" s="74"/>
      <c r="B330" s="74"/>
      <c r="C330" s="75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customFormat="false" ht="15.75" hidden="false" customHeight="true" outlineLevel="0" collapsed="false">
      <c r="A331" s="74"/>
      <c r="B331" s="74"/>
      <c r="C331" s="75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customFormat="false" ht="15.75" hidden="false" customHeight="true" outlineLevel="0" collapsed="false">
      <c r="A332" s="74"/>
      <c r="B332" s="74"/>
      <c r="C332" s="75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customFormat="false" ht="15.75" hidden="false" customHeight="true" outlineLevel="0" collapsed="false">
      <c r="A333" s="74"/>
      <c r="B333" s="74"/>
      <c r="C333" s="75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customFormat="false" ht="15.75" hidden="false" customHeight="true" outlineLevel="0" collapsed="false">
      <c r="A334" s="74"/>
      <c r="B334" s="74"/>
      <c r="C334" s="75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customFormat="false" ht="15.75" hidden="false" customHeight="true" outlineLevel="0" collapsed="false">
      <c r="A335" s="74"/>
      <c r="B335" s="74"/>
      <c r="C335" s="75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customFormat="false" ht="15.75" hidden="false" customHeight="true" outlineLevel="0" collapsed="false">
      <c r="A336" s="74"/>
      <c r="B336" s="74"/>
      <c r="C336" s="75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customFormat="false" ht="15.75" hidden="false" customHeight="true" outlineLevel="0" collapsed="false">
      <c r="A337" s="74"/>
      <c r="B337" s="74"/>
      <c r="C337" s="75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customFormat="false" ht="15.75" hidden="false" customHeight="true" outlineLevel="0" collapsed="false">
      <c r="A338" s="74"/>
      <c r="B338" s="74"/>
      <c r="C338" s="75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customFormat="false" ht="15.75" hidden="false" customHeight="true" outlineLevel="0" collapsed="false">
      <c r="A339" s="74"/>
      <c r="B339" s="74"/>
      <c r="C339" s="75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customFormat="false" ht="15.75" hidden="false" customHeight="true" outlineLevel="0" collapsed="false">
      <c r="A340" s="74"/>
      <c r="B340" s="74"/>
      <c r="C340" s="75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customFormat="false" ht="15.75" hidden="false" customHeight="true" outlineLevel="0" collapsed="false">
      <c r="A341" s="74"/>
      <c r="B341" s="74"/>
      <c r="C341" s="75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customFormat="false" ht="15.75" hidden="false" customHeight="true" outlineLevel="0" collapsed="false">
      <c r="A342" s="74"/>
      <c r="B342" s="74"/>
      <c r="C342" s="75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customFormat="false" ht="15.75" hidden="false" customHeight="true" outlineLevel="0" collapsed="false">
      <c r="A343" s="74"/>
      <c r="B343" s="74"/>
      <c r="C343" s="75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customFormat="false" ht="15.75" hidden="false" customHeight="true" outlineLevel="0" collapsed="false">
      <c r="A344" s="74"/>
      <c r="B344" s="74"/>
      <c r="C344" s="75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customFormat="false" ht="15.75" hidden="false" customHeight="true" outlineLevel="0" collapsed="false">
      <c r="A345" s="74"/>
      <c r="B345" s="74"/>
      <c r="C345" s="75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customFormat="false" ht="15.75" hidden="false" customHeight="true" outlineLevel="0" collapsed="false">
      <c r="A346" s="74"/>
      <c r="B346" s="74"/>
      <c r="C346" s="75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customFormat="false" ht="15.75" hidden="false" customHeight="true" outlineLevel="0" collapsed="false">
      <c r="A347" s="74"/>
      <c r="B347" s="74"/>
      <c r="C347" s="75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customFormat="false" ht="15.75" hidden="false" customHeight="true" outlineLevel="0" collapsed="false">
      <c r="A348" s="74"/>
      <c r="B348" s="74"/>
      <c r="C348" s="75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customFormat="false" ht="15.75" hidden="false" customHeight="true" outlineLevel="0" collapsed="false">
      <c r="A349" s="74"/>
      <c r="B349" s="74"/>
      <c r="C349" s="75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customFormat="false" ht="15.75" hidden="false" customHeight="true" outlineLevel="0" collapsed="false">
      <c r="A350" s="74"/>
      <c r="B350" s="74"/>
      <c r="C350" s="75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customFormat="false" ht="15.75" hidden="false" customHeight="true" outlineLevel="0" collapsed="false">
      <c r="A351" s="74"/>
      <c r="B351" s="74"/>
      <c r="C351" s="75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customFormat="false" ht="15.75" hidden="false" customHeight="true" outlineLevel="0" collapsed="false">
      <c r="A352" s="74"/>
      <c r="B352" s="74"/>
      <c r="C352" s="75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customFormat="false" ht="15.75" hidden="false" customHeight="true" outlineLevel="0" collapsed="false">
      <c r="A353" s="74"/>
      <c r="B353" s="74"/>
      <c r="C353" s="75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customFormat="false" ht="15.75" hidden="false" customHeight="true" outlineLevel="0" collapsed="false">
      <c r="A354" s="74"/>
      <c r="B354" s="74"/>
      <c r="C354" s="75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customFormat="false" ht="15.75" hidden="false" customHeight="true" outlineLevel="0" collapsed="false">
      <c r="A355" s="74"/>
      <c r="B355" s="74"/>
      <c r="C355" s="75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customFormat="false" ht="15.75" hidden="false" customHeight="true" outlineLevel="0" collapsed="false">
      <c r="A356" s="74"/>
      <c r="B356" s="74"/>
      <c r="C356" s="75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customFormat="false" ht="15.75" hidden="false" customHeight="true" outlineLevel="0" collapsed="false">
      <c r="A357" s="74"/>
      <c r="B357" s="74"/>
      <c r="C357" s="75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customFormat="false" ht="15.75" hidden="false" customHeight="true" outlineLevel="0" collapsed="false">
      <c r="A358" s="74"/>
      <c r="B358" s="74"/>
      <c r="C358" s="75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customFormat="false" ht="15.75" hidden="false" customHeight="true" outlineLevel="0" collapsed="false">
      <c r="A359" s="74"/>
      <c r="B359" s="74"/>
      <c r="C359" s="75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customFormat="false" ht="15.75" hidden="false" customHeight="true" outlineLevel="0" collapsed="false">
      <c r="A360" s="74"/>
      <c r="B360" s="74"/>
      <c r="C360" s="75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customFormat="false" ht="15.75" hidden="false" customHeight="true" outlineLevel="0" collapsed="false">
      <c r="A361" s="74"/>
      <c r="B361" s="74"/>
      <c r="C361" s="75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customFormat="false" ht="15.75" hidden="false" customHeight="true" outlineLevel="0" collapsed="false">
      <c r="A362" s="74"/>
      <c r="B362" s="74"/>
      <c r="C362" s="75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customFormat="false" ht="15.75" hidden="false" customHeight="true" outlineLevel="0" collapsed="false">
      <c r="A363" s="74"/>
      <c r="B363" s="74"/>
      <c r="C363" s="75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customFormat="false" ht="15.75" hidden="false" customHeight="true" outlineLevel="0" collapsed="false">
      <c r="A364" s="74"/>
      <c r="B364" s="74"/>
      <c r="C364" s="75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customFormat="false" ht="15.75" hidden="false" customHeight="true" outlineLevel="0" collapsed="false">
      <c r="A365" s="74"/>
      <c r="B365" s="74"/>
      <c r="C365" s="75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customFormat="false" ht="15.75" hidden="false" customHeight="true" outlineLevel="0" collapsed="false">
      <c r="A366" s="74"/>
      <c r="B366" s="74"/>
      <c r="C366" s="75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customFormat="false" ht="15.75" hidden="false" customHeight="true" outlineLevel="0" collapsed="false">
      <c r="A367" s="74"/>
      <c r="B367" s="74"/>
      <c r="C367" s="75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customFormat="false" ht="15.75" hidden="false" customHeight="true" outlineLevel="0" collapsed="false">
      <c r="A368" s="74"/>
      <c r="B368" s="74"/>
      <c r="C368" s="75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customFormat="false" ht="15.75" hidden="false" customHeight="true" outlineLevel="0" collapsed="false">
      <c r="A369" s="74"/>
      <c r="B369" s="74"/>
      <c r="C369" s="75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customFormat="false" ht="15.75" hidden="false" customHeight="true" outlineLevel="0" collapsed="false">
      <c r="A370" s="74"/>
      <c r="B370" s="74"/>
      <c r="C370" s="75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customFormat="false" ht="15.75" hidden="false" customHeight="true" outlineLevel="0" collapsed="false">
      <c r="A371" s="74"/>
      <c r="B371" s="74"/>
      <c r="C371" s="75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customFormat="false" ht="15.75" hidden="false" customHeight="true" outlineLevel="0" collapsed="false">
      <c r="A372" s="74"/>
      <c r="B372" s="74"/>
      <c r="C372" s="75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customFormat="false" ht="15.75" hidden="false" customHeight="true" outlineLevel="0" collapsed="false">
      <c r="A373" s="74"/>
      <c r="B373" s="74"/>
      <c r="C373" s="75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customFormat="false" ht="15.75" hidden="false" customHeight="true" outlineLevel="0" collapsed="false">
      <c r="A374" s="74"/>
      <c r="B374" s="74"/>
      <c r="C374" s="75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customFormat="false" ht="15.75" hidden="false" customHeight="true" outlineLevel="0" collapsed="false">
      <c r="A375" s="74"/>
      <c r="B375" s="74"/>
      <c r="C375" s="75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customFormat="false" ht="15.75" hidden="false" customHeight="true" outlineLevel="0" collapsed="false">
      <c r="A376" s="74"/>
      <c r="B376" s="74"/>
      <c r="C376" s="75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customFormat="false" ht="15.75" hidden="false" customHeight="true" outlineLevel="0" collapsed="false">
      <c r="A377" s="74"/>
      <c r="B377" s="74"/>
      <c r="C377" s="75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customFormat="false" ht="15.75" hidden="false" customHeight="true" outlineLevel="0" collapsed="false">
      <c r="A378" s="74"/>
      <c r="B378" s="74"/>
      <c r="C378" s="75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customFormat="false" ht="15.75" hidden="false" customHeight="true" outlineLevel="0" collapsed="false">
      <c r="A379" s="74"/>
      <c r="B379" s="74"/>
      <c r="C379" s="75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customFormat="false" ht="15.75" hidden="false" customHeight="true" outlineLevel="0" collapsed="false">
      <c r="A380" s="74"/>
      <c r="B380" s="74"/>
      <c r="C380" s="75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customFormat="false" ht="15.75" hidden="false" customHeight="true" outlineLevel="0" collapsed="false">
      <c r="A381" s="74"/>
      <c r="B381" s="74"/>
      <c r="C381" s="75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customFormat="false" ht="15.75" hidden="false" customHeight="true" outlineLevel="0" collapsed="false">
      <c r="A382" s="74"/>
      <c r="B382" s="74"/>
      <c r="C382" s="75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customFormat="false" ht="15.75" hidden="false" customHeight="true" outlineLevel="0" collapsed="false">
      <c r="A383" s="74"/>
      <c r="B383" s="74"/>
      <c r="C383" s="75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customFormat="false" ht="15.75" hidden="false" customHeight="true" outlineLevel="0" collapsed="false">
      <c r="A384" s="74"/>
      <c r="B384" s="74"/>
      <c r="C384" s="75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customFormat="false" ht="15.75" hidden="false" customHeight="true" outlineLevel="0" collapsed="false">
      <c r="A385" s="74"/>
      <c r="B385" s="74"/>
      <c r="C385" s="75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customFormat="false" ht="15.75" hidden="false" customHeight="true" outlineLevel="0" collapsed="false">
      <c r="A386" s="74"/>
      <c r="B386" s="74"/>
      <c r="C386" s="75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customFormat="false" ht="15.75" hidden="false" customHeight="true" outlineLevel="0" collapsed="false">
      <c r="A387" s="74"/>
      <c r="B387" s="74"/>
      <c r="C387" s="75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customFormat="false" ht="15.75" hidden="false" customHeight="true" outlineLevel="0" collapsed="false">
      <c r="A388" s="74"/>
      <c r="B388" s="74"/>
      <c r="C388" s="75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customFormat="false" ht="15.75" hidden="false" customHeight="true" outlineLevel="0" collapsed="false">
      <c r="A389" s="74"/>
      <c r="B389" s="74"/>
      <c r="C389" s="75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customFormat="false" ht="15.75" hidden="false" customHeight="true" outlineLevel="0" collapsed="false">
      <c r="A390" s="74"/>
      <c r="B390" s="74"/>
      <c r="C390" s="75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customFormat="false" ht="15.75" hidden="false" customHeight="true" outlineLevel="0" collapsed="false">
      <c r="A391" s="74"/>
      <c r="B391" s="74"/>
      <c r="C391" s="75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customFormat="false" ht="15.75" hidden="false" customHeight="true" outlineLevel="0" collapsed="false">
      <c r="A392" s="74"/>
      <c r="B392" s="74"/>
      <c r="C392" s="75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customFormat="false" ht="15.75" hidden="false" customHeight="true" outlineLevel="0" collapsed="false">
      <c r="A393" s="74"/>
      <c r="B393" s="74"/>
      <c r="C393" s="75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customFormat="false" ht="15.75" hidden="false" customHeight="true" outlineLevel="0" collapsed="false">
      <c r="A394" s="74"/>
      <c r="B394" s="74"/>
      <c r="C394" s="75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customFormat="false" ht="15.75" hidden="false" customHeight="true" outlineLevel="0" collapsed="false">
      <c r="A395" s="74"/>
      <c r="B395" s="74"/>
      <c r="C395" s="75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customFormat="false" ht="15.75" hidden="false" customHeight="true" outlineLevel="0" collapsed="false">
      <c r="A396" s="74"/>
      <c r="B396" s="74"/>
      <c r="C396" s="75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customFormat="false" ht="15.75" hidden="false" customHeight="true" outlineLevel="0" collapsed="false">
      <c r="A397" s="74"/>
      <c r="B397" s="74"/>
      <c r="C397" s="75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customFormat="false" ht="15.75" hidden="false" customHeight="true" outlineLevel="0" collapsed="false">
      <c r="A398" s="74"/>
      <c r="B398" s="74"/>
      <c r="C398" s="75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customFormat="false" ht="15.75" hidden="false" customHeight="true" outlineLevel="0" collapsed="false">
      <c r="A399" s="74"/>
      <c r="B399" s="74"/>
      <c r="C399" s="75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customFormat="false" ht="15.75" hidden="false" customHeight="true" outlineLevel="0" collapsed="false">
      <c r="A400" s="74"/>
      <c r="B400" s="74"/>
      <c r="C400" s="75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customFormat="false" ht="15.75" hidden="false" customHeight="true" outlineLevel="0" collapsed="false">
      <c r="A401" s="74"/>
      <c r="B401" s="74"/>
      <c r="C401" s="75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customFormat="false" ht="15.75" hidden="false" customHeight="true" outlineLevel="0" collapsed="false">
      <c r="A402" s="74"/>
      <c r="B402" s="74"/>
      <c r="C402" s="75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customFormat="false" ht="15.75" hidden="false" customHeight="true" outlineLevel="0" collapsed="false">
      <c r="A403" s="74"/>
      <c r="B403" s="74"/>
      <c r="C403" s="75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customFormat="false" ht="15.75" hidden="false" customHeight="true" outlineLevel="0" collapsed="false">
      <c r="A404" s="74"/>
      <c r="B404" s="74"/>
      <c r="C404" s="75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customFormat="false" ht="15.75" hidden="false" customHeight="true" outlineLevel="0" collapsed="false">
      <c r="A405" s="74"/>
      <c r="B405" s="74"/>
      <c r="C405" s="75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customFormat="false" ht="15.75" hidden="false" customHeight="true" outlineLevel="0" collapsed="false">
      <c r="A406" s="74"/>
      <c r="B406" s="74"/>
      <c r="C406" s="75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customFormat="false" ht="15.75" hidden="false" customHeight="true" outlineLevel="0" collapsed="false">
      <c r="A407" s="74"/>
      <c r="B407" s="74"/>
      <c r="C407" s="75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customFormat="false" ht="15.75" hidden="false" customHeight="true" outlineLevel="0" collapsed="false">
      <c r="A408" s="74"/>
      <c r="B408" s="74"/>
      <c r="C408" s="75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customFormat="false" ht="15.75" hidden="false" customHeight="true" outlineLevel="0" collapsed="false">
      <c r="A409" s="74"/>
      <c r="B409" s="74"/>
      <c r="C409" s="75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customFormat="false" ht="15.75" hidden="false" customHeight="true" outlineLevel="0" collapsed="false">
      <c r="A410" s="74"/>
      <c r="B410" s="74"/>
      <c r="C410" s="75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customFormat="false" ht="15.75" hidden="false" customHeight="true" outlineLevel="0" collapsed="false">
      <c r="A411" s="74"/>
      <c r="B411" s="74"/>
      <c r="C411" s="75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customFormat="false" ht="15.75" hidden="false" customHeight="true" outlineLevel="0" collapsed="false">
      <c r="A412" s="74"/>
      <c r="B412" s="74"/>
      <c r="C412" s="75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customFormat="false" ht="15.75" hidden="false" customHeight="true" outlineLevel="0" collapsed="false">
      <c r="A413" s="74"/>
      <c r="B413" s="74"/>
      <c r="C413" s="75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customFormat="false" ht="15.75" hidden="false" customHeight="true" outlineLevel="0" collapsed="false">
      <c r="A414" s="74"/>
      <c r="B414" s="74"/>
      <c r="C414" s="75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customFormat="false" ht="15.75" hidden="false" customHeight="true" outlineLevel="0" collapsed="false">
      <c r="A415" s="74"/>
      <c r="B415" s="74"/>
      <c r="C415" s="75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customFormat="false" ht="15.75" hidden="false" customHeight="true" outlineLevel="0" collapsed="false">
      <c r="A416" s="74"/>
      <c r="B416" s="74"/>
      <c r="C416" s="75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customFormat="false" ht="15.75" hidden="false" customHeight="true" outlineLevel="0" collapsed="false">
      <c r="A417" s="74"/>
      <c r="B417" s="74"/>
      <c r="C417" s="75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customFormat="false" ht="15.75" hidden="false" customHeight="true" outlineLevel="0" collapsed="false">
      <c r="A418" s="74"/>
      <c r="B418" s="74"/>
      <c r="C418" s="75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customFormat="false" ht="15.75" hidden="false" customHeight="true" outlineLevel="0" collapsed="false">
      <c r="A419" s="74"/>
      <c r="B419" s="74"/>
      <c r="C419" s="75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customFormat="false" ht="15.75" hidden="false" customHeight="true" outlineLevel="0" collapsed="false">
      <c r="A420" s="74"/>
      <c r="B420" s="74"/>
      <c r="C420" s="75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customFormat="false" ht="15.75" hidden="false" customHeight="true" outlineLevel="0" collapsed="false">
      <c r="A421" s="74"/>
      <c r="B421" s="74"/>
      <c r="C421" s="75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customFormat="false" ht="15.75" hidden="false" customHeight="true" outlineLevel="0" collapsed="false">
      <c r="A422" s="74"/>
      <c r="B422" s="74"/>
      <c r="C422" s="75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customFormat="false" ht="15.75" hidden="false" customHeight="true" outlineLevel="0" collapsed="false">
      <c r="A423" s="74"/>
      <c r="B423" s="74"/>
      <c r="C423" s="75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customFormat="false" ht="15.75" hidden="false" customHeight="true" outlineLevel="0" collapsed="false">
      <c r="A424" s="74"/>
      <c r="B424" s="74"/>
      <c r="C424" s="75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customFormat="false" ht="15.75" hidden="false" customHeight="true" outlineLevel="0" collapsed="false">
      <c r="A425" s="74"/>
      <c r="B425" s="74"/>
      <c r="C425" s="75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customFormat="false" ht="15.75" hidden="false" customHeight="true" outlineLevel="0" collapsed="false">
      <c r="A426" s="74"/>
      <c r="B426" s="74"/>
      <c r="C426" s="75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customFormat="false" ht="15.75" hidden="false" customHeight="true" outlineLevel="0" collapsed="false">
      <c r="A427" s="74"/>
      <c r="B427" s="74"/>
      <c r="C427" s="75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customFormat="false" ht="15.75" hidden="false" customHeight="true" outlineLevel="0" collapsed="false">
      <c r="A428" s="74"/>
      <c r="B428" s="74"/>
      <c r="C428" s="75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customFormat="false" ht="15.75" hidden="false" customHeight="true" outlineLevel="0" collapsed="false">
      <c r="A429" s="74"/>
      <c r="B429" s="74"/>
      <c r="C429" s="75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customFormat="false" ht="15.75" hidden="false" customHeight="true" outlineLevel="0" collapsed="false">
      <c r="A430" s="74"/>
      <c r="B430" s="74"/>
      <c r="C430" s="75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customFormat="false" ht="15.75" hidden="false" customHeight="true" outlineLevel="0" collapsed="false">
      <c r="A431" s="74"/>
      <c r="B431" s="74"/>
      <c r="C431" s="75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customFormat="false" ht="15.75" hidden="false" customHeight="true" outlineLevel="0" collapsed="false">
      <c r="A432" s="74"/>
      <c r="B432" s="74"/>
      <c r="C432" s="75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customFormat="false" ht="15.75" hidden="false" customHeight="true" outlineLevel="0" collapsed="false">
      <c r="A433" s="74"/>
      <c r="B433" s="74"/>
      <c r="C433" s="75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customFormat="false" ht="15.75" hidden="false" customHeight="true" outlineLevel="0" collapsed="false">
      <c r="A434" s="74"/>
      <c r="B434" s="74"/>
      <c r="C434" s="75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customFormat="false" ht="15.75" hidden="false" customHeight="true" outlineLevel="0" collapsed="false">
      <c r="A435" s="74"/>
      <c r="B435" s="74"/>
      <c r="C435" s="75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customFormat="false" ht="15.75" hidden="false" customHeight="true" outlineLevel="0" collapsed="false">
      <c r="A436" s="74"/>
      <c r="B436" s="74"/>
      <c r="C436" s="75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customFormat="false" ht="15.75" hidden="false" customHeight="true" outlineLevel="0" collapsed="false">
      <c r="A437" s="74"/>
      <c r="B437" s="74"/>
      <c r="C437" s="75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customFormat="false" ht="15.75" hidden="false" customHeight="true" outlineLevel="0" collapsed="false">
      <c r="A438" s="74"/>
      <c r="B438" s="74"/>
      <c r="C438" s="75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customFormat="false" ht="15.75" hidden="false" customHeight="true" outlineLevel="0" collapsed="false">
      <c r="A439" s="74"/>
      <c r="B439" s="74"/>
      <c r="C439" s="75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customFormat="false" ht="15.75" hidden="false" customHeight="true" outlineLevel="0" collapsed="false">
      <c r="A440" s="74"/>
      <c r="B440" s="74"/>
      <c r="C440" s="75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customFormat="false" ht="15.75" hidden="false" customHeight="true" outlineLevel="0" collapsed="false">
      <c r="A441" s="74"/>
      <c r="B441" s="74"/>
      <c r="C441" s="75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customFormat="false" ht="15.75" hidden="false" customHeight="true" outlineLevel="0" collapsed="false">
      <c r="A442" s="74"/>
      <c r="B442" s="74"/>
      <c r="C442" s="75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customFormat="false" ht="15.75" hidden="false" customHeight="true" outlineLevel="0" collapsed="false">
      <c r="A443" s="74"/>
      <c r="B443" s="74"/>
      <c r="C443" s="75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customFormat="false" ht="15.75" hidden="false" customHeight="true" outlineLevel="0" collapsed="false">
      <c r="A444" s="74"/>
      <c r="B444" s="74"/>
      <c r="C444" s="75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customFormat="false" ht="15.75" hidden="false" customHeight="true" outlineLevel="0" collapsed="false">
      <c r="A445" s="74"/>
      <c r="B445" s="74"/>
      <c r="C445" s="75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customFormat="false" ht="15.75" hidden="false" customHeight="true" outlineLevel="0" collapsed="false">
      <c r="A446" s="74"/>
      <c r="B446" s="74"/>
      <c r="C446" s="75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customFormat="false" ht="15.75" hidden="false" customHeight="true" outlineLevel="0" collapsed="false">
      <c r="A447" s="74"/>
      <c r="B447" s="74"/>
      <c r="C447" s="75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customFormat="false" ht="15.75" hidden="false" customHeight="true" outlineLevel="0" collapsed="false">
      <c r="A448" s="74"/>
      <c r="B448" s="74"/>
      <c r="C448" s="75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customFormat="false" ht="15.75" hidden="false" customHeight="true" outlineLevel="0" collapsed="false">
      <c r="A449" s="74"/>
      <c r="B449" s="74"/>
      <c r="C449" s="75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customFormat="false" ht="15.75" hidden="false" customHeight="true" outlineLevel="0" collapsed="false">
      <c r="A450" s="74"/>
      <c r="B450" s="74"/>
      <c r="C450" s="75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customFormat="false" ht="15.75" hidden="false" customHeight="true" outlineLevel="0" collapsed="false">
      <c r="A451" s="74"/>
      <c r="B451" s="74"/>
      <c r="C451" s="75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customFormat="false" ht="15.75" hidden="false" customHeight="true" outlineLevel="0" collapsed="false">
      <c r="A452" s="74"/>
      <c r="B452" s="74"/>
      <c r="C452" s="75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customFormat="false" ht="15.75" hidden="false" customHeight="true" outlineLevel="0" collapsed="false">
      <c r="A453" s="74"/>
      <c r="B453" s="74"/>
      <c r="C453" s="75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customFormat="false" ht="15.75" hidden="false" customHeight="true" outlineLevel="0" collapsed="false">
      <c r="A454" s="74"/>
      <c r="B454" s="74"/>
      <c r="C454" s="75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customFormat="false" ht="15.75" hidden="false" customHeight="true" outlineLevel="0" collapsed="false">
      <c r="A455" s="74"/>
      <c r="B455" s="74"/>
      <c r="C455" s="75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customFormat="false" ht="15.75" hidden="false" customHeight="true" outlineLevel="0" collapsed="false">
      <c r="A456" s="74"/>
      <c r="B456" s="74"/>
      <c r="C456" s="75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customFormat="false" ht="15.75" hidden="false" customHeight="true" outlineLevel="0" collapsed="false">
      <c r="A457" s="74"/>
      <c r="B457" s="74"/>
      <c r="C457" s="75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customFormat="false" ht="15.75" hidden="false" customHeight="true" outlineLevel="0" collapsed="false">
      <c r="A458" s="74"/>
      <c r="B458" s="74"/>
      <c r="C458" s="75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customFormat="false" ht="15.75" hidden="false" customHeight="true" outlineLevel="0" collapsed="false">
      <c r="A459" s="74"/>
      <c r="B459" s="74"/>
      <c r="C459" s="75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customFormat="false" ht="15.75" hidden="false" customHeight="true" outlineLevel="0" collapsed="false">
      <c r="A460" s="74"/>
      <c r="B460" s="74"/>
      <c r="C460" s="75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customFormat="false" ht="15.75" hidden="false" customHeight="true" outlineLevel="0" collapsed="false">
      <c r="A461" s="74"/>
      <c r="B461" s="74"/>
      <c r="C461" s="75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customFormat="false" ht="15.75" hidden="false" customHeight="true" outlineLevel="0" collapsed="false">
      <c r="A462" s="74"/>
      <c r="B462" s="74"/>
      <c r="C462" s="75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customFormat="false" ht="15.75" hidden="false" customHeight="true" outlineLevel="0" collapsed="false">
      <c r="A463" s="74"/>
      <c r="B463" s="74"/>
      <c r="C463" s="75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customFormat="false" ht="15.75" hidden="false" customHeight="true" outlineLevel="0" collapsed="false">
      <c r="A464" s="74"/>
      <c r="B464" s="74"/>
      <c r="C464" s="75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customFormat="false" ht="15.75" hidden="false" customHeight="true" outlineLevel="0" collapsed="false">
      <c r="A465" s="74"/>
      <c r="B465" s="74"/>
      <c r="C465" s="75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customFormat="false" ht="15.75" hidden="false" customHeight="true" outlineLevel="0" collapsed="false">
      <c r="A466" s="74"/>
      <c r="B466" s="74"/>
      <c r="C466" s="75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customFormat="false" ht="15.75" hidden="false" customHeight="true" outlineLevel="0" collapsed="false">
      <c r="A467" s="74"/>
      <c r="B467" s="74"/>
      <c r="C467" s="75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customFormat="false" ht="15.75" hidden="false" customHeight="true" outlineLevel="0" collapsed="false">
      <c r="A468" s="74"/>
      <c r="B468" s="74"/>
      <c r="C468" s="75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customFormat="false" ht="15.75" hidden="false" customHeight="true" outlineLevel="0" collapsed="false">
      <c r="A469" s="74"/>
      <c r="B469" s="74"/>
      <c r="C469" s="75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customFormat="false" ht="15.75" hidden="false" customHeight="true" outlineLevel="0" collapsed="false">
      <c r="A470" s="74"/>
      <c r="B470" s="74"/>
      <c r="C470" s="75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customFormat="false" ht="15.75" hidden="false" customHeight="true" outlineLevel="0" collapsed="false">
      <c r="A471" s="74"/>
      <c r="B471" s="74"/>
      <c r="C471" s="75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customFormat="false" ht="15.75" hidden="false" customHeight="true" outlineLevel="0" collapsed="false">
      <c r="A472" s="74"/>
      <c r="B472" s="74"/>
      <c r="C472" s="75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customFormat="false" ht="15.75" hidden="false" customHeight="true" outlineLevel="0" collapsed="false">
      <c r="A473" s="74"/>
      <c r="B473" s="74"/>
      <c r="C473" s="75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customFormat="false" ht="15.75" hidden="false" customHeight="true" outlineLevel="0" collapsed="false">
      <c r="A474" s="74"/>
      <c r="B474" s="74"/>
      <c r="C474" s="75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customFormat="false" ht="15.75" hidden="false" customHeight="true" outlineLevel="0" collapsed="false">
      <c r="A475" s="74"/>
      <c r="B475" s="74"/>
      <c r="C475" s="75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customFormat="false" ht="15.75" hidden="false" customHeight="true" outlineLevel="0" collapsed="false">
      <c r="A476" s="74"/>
      <c r="B476" s="74"/>
      <c r="C476" s="75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customFormat="false" ht="15.75" hidden="false" customHeight="true" outlineLevel="0" collapsed="false">
      <c r="A477" s="74"/>
      <c r="B477" s="74"/>
      <c r="C477" s="75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customFormat="false" ht="15.75" hidden="false" customHeight="true" outlineLevel="0" collapsed="false">
      <c r="A478" s="74"/>
      <c r="B478" s="74"/>
      <c r="C478" s="75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customFormat="false" ht="15.75" hidden="false" customHeight="true" outlineLevel="0" collapsed="false">
      <c r="A479" s="74"/>
      <c r="B479" s="74"/>
      <c r="C479" s="75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customFormat="false" ht="15.75" hidden="false" customHeight="true" outlineLevel="0" collapsed="false">
      <c r="A480" s="74"/>
      <c r="B480" s="74"/>
      <c r="C480" s="75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customFormat="false" ht="15.75" hidden="false" customHeight="true" outlineLevel="0" collapsed="false">
      <c r="A481" s="74"/>
      <c r="B481" s="74"/>
      <c r="C481" s="75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customFormat="false" ht="15.75" hidden="false" customHeight="true" outlineLevel="0" collapsed="false">
      <c r="A482" s="74"/>
      <c r="B482" s="74"/>
      <c r="C482" s="75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customFormat="false" ht="15.75" hidden="false" customHeight="true" outlineLevel="0" collapsed="false">
      <c r="A483" s="74"/>
      <c r="B483" s="74"/>
      <c r="C483" s="75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customFormat="false" ht="15.75" hidden="false" customHeight="true" outlineLevel="0" collapsed="false">
      <c r="A484" s="74"/>
      <c r="B484" s="74"/>
      <c r="C484" s="75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customFormat="false" ht="15.75" hidden="false" customHeight="true" outlineLevel="0" collapsed="false">
      <c r="A485" s="74"/>
      <c r="B485" s="74"/>
      <c r="C485" s="75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customFormat="false" ht="15.75" hidden="false" customHeight="true" outlineLevel="0" collapsed="false">
      <c r="A486" s="74"/>
      <c r="B486" s="74"/>
      <c r="C486" s="75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customFormat="false" ht="15.75" hidden="false" customHeight="true" outlineLevel="0" collapsed="false">
      <c r="A487" s="74"/>
      <c r="B487" s="74"/>
      <c r="C487" s="75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customFormat="false" ht="15.75" hidden="false" customHeight="true" outlineLevel="0" collapsed="false">
      <c r="A488" s="74"/>
      <c r="B488" s="74"/>
      <c r="C488" s="75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customFormat="false" ht="15.75" hidden="false" customHeight="true" outlineLevel="0" collapsed="false">
      <c r="A489" s="74"/>
      <c r="B489" s="74"/>
      <c r="C489" s="75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customFormat="false" ht="15.75" hidden="false" customHeight="true" outlineLevel="0" collapsed="false">
      <c r="A490" s="74"/>
      <c r="B490" s="74"/>
      <c r="C490" s="75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customFormat="false" ht="15.75" hidden="false" customHeight="true" outlineLevel="0" collapsed="false">
      <c r="A491" s="74"/>
      <c r="B491" s="74"/>
      <c r="C491" s="75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customFormat="false" ht="15.75" hidden="false" customHeight="true" outlineLevel="0" collapsed="false">
      <c r="A492" s="74"/>
      <c r="B492" s="74"/>
      <c r="C492" s="75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customFormat="false" ht="15.75" hidden="false" customHeight="true" outlineLevel="0" collapsed="false">
      <c r="A493" s="74"/>
      <c r="B493" s="74"/>
      <c r="C493" s="75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customFormat="false" ht="15.75" hidden="false" customHeight="true" outlineLevel="0" collapsed="false">
      <c r="A494" s="74"/>
      <c r="B494" s="74"/>
      <c r="C494" s="75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customFormat="false" ht="15.75" hidden="false" customHeight="true" outlineLevel="0" collapsed="false">
      <c r="A495" s="74"/>
      <c r="B495" s="74"/>
      <c r="C495" s="75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customFormat="false" ht="15.75" hidden="false" customHeight="true" outlineLevel="0" collapsed="false">
      <c r="A496" s="74"/>
      <c r="B496" s="74"/>
      <c r="C496" s="75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customFormat="false" ht="15.75" hidden="false" customHeight="true" outlineLevel="0" collapsed="false">
      <c r="A497" s="74"/>
      <c r="B497" s="74"/>
      <c r="C497" s="75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customFormat="false" ht="15.75" hidden="false" customHeight="true" outlineLevel="0" collapsed="false">
      <c r="A498" s="74"/>
      <c r="B498" s="74"/>
      <c r="C498" s="75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customFormat="false" ht="15.75" hidden="false" customHeight="true" outlineLevel="0" collapsed="false">
      <c r="A499" s="74"/>
      <c r="B499" s="74"/>
      <c r="C499" s="75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customFormat="false" ht="15.75" hidden="false" customHeight="true" outlineLevel="0" collapsed="false">
      <c r="A500" s="74"/>
      <c r="B500" s="74"/>
      <c r="C500" s="75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customFormat="false" ht="15.75" hidden="false" customHeight="true" outlineLevel="0" collapsed="false">
      <c r="A501" s="74"/>
      <c r="B501" s="74"/>
      <c r="C501" s="75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customFormat="false" ht="15.75" hidden="false" customHeight="true" outlineLevel="0" collapsed="false">
      <c r="A502" s="74"/>
      <c r="B502" s="74"/>
      <c r="C502" s="75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customFormat="false" ht="15.75" hidden="false" customHeight="true" outlineLevel="0" collapsed="false">
      <c r="A503" s="74"/>
      <c r="B503" s="74"/>
      <c r="C503" s="75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customFormat="false" ht="15.75" hidden="false" customHeight="true" outlineLevel="0" collapsed="false">
      <c r="A504" s="74"/>
      <c r="B504" s="74"/>
      <c r="C504" s="75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customFormat="false" ht="15.75" hidden="false" customHeight="true" outlineLevel="0" collapsed="false">
      <c r="A505" s="74"/>
      <c r="B505" s="74"/>
      <c r="C505" s="75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customFormat="false" ht="15.75" hidden="false" customHeight="true" outlineLevel="0" collapsed="false">
      <c r="A506" s="74"/>
      <c r="B506" s="74"/>
      <c r="C506" s="75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customFormat="false" ht="15.75" hidden="false" customHeight="true" outlineLevel="0" collapsed="false">
      <c r="A507" s="74"/>
      <c r="B507" s="74"/>
      <c r="C507" s="75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customFormat="false" ht="15.75" hidden="false" customHeight="true" outlineLevel="0" collapsed="false">
      <c r="A508" s="74"/>
      <c r="B508" s="74"/>
      <c r="C508" s="75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customFormat="false" ht="15.75" hidden="false" customHeight="true" outlineLevel="0" collapsed="false">
      <c r="A509" s="74"/>
      <c r="B509" s="74"/>
      <c r="C509" s="75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customFormat="false" ht="15.75" hidden="false" customHeight="true" outlineLevel="0" collapsed="false">
      <c r="A510" s="74"/>
      <c r="B510" s="74"/>
      <c r="C510" s="75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customFormat="false" ht="15.75" hidden="false" customHeight="true" outlineLevel="0" collapsed="false">
      <c r="A511" s="74"/>
      <c r="B511" s="74"/>
      <c r="C511" s="75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customFormat="false" ht="15.75" hidden="false" customHeight="true" outlineLevel="0" collapsed="false">
      <c r="A512" s="74"/>
      <c r="B512" s="74"/>
      <c r="C512" s="75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customFormat="false" ht="15.75" hidden="false" customHeight="true" outlineLevel="0" collapsed="false">
      <c r="A513" s="74"/>
      <c r="B513" s="74"/>
      <c r="C513" s="75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customFormat="false" ht="15.75" hidden="false" customHeight="true" outlineLevel="0" collapsed="false">
      <c r="A514" s="74"/>
      <c r="B514" s="74"/>
      <c r="C514" s="75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customFormat="false" ht="15.75" hidden="false" customHeight="true" outlineLevel="0" collapsed="false">
      <c r="A515" s="74"/>
      <c r="B515" s="74"/>
      <c r="C515" s="75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customFormat="false" ht="15.75" hidden="false" customHeight="true" outlineLevel="0" collapsed="false">
      <c r="A516" s="74"/>
      <c r="B516" s="74"/>
      <c r="C516" s="75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customFormat="false" ht="15.75" hidden="false" customHeight="true" outlineLevel="0" collapsed="false">
      <c r="A517" s="74"/>
      <c r="B517" s="74"/>
      <c r="C517" s="75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customFormat="false" ht="15.75" hidden="false" customHeight="true" outlineLevel="0" collapsed="false">
      <c r="A518" s="74"/>
      <c r="B518" s="74"/>
      <c r="C518" s="75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customFormat="false" ht="15.75" hidden="false" customHeight="true" outlineLevel="0" collapsed="false">
      <c r="A519" s="74"/>
      <c r="B519" s="74"/>
      <c r="C519" s="75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customFormat="false" ht="15.75" hidden="false" customHeight="true" outlineLevel="0" collapsed="false">
      <c r="A520" s="74"/>
      <c r="B520" s="74"/>
      <c r="C520" s="75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customFormat="false" ht="15.75" hidden="false" customHeight="true" outlineLevel="0" collapsed="false">
      <c r="A521" s="74"/>
      <c r="B521" s="74"/>
      <c r="C521" s="75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customFormat="false" ht="15.75" hidden="false" customHeight="true" outlineLevel="0" collapsed="false">
      <c r="A522" s="74"/>
      <c r="B522" s="74"/>
      <c r="C522" s="75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customFormat="false" ht="15.75" hidden="false" customHeight="true" outlineLevel="0" collapsed="false">
      <c r="A523" s="74"/>
      <c r="B523" s="74"/>
      <c r="C523" s="75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customFormat="false" ht="15.75" hidden="false" customHeight="true" outlineLevel="0" collapsed="false">
      <c r="A524" s="74"/>
      <c r="B524" s="74"/>
      <c r="C524" s="75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customFormat="false" ht="15.75" hidden="false" customHeight="true" outlineLevel="0" collapsed="false">
      <c r="A525" s="74"/>
      <c r="B525" s="74"/>
      <c r="C525" s="75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customFormat="false" ht="15.75" hidden="false" customHeight="true" outlineLevel="0" collapsed="false">
      <c r="A526" s="74"/>
      <c r="B526" s="74"/>
      <c r="C526" s="75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customFormat="false" ht="15.75" hidden="false" customHeight="true" outlineLevel="0" collapsed="false">
      <c r="A527" s="74"/>
      <c r="B527" s="74"/>
      <c r="C527" s="75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customFormat="false" ht="15.75" hidden="false" customHeight="true" outlineLevel="0" collapsed="false">
      <c r="A528" s="74"/>
      <c r="B528" s="74"/>
      <c r="C528" s="75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customFormat="false" ht="15.75" hidden="false" customHeight="true" outlineLevel="0" collapsed="false">
      <c r="A529" s="74"/>
      <c r="B529" s="74"/>
      <c r="C529" s="75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customFormat="false" ht="15.75" hidden="false" customHeight="true" outlineLevel="0" collapsed="false">
      <c r="A530" s="74"/>
      <c r="B530" s="74"/>
      <c r="C530" s="75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customFormat="false" ht="15.75" hidden="false" customHeight="true" outlineLevel="0" collapsed="false">
      <c r="A531" s="74"/>
      <c r="B531" s="74"/>
      <c r="C531" s="75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customFormat="false" ht="15.75" hidden="false" customHeight="true" outlineLevel="0" collapsed="false">
      <c r="A532" s="74"/>
      <c r="B532" s="74"/>
      <c r="C532" s="75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customFormat="false" ht="15.75" hidden="false" customHeight="true" outlineLevel="0" collapsed="false">
      <c r="A533" s="74"/>
      <c r="B533" s="74"/>
      <c r="C533" s="75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customFormat="false" ht="15.75" hidden="false" customHeight="true" outlineLevel="0" collapsed="false">
      <c r="A534" s="74"/>
      <c r="B534" s="74"/>
      <c r="C534" s="75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customFormat="false" ht="15.75" hidden="false" customHeight="true" outlineLevel="0" collapsed="false">
      <c r="A535" s="74"/>
      <c r="B535" s="74"/>
      <c r="C535" s="75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customFormat="false" ht="15.75" hidden="false" customHeight="true" outlineLevel="0" collapsed="false">
      <c r="A536" s="74"/>
      <c r="B536" s="74"/>
      <c r="C536" s="75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customFormat="false" ht="15.75" hidden="false" customHeight="true" outlineLevel="0" collapsed="false">
      <c r="A537" s="74"/>
      <c r="B537" s="74"/>
      <c r="C537" s="75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customFormat="false" ht="15.75" hidden="false" customHeight="true" outlineLevel="0" collapsed="false">
      <c r="A538" s="74"/>
      <c r="B538" s="74"/>
      <c r="C538" s="75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customFormat="false" ht="15.75" hidden="false" customHeight="true" outlineLevel="0" collapsed="false">
      <c r="A539" s="74"/>
      <c r="B539" s="74"/>
      <c r="C539" s="75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customFormat="false" ht="15.75" hidden="false" customHeight="true" outlineLevel="0" collapsed="false">
      <c r="A540" s="74"/>
      <c r="B540" s="74"/>
      <c r="C540" s="75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customFormat="false" ht="15.75" hidden="false" customHeight="true" outlineLevel="0" collapsed="false">
      <c r="A541" s="74"/>
      <c r="B541" s="74"/>
      <c r="C541" s="75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customFormat="false" ht="15.75" hidden="false" customHeight="true" outlineLevel="0" collapsed="false">
      <c r="A542" s="74"/>
      <c r="B542" s="74"/>
      <c r="C542" s="75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customFormat="false" ht="15.75" hidden="false" customHeight="true" outlineLevel="0" collapsed="false">
      <c r="A543" s="74"/>
      <c r="B543" s="74"/>
      <c r="C543" s="75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customFormat="false" ht="15.75" hidden="false" customHeight="true" outlineLevel="0" collapsed="false">
      <c r="A544" s="74"/>
      <c r="B544" s="74"/>
      <c r="C544" s="75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customFormat="false" ht="15.75" hidden="false" customHeight="true" outlineLevel="0" collapsed="false">
      <c r="A545" s="74"/>
      <c r="B545" s="74"/>
      <c r="C545" s="75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customFormat="false" ht="15.75" hidden="false" customHeight="true" outlineLevel="0" collapsed="false">
      <c r="A546" s="74"/>
      <c r="B546" s="74"/>
      <c r="C546" s="75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customFormat="false" ht="15.75" hidden="false" customHeight="true" outlineLevel="0" collapsed="false">
      <c r="A547" s="74"/>
      <c r="B547" s="74"/>
      <c r="C547" s="75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customFormat="false" ht="15.75" hidden="false" customHeight="true" outlineLevel="0" collapsed="false">
      <c r="A548" s="74"/>
      <c r="B548" s="74"/>
      <c r="C548" s="75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customFormat="false" ht="15.75" hidden="false" customHeight="true" outlineLevel="0" collapsed="false">
      <c r="A549" s="74"/>
      <c r="B549" s="74"/>
      <c r="C549" s="75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customFormat="false" ht="15.75" hidden="false" customHeight="true" outlineLevel="0" collapsed="false">
      <c r="A550" s="74"/>
      <c r="B550" s="74"/>
      <c r="C550" s="75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customFormat="false" ht="15.75" hidden="false" customHeight="true" outlineLevel="0" collapsed="false">
      <c r="A551" s="74"/>
      <c r="B551" s="74"/>
      <c r="C551" s="75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customFormat="false" ht="15.75" hidden="false" customHeight="true" outlineLevel="0" collapsed="false">
      <c r="A552" s="74"/>
      <c r="B552" s="74"/>
      <c r="C552" s="75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customFormat="false" ht="15.75" hidden="false" customHeight="true" outlineLevel="0" collapsed="false">
      <c r="A553" s="74"/>
      <c r="B553" s="74"/>
      <c r="C553" s="75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customFormat="false" ht="15.75" hidden="false" customHeight="true" outlineLevel="0" collapsed="false">
      <c r="A554" s="74"/>
      <c r="B554" s="74"/>
      <c r="C554" s="75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customFormat="false" ht="15.75" hidden="false" customHeight="true" outlineLevel="0" collapsed="false">
      <c r="A555" s="74"/>
      <c r="B555" s="74"/>
      <c r="C555" s="75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customFormat="false" ht="15.75" hidden="false" customHeight="true" outlineLevel="0" collapsed="false">
      <c r="A556" s="74"/>
      <c r="B556" s="74"/>
      <c r="C556" s="75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customFormat="false" ht="15.75" hidden="false" customHeight="true" outlineLevel="0" collapsed="false">
      <c r="A557" s="74"/>
      <c r="B557" s="74"/>
      <c r="C557" s="75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customFormat="false" ht="15.75" hidden="false" customHeight="true" outlineLevel="0" collapsed="false">
      <c r="A558" s="74"/>
      <c r="B558" s="74"/>
      <c r="C558" s="75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customFormat="false" ht="15.75" hidden="false" customHeight="true" outlineLevel="0" collapsed="false">
      <c r="A559" s="74"/>
      <c r="B559" s="74"/>
      <c r="C559" s="75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customFormat="false" ht="15.75" hidden="false" customHeight="true" outlineLevel="0" collapsed="false">
      <c r="A560" s="74"/>
      <c r="B560" s="74"/>
      <c r="C560" s="75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customFormat="false" ht="15.75" hidden="false" customHeight="true" outlineLevel="0" collapsed="false">
      <c r="A561" s="74"/>
      <c r="B561" s="74"/>
      <c r="C561" s="75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customFormat="false" ht="15.75" hidden="false" customHeight="true" outlineLevel="0" collapsed="false">
      <c r="A562" s="74"/>
      <c r="B562" s="74"/>
      <c r="C562" s="75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customFormat="false" ht="15.75" hidden="false" customHeight="true" outlineLevel="0" collapsed="false">
      <c r="A563" s="74"/>
      <c r="B563" s="74"/>
      <c r="C563" s="75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customFormat="false" ht="15.75" hidden="false" customHeight="true" outlineLevel="0" collapsed="false">
      <c r="A564" s="74"/>
      <c r="B564" s="74"/>
      <c r="C564" s="75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customFormat="false" ht="15.75" hidden="false" customHeight="true" outlineLevel="0" collapsed="false">
      <c r="A565" s="74"/>
      <c r="B565" s="74"/>
      <c r="C565" s="75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customFormat="false" ht="15.75" hidden="false" customHeight="true" outlineLevel="0" collapsed="false">
      <c r="A566" s="74"/>
      <c r="B566" s="74"/>
      <c r="C566" s="75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customFormat="false" ht="15.75" hidden="false" customHeight="true" outlineLevel="0" collapsed="false">
      <c r="A567" s="74"/>
      <c r="B567" s="74"/>
      <c r="C567" s="75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customFormat="false" ht="15.75" hidden="false" customHeight="true" outlineLevel="0" collapsed="false">
      <c r="A568" s="74"/>
      <c r="B568" s="74"/>
      <c r="C568" s="75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customFormat="false" ht="15.75" hidden="false" customHeight="true" outlineLevel="0" collapsed="false">
      <c r="A569" s="74"/>
      <c r="B569" s="74"/>
      <c r="C569" s="75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customFormat="false" ht="15.75" hidden="false" customHeight="true" outlineLevel="0" collapsed="false">
      <c r="A570" s="74"/>
      <c r="B570" s="74"/>
      <c r="C570" s="75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customFormat="false" ht="15.75" hidden="false" customHeight="true" outlineLevel="0" collapsed="false">
      <c r="A571" s="74"/>
      <c r="B571" s="74"/>
      <c r="C571" s="75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customFormat="false" ht="15.75" hidden="false" customHeight="true" outlineLevel="0" collapsed="false">
      <c r="A572" s="74"/>
      <c r="B572" s="74"/>
      <c r="C572" s="75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customFormat="false" ht="15.75" hidden="false" customHeight="true" outlineLevel="0" collapsed="false">
      <c r="A573" s="74"/>
      <c r="B573" s="74"/>
      <c r="C573" s="75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customFormat="false" ht="15.75" hidden="false" customHeight="true" outlineLevel="0" collapsed="false">
      <c r="A574" s="74"/>
      <c r="B574" s="74"/>
      <c r="C574" s="75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customFormat="false" ht="15.75" hidden="false" customHeight="true" outlineLevel="0" collapsed="false">
      <c r="A575" s="74"/>
      <c r="B575" s="74"/>
      <c r="C575" s="75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customFormat="false" ht="15.75" hidden="false" customHeight="true" outlineLevel="0" collapsed="false">
      <c r="A576" s="74"/>
      <c r="B576" s="74"/>
      <c r="C576" s="75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customFormat="false" ht="15.75" hidden="false" customHeight="true" outlineLevel="0" collapsed="false">
      <c r="A577" s="74"/>
      <c r="B577" s="74"/>
      <c r="C577" s="75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customFormat="false" ht="15.75" hidden="false" customHeight="true" outlineLevel="0" collapsed="false">
      <c r="A578" s="74"/>
      <c r="B578" s="74"/>
      <c r="C578" s="75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customFormat="false" ht="15.75" hidden="false" customHeight="true" outlineLevel="0" collapsed="false">
      <c r="A579" s="74"/>
      <c r="B579" s="74"/>
      <c r="C579" s="75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customFormat="false" ht="15.75" hidden="false" customHeight="true" outlineLevel="0" collapsed="false">
      <c r="A580" s="74"/>
      <c r="B580" s="74"/>
      <c r="C580" s="75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customFormat="false" ht="15.75" hidden="false" customHeight="true" outlineLevel="0" collapsed="false">
      <c r="A581" s="74"/>
      <c r="B581" s="74"/>
      <c r="C581" s="75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customFormat="false" ht="15.75" hidden="false" customHeight="true" outlineLevel="0" collapsed="false">
      <c r="A582" s="74"/>
      <c r="B582" s="74"/>
      <c r="C582" s="75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customFormat="false" ht="15.75" hidden="false" customHeight="true" outlineLevel="0" collapsed="false">
      <c r="A583" s="74"/>
      <c r="B583" s="74"/>
      <c r="C583" s="75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customFormat="false" ht="15.75" hidden="false" customHeight="true" outlineLevel="0" collapsed="false">
      <c r="A584" s="74"/>
      <c r="B584" s="74"/>
      <c r="C584" s="75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customFormat="false" ht="15.75" hidden="false" customHeight="true" outlineLevel="0" collapsed="false">
      <c r="A585" s="74"/>
      <c r="B585" s="74"/>
      <c r="C585" s="75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customFormat="false" ht="15.75" hidden="false" customHeight="true" outlineLevel="0" collapsed="false">
      <c r="A586" s="74"/>
      <c r="B586" s="74"/>
      <c r="C586" s="75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customFormat="false" ht="15.75" hidden="false" customHeight="true" outlineLevel="0" collapsed="false">
      <c r="A587" s="74"/>
      <c r="B587" s="74"/>
      <c r="C587" s="75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customFormat="false" ht="15.75" hidden="false" customHeight="true" outlineLevel="0" collapsed="false">
      <c r="A588" s="74"/>
      <c r="B588" s="74"/>
      <c r="C588" s="75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customFormat="false" ht="15.75" hidden="false" customHeight="true" outlineLevel="0" collapsed="false">
      <c r="A589" s="74"/>
      <c r="B589" s="74"/>
      <c r="C589" s="75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customFormat="false" ht="15.75" hidden="false" customHeight="true" outlineLevel="0" collapsed="false">
      <c r="A590" s="74"/>
      <c r="B590" s="74"/>
      <c r="C590" s="75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customFormat="false" ht="15.75" hidden="false" customHeight="true" outlineLevel="0" collapsed="false">
      <c r="A591" s="74"/>
      <c r="B591" s="74"/>
      <c r="C591" s="75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customFormat="false" ht="15.75" hidden="false" customHeight="true" outlineLevel="0" collapsed="false">
      <c r="A592" s="74"/>
      <c r="B592" s="74"/>
      <c r="C592" s="75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customFormat="false" ht="15.75" hidden="false" customHeight="true" outlineLevel="0" collapsed="false">
      <c r="A593" s="74"/>
      <c r="B593" s="74"/>
      <c r="C593" s="75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customFormat="false" ht="15.75" hidden="false" customHeight="true" outlineLevel="0" collapsed="false">
      <c r="A594" s="74"/>
      <c r="B594" s="74"/>
      <c r="C594" s="75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customFormat="false" ht="15.75" hidden="false" customHeight="true" outlineLevel="0" collapsed="false">
      <c r="A595" s="74"/>
      <c r="B595" s="74"/>
      <c r="C595" s="75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customFormat="false" ht="15.75" hidden="false" customHeight="true" outlineLevel="0" collapsed="false">
      <c r="A596" s="74"/>
      <c r="B596" s="74"/>
      <c r="C596" s="75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customFormat="false" ht="15.75" hidden="false" customHeight="true" outlineLevel="0" collapsed="false">
      <c r="A597" s="74"/>
      <c r="B597" s="74"/>
      <c r="C597" s="75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customFormat="false" ht="15.75" hidden="false" customHeight="true" outlineLevel="0" collapsed="false">
      <c r="A598" s="74"/>
      <c r="B598" s="74"/>
      <c r="C598" s="75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customFormat="false" ht="15.75" hidden="false" customHeight="true" outlineLevel="0" collapsed="false">
      <c r="A599" s="74"/>
      <c r="B599" s="74"/>
      <c r="C599" s="75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customFormat="false" ht="15.75" hidden="false" customHeight="true" outlineLevel="0" collapsed="false">
      <c r="A600" s="74"/>
      <c r="B600" s="74"/>
      <c r="C600" s="75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customFormat="false" ht="15.75" hidden="false" customHeight="true" outlineLevel="0" collapsed="false">
      <c r="A601" s="74"/>
      <c r="B601" s="74"/>
      <c r="C601" s="75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customFormat="false" ht="15.75" hidden="false" customHeight="true" outlineLevel="0" collapsed="false">
      <c r="A602" s="74"/>
      <c r="B602" s="74"/>
      <c r="C602" s="75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customFormat="false" ht="15.75" hidden="false" customHeight="true" outlineLevel="0" collapsed="false">
      <c r="A603" s="74"/>
      <c r="B603" s="74"/>
      <c r="C603" s="75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customFormat="false" ht="15.75" hidden="false" customHeight="true" outlineLevel="0" collapsed="false">
      <c r="A604" s="74"/>
      <c r="B604" s="74"/>
      <c r="C604" s="75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customFormat="false" ht="15.75" hidden="false" customHeight="true" outlineLevel="0" collapsed="false">
      <c r="A605" s="74"/>
      <c r="B605" s="74"/>
      <c r="C605" s="75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customFormat="false" ht="15.75" hidden="false" customHeight="true" outlineLevel="0" collapsed="false">
      <c r="A606" s="74"/>
      <c r="B606" s="74"/>
      <c r="C606" s="75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customFormat="false" ht="15.75" hidden="false" customHeight="true" outlineLevel="0" collapsed="false">
      <c r="A607" s="74"/>
      <c r="B607" s="74"/>
      <c r="C607" s="75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customFormat="false" ht="15.75" hidden="false" customHeight="true" outlineLevel="0" collapsed="false">
      <c r="A608" s="74"/>
      <c r="B608" s="74"/>
      <c r="C608" s="75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customFormat="false" ht="15.75" hidden="false" customHeight="true" outlineLevel="0" collapsed="false">
      <c r="A609" s="74"/>
      <c r="B609" s="74"/>
      <c r="C609" s="75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customFormat="false" ht="15.75" hidden="false" customHeight="true" outlineLevel="0" collapsed="false">
      <c r="A610" s="74"/>
      <c r="B610" s="74"/>
      <c r="C610" s="75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customFormat="false" ht="15.75" hidden="false" customHeight="true" outlineLevel="0" collapsed="false">
      <c r="A611" s="74"/>
      <c r="B611" s="74"/>
      <c r="C611" s="75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customFormat="false" ht="15.75" hidden="false" customHeight="true" outlineLevel="0" collapsed="false">
      <c r="A612" s="74"/>
      <c r="B612" s="74"/>
      <c r="C612" s="75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customFormat="false" ht="15.75" hidden="false" customHeight="true" outlineLevel="0" collapsed="false">
      <c r="A613" s="74"/>
      <c r="B613" s="74"/>
      <c r="C613" s="75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customFormat="false" ht="15.75" hidden="false" customHeight="true" outlineLevel="0" collapsed="false">
      <c r="A614" s="74"/>
      <c r="B614" s="74"/>
      <c r="C614" s="75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customFormat="false" ht="15.75" hidden="false" customHeight="true" outlineLevel="0" collapsed="false">
      <c r="A615" s="74"/>
      <c r="B615" s="74"/>
      <c r="C615" s="75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customFormat="false" ht="15.75" hidden="false" customHeight="true" outlineLevel="0" collapsed="false">
      <c r="A616" s="74"/>
      <c r="B616" s="74"/>
      <c r="C616" s="75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customFormat="false" ht="15.75" hidden="false" customHeight="true" outlineLevel="0" collapsed="false">
      <c r="A617" s="74"/>
      <c r="B617" s="74"/>
      <c r="C617" s="75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customFormat="false" ht="15.75" hidden="false" customHeight="true" outlineLevel="0" collapsed="false">
      <c r="A618" s="74"/>
      <c r="B618" s="74"/>
      <c r="C618" s="75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customFormat="false" ht="15.75" hidden="false" customHeight="true" outlineLevel="0" collapsed="false">
      <c r="A619" s="74"/>
      <c r="B619" s="74"/>
      <c r="C619" s="75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customFormat="false" ht="15.75" hidden="false" customHeight="true" outlineLevel="0" collapsed="false">
      <c r="A620" s="74"/>
      <c r="B620" s="74"/>
      <c r="C620" s="75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customFormat="false" ht="15.75" hidden="false" customHeight="true" outlineLevel="0" collapsed="false">
      <c r="A621" s="74"/>
      <c r="B621" s="74"/>
      <c r="C621" s="75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customFormat="false" ht="15.75" hidden="false" customHeight="true" outlineLevel="0" collapsed="false">
      <c r="A622" s="74"/>
      <c r="B622" s="74"/>
      <c r="C622" s="75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customFormat="false" ht="15.75" hidden="false" customHeight="true" outlineLevel="0" collapsed="false">
      <c r="A623" s="74"/>
      <c r="B623" s="74"/>
      <c r="C623" s="75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customFormat="false" ht="15.75" hidden="false" customHeight="true" outlineLevel="0" collapsed="false">
      <c r="A624" s="74"/>
      <c r="B624" s="74"/>
      <c r="C624" s="75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customFormat="false" ht="15.75" hidden="false" customHeight="true" outlineLevel="0" collapsed="false">
      <c r="A625" s="74"/>
      <c r="B625" s="74"/>
      <c r="C625" s="75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customFormat="false" ht="15.75" hidden="false" customHeight="true" outlineLevel="0" collapsed="false">
      <c r="A626" s="74"/>
      <c r="B626" s="74"/>
      <c r="C626" s="75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customFormat="false" ht="15.75" hidden="false" customHeight="true" outlineLevel="0" collapsed="false">
      <c r="A627" s="74"/>
      <c r="B627" s="74"/>
      <c r="C627" s="75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customFormat="false" ht="15.75" hidden="false" customHeight="true" outlineLevel="0" collapsed="false">
      <c r="A628" s="74"/>
      <c r="B628" s="74"/>
      <c r="C628" s="75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customFormat="false" ht="15.75" hidden="false" customHeight="true" outlineLevel="0" collapsed="false">
      <c r="A629" s="74"/>
      <c r="B629" s="74"/>
      <c r="C629" s="75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customFormat="false" ht="15.75" hidden="false" customHeight="true" outlineLevel="0" collapsed="false">
      <c r="A630" s="74"/>
      <c r="B630" s="74"/>
      <c r="C630" s="75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customFormat="false" ht="15.75" hidden="false" customHeight="true" outlineLevel="0" collapsed="false">
      <c r="A631" s="74"/>
      <c r="B631" s="74"/>
      <c r="C631" s="75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customFormat="false" ht="15.75" hidden="false" customHeight="true" outlineLevel="0" collapsed="false">
      <c r="A632" s="74"/>
      <c r="B632" s="74"/>
      <c r="C632" s="75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customFormat="false" ht="15.75" hidden="false" customHeight="true" outlineLevel="0" collapsed="false">
      <c r="A633" s="74"/>
      <c r="B633" s="74"/>
      <c r="C633" s="75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customFormat="false" ht="15.75" hidden="false" customHeight="true" outlineLevel="0" collapsed="false">
      <c r="A634" s="74"/>
      <c r="B634" s="74"/>
      <c r="C634" s="75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customFormat="false" ht="15.75" hidden="false" customHeight="true" outlineLevel="0" collapsed="false">
      <c r="A635" s="74"/>
      <c r="B635" s="74"/>
      <c r="C635" s="75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customFormat="false" ht="15.75" hidden="false" customHeight="true" outlineLevel="0" collapsed="false">
      <c r="A636" s="74"/>
      <c r="B636" s="74"/>
      <c r="C636" s="75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customFormat="false" ht="15.75" hidden="false" customHeight="true" outlineLevel="0" collapsed="false">
      <c r="A637" s="74"/>
      <c r="B637" s="74"/>
      <c r="C637" s="75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customFormat="false" ht="15.75" hidden="false" customHeight="true" outlineLevel="0" collapsed="false">
      <c r="A638" s="74"/>
      <c r="B638" s="74"/>
      <c r="C638" s="75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customFormat="false" ht="15.75" hidden="false" customHeight="true" outlineLevel="0" collapsed="false">
      <c r="A639" s="74"/>
      <c r="B639" s="74"/>
      <c r="C639" s="75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customFormat="false" ht="15.75" hidden="false" customHeight="true" outlineLevel="0" collapsed="false">
      <c r="A640" s="74"/>
      <c r="B640" s="74"/>
      <c r="C640" s="75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customFormat="false" ht="15.75" hidden="false" customHeight="true" outlineLevel="0" collapsed="false">
      <c r="A641" s="74"/>
      <c r="B641" s="74"/>
      <c r="C641" s="75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customFormat="false" ht="15.75" hidden="false" customHeight="true" outlineLevel="0" collapsed="false">
      <c r="A642" s="74"/>
      <c r="B642" s="74"/>
      <c r="C642" s="75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customFormat="false" ht="15.75" hidden="false" customHeight="true" outlineLevel="0" collapsed="false">
      <c r="A643" s="74"/>
      <c r="B643" s="74"/>
      <c r="C643" s="75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customFormat="false" ht="15.75" hidden="false" customHeight="true" outlineLevel="0" collapsed="false">
      <c r="A644" s="74"/>
      <c r="B644" s="74"/>
      <c r="C644" s="75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customFormat="false" ht="15.75" hidden="false" customHeight="true" outlineLevel="0" collapsed="false">
      <c r="A645" s="74"/>
      <c r="B645" s="74"/>
      <c r="C645" s="75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customFormat="false" ht="15.75" hidden="false" customHeight="true" outlineLevel="0" collapsed="false">
      <c r="A646" s="74"/>
      <c r="B646" s="74"/>
      <c r="C646" s="75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customFormat="false" ht="15.75" hidden="false" customHeight="true" outlineLevel="0" collapsed="false">
      <c r="A647" s="74"/>
      <c r="B647" s="74"/>
      <c r="C647" s="75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customFormat="false" ht="15.75" hidden="false" customHeight="true" outlineLevel="0" collapsed="false">
      <c r="A648" s="74"/>
      <c r="B648" s="74"/>
      <c r="C648" s="75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customFormat="false" ht="15.75" hidden="false" customHeight="true" outlineLevel="0" collapsed="false">
      <c r="A649" s="74"/>
      <c r="B649" s="74"/>
      <c r="C649" s="75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customFormat="false" ht="15.75" hidden="false" customHeight="true" outlineLevel="0" collapsed="false">
      <c r="A650" s="74"/>
      <c r="B650" s="74"/>
      <c r="C650" s="75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customFormat="false" ht="15.75" hidden="false" customHeight="true" outlineLevel="0" collapsed="false">
      <c r="A651" s="74"/>
      <c r="B651" s="74"/>
      <c r="C651" s="75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customFormat="false" ht="15.75" hidden="false" customHeight="true" outlineLevel="0" collapsed="false">
      <c r="A652" s="74"/>
      <c r="B652" s="74"/>
      <c r="C652" s="75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customFormat="false" ht="15.75" hidden="false" customHeight="true" outlineLevel="0" collapsed="false">
      <c r="A653" s="74"/>
      <c r="B653" s="74"/>
      <c r="C653" s="75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customFormat="false" ht="15.75" hidden="false" customHeight="true" outlineLevel="0" collapsed="false">
      <c r="A654" s="74"/>
      <c r="B654" s="74"/>
      <c r="C654" s="75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customFormat="false" ht="15.75" hidden="false" customHeight="true" outlineLevel="0" collapsed="false">
      <c r="A655" s="74"/>
      <c r="B655" s="74"/>
      <c r="C655" s="75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customFormat="false" ht="15.75" hidden="false" customHeight="true" outlineLevel="0" collapsed="false">
      <c r="A656" s="74"/>
      <c r="B656" s="74"/>
      <c r="C656" s="75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customFormat="false" ht="15.75" hidden="false" customHeight="true" outlineLevel="0" collapsed="false">
      <c r="A657" s="74"/>
      <c r="B657" s="74"/>
      <c r="C657" s="75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customFormat="false" ht="15.75" hidden="false" customHeight="true" outlineLevel="0" collapsed="false">
      <c r="A658" s="74"/>
      <c r="B658" s="74"/>
      <c r="C658" s="75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customFormat="false" ht="15.75" hidden="false" customHeight="true" outlineLevel="0" collapsed="false">
      <c r="A659" s="74"/>
      <c r="B659" s="74"/>
      <c r="C659" s="75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customFormat="false" ht="15.75" hidden="false" customHeight="true" outlineLevel="0" collapsed="false">
      <c r="A660" s="74"/>
      <c r="B660" s="74"/>
      <c r="C660" s="75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customFormat="false" ht="15.75" hidden="false" customHeight="true" outlineLevel="0" collapsed="false">
      <c r="A661" s="74"/>
      <c r="B661" s="74"/>
      <c r="C661" s="75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customFormat="false" ht="15.75" hidden="false" customHeight="true" outlineLevel="0" collapsed="false">
      <c r="A662" s="74"/>
      <c r="B662" s="74"/>
      <c r="C662" s="75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customFormat="false" ht="15.75" hidden="false" customHeight="true" outlineLevel="0" collapsed="false">
      <c r="A663" s="74"/>
      <c r="B663" s="74"/>
      <c r="C663" s="75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customFormat="false" ht="15.75" hidden="false" customHeight="true" outlineLevel="0" collapsed="false">
      <c r="A664" s="74"/>
      <c r="B664" s="74"/>
      <c r="C664" s="75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customFormat="false" ht="15.75" hidden="false" customHeight="true" outlineLevel="0" collapsed="false">
      <c r="A665" s="74"/>
      <c r="B665" s="74"/>
      <c r="C665" s="75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customFormat="false" ht="15.75" hidden="false" customHeight="true" outlineLevel="0" collapsed="false">
      <c r="A666" s="74"/>
      <c r="B666" s="74"/>
      <c r="C666" s="75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customFormat="false" ht="15.75" hidden="false" customHeight="true" outlineLevel="0" collapsed="false">
      <c r="A667" s="74"/>
      <c r="B667" s="74"/>
      <c r="C667" s="75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customFormat="false" ht="15.75" hidden="false" customHeight="true" outlineLevel="0" collapsed="false">
      <c r="A668" s="74"/>
      <c r="B668" s="74"/>
      <c r="C668" s="75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customFormat="false" ht="15.75" hidden="false" customHeight="true" outlineLevel="0" collapsed="false">
      <c r="A669" s="74"/>
      <c r="B669" s="74"/>
      <c r="C669" s="75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customFormat="false" ht="15.75" hidden="false" customHeight="true" outlineLevel="0" collapsed="false">
      <c r="A670" s="74"/>
      <c r="B670" s="74"/>
      <c r="C670" s="75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customFormat="false" ht="15.75" hidden="false" customHeight="true" outlineLevel="0" collapsed="false">
      <c r="A671" s="74"/>
      <c r="B671" s="74"/>
      <c r="C671" s="75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customFormat="false" ht="15.75" hidden="false" customHeight="true" outlineLevel="0" collapsed="false">
      <c r="A672" s="74"/>
      <c r="B672" s="74"/>
      <c r="C672" s="75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customFormat="false" ht="15.75" hidden="false" customHeight="true" outlineLevel="0" collapsed="false">
      <c r="A673" s="74"/>
      <c r="B673" s="74"/>
      <c r="C673" s="75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customFormat="false" ht="15.75" hidden="false" customHeight="true" outlineLevel="0" collapsed="false">
      <c r="A674" s="74"/>
      <c r="B674" s="74"/>
      <c r="C674" s="75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customFormat="false" ht="15.75" hidden="false" customHeight="true" outlineLevel="0" collapsed="false">
      <c r="A675" s="74"/>
      <c r="B675" s="74"/>
      <c r="C675" s="75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customFormat="false" ht="15.75" hidden="false" customHeight="true" outlineLevel="0" collapsed="false">
      <c r="A676" s="74"/>
      <c r="B676" s="74"/>
      <c r="C676" s="75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customFormat="false" ht="15.75" hidden="false" customHeight="true" outlineLevel="0" collapsed="false">
      <c r="A677" s="74"/>
      <c r="B677" s="74"/>
      <c r="C677" s="75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customFormat="false" ht="15.75" hidden="false" customHeight="true" outlineLevel="0" collapsed="false">
      <c r="A678" s="74"/>
      <c r="B678" s="74"/>
      <c r="C678" s="75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customFormat="false" ht="15.75" hidden="false" customHeight="true" outlineLevel="0" collapsed="false">
      <c r="A679" s="74"/>
      <c r="B679" s="74"/>
      <c r="C679" s="75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customFormat="false" ht="15.75" hidden="false" customHeight="true" outlineLevel="0" collapsed="false">
      <c r="A680" s="74"/>
      <c r="B680" s="74"/>
      <c r="C680" s="75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customFormat="false" ht="15.75" hidden="false" customHeight="true" outlineLevel="0" collapsed="false">
      <c r="A681" s="74"/>
      <c r="B681" s="74"/>
      <c r="C681" s="75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customFormat="false" ht="15.75" hidden="false" customHeight="true" outlineLevel="0" collapsed="false">
      <c r="A682" s="74"/>
      <c r="B682" s="74"/>
      <c r="C682" s="75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customFormat="false" ht="15.75" hidden="false" customHeight="true" outlineLevel="0" collapsed="false">
      <c r="A683" s="74"/>
      <c r="B683" s="74"/>
      <c r="C683" s="75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customFormat="false" ht="15.75" hidden="false" customHeight="true" outlineLevel="0" collapsed="false">
      <c r="A684" s="74"/>
      <c r="B684" s="74"/>
      <c r="C684" s="75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customFormat="false" ht="15.75" hidden="false" customHeight="true" outlineLevel="0" collapsed="false">
      <c r="A685" s="74"/>
      <c r="B685" s="74"/>
      <c r="C685" s="75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customFormat="false" ht="15.75" hidden="false" customHeight="true" outlineLevel="0" collapsed="false">
      <c r="A686" s="74"/>
      <c r="B686" s="74"/>
      <c r="C686" s="75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customFormat="false" ht="15.75" hidden="false" customHeight="true" outlineLevel="0" collapsed="false">
      <c r="A687" s="74"/>
      <c r="B687" s="74"/>
      <c r="C687" s="75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customFormat="false" ht="15.75" hidden="false" customHeight="true" outlineLevel="0" collapsed="false">
      <c r="A688" s="74"/>
      <c r="B688" s="74"/>
      <c r="C688" s="75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customFormat="false" ht="15.75" hidden="false" customHeight="true" outlineLevel="0" collapsed="false">
      <c r="A689" s="74"/>
      <c r="B689" s="74"/>
      <c r="C689" s="75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customFormat="false" ht="15.75" hidden="false" customHeight="true" outlineLevel="0" collapsed="false">
      <c r="A690" s="74"/>
      <c r="B690" s="74"/>
      <c r="C690" s="75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customFormat="false" ht="15.75" hidden="false" customHeight="true" outlineLevel="0" collapsed="false">
      <c r="A691" s="74"/>
      <c r="B691" s="74"/>
      <c r="C691" s="75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customFormat="false" ht="15.75" hidden="false" customHeight="true" outlineLevel="0" collapsed="false">
      <c r="A692" s="74"/>
      <c r="B692" s="74"/>
      <c r="C692" s="75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customFormat="false" ht="15.75" hidden="false" customHeight="true" outlineLevel="0" collapsed="false">
      <c r="A693" s="74"/>
      <c r="B693" s="74"/>
      <c r="C693" s="75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customFormat="false" ht="15.75" hidden="false" customHeight="true" outlineLevel="0" collapsed="false">
      <c r="A694" s="74"/>
      <c r="B694" s="74"/>
      <c r="C694" s="75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customFormat="false" ht="15.75" hidden="false" customHeight="true" outlineLevel="0" collapsed="false">
      <c r="A695" s="74"/>
      <c r="B695" s="74"/>
      <c r="C695" s="75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customFormat="false" ht="15.75" hidden="false" customHeight="true" outlineLevel="0" collapsed="false">
      <c r="A696" s="74"/>
      <c r="B696" s="74"/>
      <c r="C696" s="75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customFormat="false" ht="15.75" hidden="false" customHeight="true" outlineLevel="0" collapsed="false">
      <c r="A697" s="74"/>
      <c r="B697" s="74"/>
      <c r="C697" s="75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customFormat="false" ht="15.75" hidden="false" customHeight="true" outlineLevel="0" collapsed="false">
      <c r="A698" s="74"/>
      <c r="B698" s="74"/>
      <c r="C698" s="75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customFormat="false" ht="15.75" hidden="false" customHeight="true" outlineLevel="0" collapsed="false">
      <c r="A699" s="74"/>
      <c r="B699" s="74"/>
      <c r="C699" s="75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customFormat="false" ht="15.75" hidden="false" customHeight="true" outlineLevel="0" collapsed="false">
      <c r="A700" s="74"/>
      <c r="B700" s="74"/>
      <c r="C700" s="75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customFormat="false" ht="15.75" hidden="false" customHeight="true" outlineLevel="0" collapsed="false">
      <c r="A701" s="74"/>
      <c r="B701" s="74"/>
      <c r="C701" s="75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customFormat="false" ht="15.75" hidden="false" customHeight="true" outlineLevel="0" collapsed="false">
      <c r="A702" s="74"/>
      <c r="B702" s="74"/>
      <c r="C702" s="75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customFormat="false" ht="15.75" hidden="false" customHeight="true" outlineLevel="0" collapsed="false">
      <c r="A703" s="74"/>
      <c r="B703" s="74"/>
      <c r="C703" s="75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customFormat="false" ht="15.75" hidden="false" customHeight="true" outlineLevel="0" collapsed="false">
      <c r="A704" s="74"/>
      <c r="B704" s="74"/>
      <c r="C704" s="75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customFormat="false" ht="15.75" hidden="false" customHeight="true" outlineLevel="0" collapsed="false">
      <c r="A705" s="74"/>
      <c r="B705" s="74"/>
      <c r="C705" s="75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customFormat="false" ht="15.75" hidden="false" customHeight="true" outlineLevel="0" collapsed="false">
      <c r="A706" s="74"/>
      <c r="B706" s="74"/>
      <c r="C706" s="75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customFormat="false" ht="15.75" hidden="false" customHeight="true" outlineLevel="0" collapsed="false">
      <c r="A707" s="74"/>
      <c r="B707" s="74"/>
      <c r="C707" s="75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customFormat="false" ht="15.75" hidden="false" customHeight="true" outlineLevel="0" collapsed="false">
      <c r="A708" s="74"/>
      <c r="B708" s="74"/>
      <c r="C708" s="75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customFormat="false" ht="15.75" hidden="false" customHeight="true" outlineLevel="0" collapsed="false">
      <c r="A709" s="74"/>
      <c r="B709" s="74"/>
      <c r="C709" s="75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customFormat="false" ht="15.75" hidden="false" customHeight="true" outlineLevel="0" collapsed="false">
      <c r="A710" s="74"/>
      <c r="B710" s="74"/>
      <c r="C710" s="75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customFormat="false" ht="15.75" hidden="false" customHeight="true" outlineLevel="0" collapsed="false">
      <c r="A711" s="74"/>
      <c r="B711" s="74"/>
      <c r="C711" s="75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customFormat="false" ht="15.75" hidden="false" customHeight="true" outlineLevel="0" collapsed="false">
      <c r="A712" s="74"/>
      <c r="B712" s="74"/>
      <c r="C712" s="75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customFormat="false" ht="15.75" hidden="false" customHeight="true" outlineLevel="0" collapsed="false">
      <c r="A713" s="74"/>
      <c r="B713" s="74"/>
      <c r="C713" s="75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customFormat="false" ht="15.75" hidden="false" customHeight="true" outlineLevel="0" collapsed="false">
      <c r="A714" s="74"/>
      <c r="B714" s="74"/>
      <c r="C714" s="75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customFormat="false" ht="15.75" hidden="false" customHeight="true" outlineLevel="0" collapsed="false">
      <c r="A715" s="74"/>
      <c r="B715" s="74"/>
      <c r="C715" s="75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customFormat="false" ht="15.75" hidden="false" customHeight="true" outlineLevel="0" collapsed="false">
      <c r="A716" s="74"/>
      <c r="B716" s="74"/>
      <c r="C716" s="75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customFormat="false" ht="15.75" hidden="false" customHeight="true" outlineLevel="0" collapsed="false">
      <c r="A717" s="74"/>
      <c r="B717" s="74"/>
      <c r="C717" s="75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customFormat="false" ht="15.75" hidden="false" customHeight="true" outlineLevel="0" collapsed="false">
      <c r="A718" s="74"/>
      <c r="B718" s="74"/>
      <c r="C718" s="75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customFormat="false" ht="15.75" hidden="false" customHeight="true" outlineLevel="0" collapsed="false">
      <c r="A719" s="74"/>
      <c r="B719" s="74"/>
      <c r="C719" s="75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customFormat="false" ht="15.75" hidden="false" customHeight="true" outlineLevel="0" collapsed="false">
      <c r="A720" s="74"/>
      <c r="B720" s="74"/>
      <c r="C720" s="75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customFormat="false" ht="15.75" hidden="false" customHeight="true" outlineLevel="0" collapsed="false">
      <c r="A721" s="74"/>
      <c r="B721" s="74"/>
      <c r="C721" s="75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customFormat="false" ht="15.75" hidden="false" customHeight="true" outlineLevel="0" collapsed="false">
      <c r="A722" s="74"/>
      <c r="B722" s="74"/>
      <c r="C722" s="75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customFormat="false" ht="15.75" hidden="false" customHeight="true" outlineLevel="0" collapsed="false">
      <c r="A723" s="74"/>
      <c r="B723" s="74"/>
      <c r="C723" s="75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customFormat="false" ht="15.75" hidden="false" customHeight="true" outlineLevel="0" collapsed="false">
      <c r="A724" s="74"/>
      <c r="B724" s="74"/>
      <c r="C724" s="75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customFormat="false" ht="15.75" hidden="false" customHeight="true" outlineLevel="0" collapsed="false">
      <c r="A725" s="74"/>
      <c r="B725" s="74"/>
      <c r="C725" s="75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customFormat="false" ht="15.75" hidden="false" customHeight="true" outlineLevel="0" collapsed="false">
      <c r="A726" s="74"/>
      <c r="B726" s="74"/>
      <c r="C726" s="75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customFormat="false" ht="15.75" hidden="false" customHeight="true" outlineLevel="0" collapsed="false">
      <c r="A727" s="74"/>
      <c r="B727" s="74"/>
      <c r="C727" s="75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customFormat="false" ht="15.75" hidden="false" customHeight="true" outlineLevel="0" collapsed="false">
      <c r="A728" s="74"/>
      <c r="B728" s="74"/>
      <c r="C728" s="75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customFormat="false" ht="15.75" hidden="false" customHeight="true" outlineLevel="0" collapsed="false">
      <c r="A729" s="74"/>
      <c r="B729" s="74"/>
      <c r="C729" s="75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customFormat="false" ht="15.75" hidden="false" customHeight="true" outlineLevel="0" collapsed="false">
      <c r="A730" s="74"/>
      <c r="B730" s="74"/>
      <c r="C730" s="75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customFormat="false" ht="15.75" hidden="false" customHeight="true" outlineLevel="0" collapsed="false">
      <c r="A731" s="74"/>
      <c r="B731" s="74"/>
      <c r="C731" s="75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customFormat="false" ht="15.75" hidden="false" customHeight="true" outlineLevel="0" collapsed="false">
      <c r="A732" s="74"/>
      <c r="B732" s="74"/>
      <c r="C732" s="75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customFormat="false" ht="15.75" hidden="false" customHeight="true" outlineLevel="0" collapsed="false">
      <c r="A733" s="74"/>
      <c r="B733" s="74"/>
      <c r="C733" s="75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customFormat="false" ht="15.75" hidden="false" customHeight="true" outlineLevel="0" collapsed="false">
      <c r="A734" s="74"/>
      <c r="B734" s="74"/>
      <c r="C734" s="75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customFormat="false" ht="15.75" hidden="false" customHeight="true" outlineLevel="0" collapsed="false">
      <c r="A735" s="74"/>
      <c r="B735" s="74"/>
      <c r="C735" s="75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customFormat="false" ht="15.75" hidden="false" customHeight="true" outlineLevel="0" collapsed="false">
      <c r="A736" s="74"/>
      <c r="B736" s="74"/>
      <c r="C736" s="75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customFormat="false" ht="15.75" hidden="false" customHeight="true" outlineLevel="0" collapsed="false">
      <c r="A737" s="74"/>
      <c r="B737" s="74"/>
      <c r="C737" s="75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customFormat="false" ht="15.75" hidden="false" customHeight="true" outlineLevel="0" collapsed="false">
      <c r="A738" s="74"/>
      <c r="B738" s="74"/>
      <c r="C738" s="75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customFormat="false" ht="15.75" hidden="false" customHeight="true" outlineLevel="0" collapsed="false">
      <c r="A739" s="74"/>
      <c r="B739" s="74"/>
      <c r="C739" s="75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customFormat="false" ht="15.75" hidden="false" customHeight="true" outlineLevel="0" collapsed="false">
      <c r="A740" s="74"/>
      <c r="B740" s="74"/>
      <c r="C740" s="75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customFormat="false" ht="15.75" hidden="false" customHeight="true" outlineLevel="0" collapsed="false">
      <c r="A741" s="74"/>
      <c r="B741" s="74"/>
      <c r="C741" s="75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customFormat="false" ht="15.75" hidden="false" customHeight="true" outlineLevel="0" collapsed="false">
      <c r="A742" s="74"/>
      <c r="B742" s="74"/>
      <c r="C742" s="75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customFormat="false" ht="15.75" hidden="false" customHeight="true" outlineLevel="0" collapsed="false">
      <c r="A743" s="74"/>
      <c r="B743" s="74"/>
      <c r="C743" s="75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customFormat="false" ht="15.75" hidden="false" customHeight="true" outlineLevel="0" collapsed="false">
      <c r="A744" s="74"/>
      <c r="B744" s="74"/>
      <c r="C744" s="75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customFormat="false" ht="15.75" hidden="false" customHeight="true" outlineLevel="0" collapsed="false">
      <c r="A745" s="74"/>
      <c r="B745" s="74"/>
      <c r="C745" s="75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customFormat="false" ht="15.75" hidden="false" customHeight="true" outlineLevel="0" collapsed="false">
      <c r="A746" s="74"/>
      <c r="B746" s="74"/>
      <c r="C746" s="75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customFormat="false" ht="15.75" hidden="false" customHeight="true" outlineLevel="0" collapsed="false">
      <c r="A747" s="74"/>
      <c r="B747" s="74"/>
      <c r="C747" s="75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customFormat="false" ht="15.75" hidden="false" customHeight="true" outlineLevel="0" collapsed="false">
      <c r="A748" s="74"/>
      <c r="B748" s="74"/>
      <c r="C748" s="75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customFormat="false" ht="15.75" hidden="false" customHeight="true" outlineLevel="0" collapsed="false">
      <c r="A749" s="74"/>
      <c r="B749" s="74"/>
      <c r="C749" s="75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customFormat="false" ht="15.75" hidden="false" customHeight="true" outlineLevel="0" collapsed="false">
      <c r="A750" s="74"/>
      <c r="B750" s="74"/>
      <c r="C750" s="75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customFormat="false" ht="15.75" hidden="false" customHeight="true" outlineLevel="0" collapsed="false">
      <c r="A751" s="74"/>
      <c r="B751" s="74"/>
      <c r="C751" s="75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customFormat="false" ht="15.75" hidden="false" customHeight="true" outlineLevel="0" collapsed="false">
      <c r="A752" s="74"/>
      <c r="B752" s="74"/>
      <c r="C752" s="75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customFormat="false" ht="15.75" hidden="false" customHeight="true" outlineLevel="0" collapsed="false">
      <c r="A753" s="74"/>
      <c r="B753" s="74"/>
      <c r="C753" s="75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customFormat="false" ht="15.75" hidden="false" customHeight="true" outlineLevel="0" collapsed="false">
      <c r="A754" s="74"/>
      <c r="B754" s="74"/>
      <c r="C754" s="75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customFormat="false" ht="15.75" hidden="false" customHeight="true" outlineLevel="0" collapsed="false">
      <c r="A755" s="74"/>
      <c r="B755" s="74"/>
      <c r="C755" s="75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customFormat="false" ht="15.75" hidden="false" customHeight="true" outlineLevel="0" collapsed="false">
      <c r="A756" s="74"/>
      <c r="B756" s="74"/>
      <c r="C756" s="75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customFormat="false" ht="15.75" hidden="false" customHeight="true" outlineLevel="0" collapsed="false">
      <c r="A757" s="74"/>
      <c r="B757" s="74"/>
      <c r="C757" s="75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customFormat="false" ht="15.75" hidden="false" customHeight="true" outlineLevel="0" collapsed="false">
      <c r="A758" s="74"/>
      <c r="B758" s="74"/>
      <c r="C758" s="75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customFormat="false" ht="15.75" hidden="false" customHeight="true" outlineLevel="0" collapsed="false">
      <c r="A759" s="74"/>
      <c r="B759" s="74"/>
      <c r="C759" s="75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customFormat="false" ht="15.75" hidden="false" customHeight="true" outlineLevel="0" collapsed="false">
      <c r="A760" s="74"/>
      <c r="B760" s="74"/>
      <c r="C760" s="75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customFormat="false" ht="15.75" hidden="false" customHeight="true" outlineLevel="0" collapsed="false">
      <c r="A761" s="74"/>
      <c r="B761" s="74"/>
      <c r="C761" s="75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customFormat="false" ht="15.75" hidden="false" customHeight="true" outlineLevel="0" collapsed="false">
      <c r="A762" s="74"/>
      <c r="B762" s="74"/>
      <c r="C762" s="75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customFormat="false" ht="15.75" hidden="false" customHeight="true" outlineLevel="0" collapsed="false">
      <c r="A763" s="74"/>
      <c r="B763" s="74"/>
      <c r="C763" s="75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customFormat="false" ht="15.75" hidden="false" customHeight="true" outlineLevel="0" collapsed="false">
      <c r="A764" s="74"/>
      <c r="B764" s="74"/>
      <c r="C764" s="75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customFormat="false" ht="15.75" hidden="false" customHeight="true" outlineLevel="0" collapsed="false">
      <c r="A765" s="74"/>
      <c r="B765" s="74"/>
      <c r="C765" s="75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customFormat="false" ht="15.75" hidden="false" customHeight="true" outlineLevel="0" collapsed="false">
      <c r="A766" s="74"/>
      <c r="B766" s="74"/>
      <c r="C766" s="75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customFormat="false" ht="15.75" hidden="false" customHeight="true" outlineLevel="0" collapsed="false">
      <c r="A767" s="74"/>
      <c r="B767" s="74"/>
      <c r="C767" s="75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customFormat="false" ht="15.75" hidden="false" customHeight="true" outlineLevel="0" collapsed="false">
      <c r="A768" s="74"/>
      <c r="B768" s="74"/>
      <c r="C768" s="75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customFormat="false" ht="15.75" hidden="false" customHeight="true" outlineLevel="0" collapsed="false">
      <c r="A769" s="74"/>
      <c r="B769" s="74"/>
      <c r="C769" s="75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customFormat="false" ht="15.75" hidden="false" customHeight="true" outlineLevel="0" collapsed="false">
      <c r="A770" s="74"/>
      <c r="B770" s="74"/>
      <c r="C770" s="75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customFormat="false" ht="15.75" hidden="false" customHeight="true" outlineLevel="0" collapsed="false">
      <c r="A771" s="74"/>
      <c r="B771" s="74"/>
      <c r="C771" s="75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customFormat="false" ht="15.75" hidden="false" customHeight="true" outlineLevel="0" collapsed="false">
      <c r="A772" s="74"/>
      <c r="B772" s="74"/>
      <c r="C772" s="75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customFormat="false" ht="15.75" hidden="false" customHeight="true" outlineLevel="0" collapsed="false">
      <c r="A773" s="74"/>
      <c r="B773" s="74"/>
      <c r="C773" s="75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customFormat="false" ht="15.75" hidden="false" customHeight="true" outlineLevel="0" collapsed="false">
      <c r="A774" s="74"/>
      <c r="B774" s="74"/>
      <c r="C774" s="75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customFormat="false" ht="15.75" hidden="false" customHeight="true" outlineLevel="0" collapsed="false">
      <c r="A775" s="74"/>
      <c r="B775" s="74"/>
      <c r="C775" s="75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customFormat="false" ht="15.75" hidden="false" customHeight="true" outlineLevel="0" collapsed="false">
      <c r="A776" s="74"/>
      <c r="B776" s="74"/>
      <c r="C776" s="75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customFormat="false" ht="15.75" hidden="false" customHeight="true" outlineLevel="0" collapsed="false">
      <c r="A777" s="74"/>
      <c r="B777" s="74"/>
      <c r="C777" s="75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customFormat="false" ht="15.75" hidden="false" customHeight="true" outlineLevel="0" collapsed="false">
      <c r="A778" s="74"/>
      <c r="B778" s="74"/>
      <c r="C778" s="75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customFormat="false" ht="15.75" hidden="false" customHeight="true" outlineLevel="0" collapsed="false">
      <c r="A779" s="74"/>
      <c r="B779" s="74"/>
      <c r="C779" s="75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customFormat="false" ht="15.75" hidden="false" customHeight="true" outlineLevel="0" collapsed="false">
      <c r="A780" s="74"/>
      <c r="B780" s="74"/>
      <c r="C780" s="75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customFormat="false" ht="15.75" hidden="false" customHeight="true" outlineLevel="0" collapsed="false">
      <c r="A781" s="74"/>
      <c r="B781" s="74"/>
      <c r="C781" s="75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customFormat="false" ht="15.75" hidden="false" customHeight="true" outlineLevel="0" collapsed="false">
      <c r="A782" s="74"/>
      <c r="B782" s="74"/>
      <c r="C782" s="75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customFormat="false" ht="15.75" hidden="false" customHeight="true" outlineLevel="0" collapsed="false">
      <c r="A783" s="74"/>
      <c r="B783" s="74"/>
      <c r="C783" s="75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customFormat="false" ht="15.75" hidden="false" customHeight="true" outlineLevel="0" collapsed="false">
      <c r="A784" s="74"/>
      <c r="B784" s="74"/>
      <c r="C784" s="75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customFormat="false" ht="15.75" hidden="false" customHeight="true" outlineLevel="0" collapsed="false">
      <c r="A785" s="74"/>
      <c r="B785" s="74"/>
      <c r="C785" s="75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customFormat="false" ht="15.75" hidden="false" customHeight="true" outlineLevel="0" collapsed="false">
      <c r="A786" s="74"/>
      <c r="B786" s="74"/>
      <c r="C786" s="75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customFormat="false" ht="15.75" hidden="false" customHeight="true" outlineLevel="0" collapsed="false">
      <c r="A787" s="74"/>
      <c r="B787" s="74"/>
      <c r="C787" s="75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customFormat="false" ht="15.75" hidden="false" customHeight="true" outlineLevel="0" collapsed="false">
      <c r="A788" s="74"/>
      <c r="B788" s="74"/>
      <c r="C788" s="75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customFormat="false" ht="15.75" hidden="false" customHeight="true" outlineLevel="0" collapsed="false">
      <c r="A789" s="74"/>
      <c r="B789" s="74"/>
      <c r="C789" s="75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customFormat="false" ht="15.75" hidden="false" customHeight="true" outlineLevel="0" collapsed="false">
      <c r="A790" s="74"/>
      <c r="B790" s="74"/>
      <c r="C790" s="75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customFormat="false" ht="15.75" hidden="false" customHeight="true" outlineLevel="0" collapsed="false">
      <c r="A791" s="74"/>
      <c r="B791" s="74"/>
      <c r="C791" s="75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customFormat="false" ht="15.75" hidden="false" customHeight="true" outlineLevel="0" collapsed="false">
      <c r="A792" s="74"/>
      <c r="B792" s="74"/>
      <c r="C792" s="75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customFormat="false" ht="15.75" hidden="false" customHeight="true" outlineLevel="0" collapsed="false">
      <c r="A793" s="74"/>
      <c r="B793" s="74"/>
      <c r="C793" s="75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customFormat="false" ht="15.75" hidden="false" customHeight="true" outlineLevel="0" collapsed="false">
      <c r="A794" s="74"/>
      <c r="B794" s="74"/>
      <c r="C794" s="75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customFormat="false" ht="15.75" hidden="false" customHeight="true" outlineLevel="0" collapsed="false">
      <c r="A795" s="74"/>
      <c r="B795" s="74"/>
      <c r="C795" s="75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customFormat="false" ht="15.75" hidden="false" customHeight="true" outlineLevel="0" collapsed="false">
      <c r="A796" s="74"/>
      <c r="B796" s="74"/>
      <c r="C796" s="75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customFormat="false" ht="15.75" hidden="false" customHeight="true" outlineLevel="0" collapsed="false">
      <c r="A797" s="74"/>
      <c r="B797" s="74"/>
      <c r="C797" s="75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customFormat="false" ht="15.75" hidden="false" customHeight="true" outlineLevel="0" collapsed="false">
      <c r="A798" s="74"/>
      <c r="B798" s="74"/>
      <c r="C798" s="75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customFormat="false" ht="15.75" hidden="false" customHeight="true" outlineLevel="0" collapsed="false">
      <c r="A799" s="74"/>
      <c r="B799" s="74"/>
      <c r="C799" s="75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customFormat="false" ht="15.75" hidden="false" customHeight="true" outlineLevel="0" collapsed="false">
      <c r="A800" s="74"/>
      <c r="B800" s="74"/>
      <c r="C800" s="75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customFormat="false" ht="15.75" hidden="false" customHeight="true" outlineLevel="0" collapsed="false">
      <c r="A801" s="74"/>
      <c r="B801" s="74"/>
      <c r="C801" s="75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customFormat="false" ht="15.75" hidden="false" customHeight="true" outlineLevel="0" collapsed="false">
      <c r="A802" s="74"/>
      <c r="B802" s="74"/>
      <c r="C802" s="75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customFormat="false" ht="15.75" hidden="false" customHeight="true" outlineLevel="0" collapsed="false">
      <c r="A803" s="74"/>
      <c r="B803" s="74"/>
      <c r="C803" s="75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customFormat="false" ht="15.75" hidden="false" customHeight="true" outlineLevel="0" collapsed="false">
      <c r="A804" s="74"/>
      <c r="B804" s="74"/>
      <c r="C804" s="75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customFormat="false" ht="15.75" hidden="false" customHeight="true" outlineLevel="0" collapsed="false">
      <c r="A805" s="74"/>
      <c r="B805" s="74"/>
      <c r="C805" s="75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customFormat="false" ht="15.75" hidden="false" customHeight="true" outlineLevel="0" collapsed="false">
      <c r="A806" s="74"/>
      <c r="B806" s="74"/>
      <c r="C806" s="75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customFormat="false" ht="15.75" hidden="false" customHeight="true" outlineLevel="0" collapsed="false">
      <c r="A807" s="74"/>
      <c r="B807" s="74"/>
      <c r="C807" s="75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customFormat="false" ht="15.75" hidden="false" customHeight="true" outlineLevel="0" collapsed="false">
      <c r="A808" s="74"/>
      <c r="B808" s="74"/>
      <c r="C808" s="75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customFormat="false" ht="15.75" hidden="false" customHeight="true" outlineLevel="0" collapsed="false">
      <c r="A809" s="74"/>
      <c r="B809" s="74"/>
      <c r="C809" s="75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customFormat="false" ht="15.75" hidden="false" customHeight="true" outlineLevel="0" collapsed="false">
      <c r="A810" s="74"/>
      <c r="B810" s="74"/>
      <c r="C810" s="75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customFormat="false" ht="15.75" hidden="false" customHeight="true" outlineLevel="0" collapsed="false">
      <c r="A811" s="74"/>
      <c r="B811" s="74"/>
      <c r="C811" s="75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customFormat="false" ht="15.75" hidden="false" customHeight="true" outlineLevel="0" collapsed="false">
      <c r="A812" s="74"/>
      <c r="B812" s="74"/>
      <c r="C812" s="75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customFormat="false" ht="15.75" hidden="false" customHeight="true" outlineLevel="0" collapsed="false">
      <c r="A813" s="74"/>
      <c r="B813" s="74"/>
      <c r="C813" s="75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customFormat="false" ht="15.75" hidden="false" customHeight="true" outlineLevel="0" collapsed="false">
      <c r="A814" s="74"/>
      <c r="B814" s="74"/>
      <c r="C814" s="75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customFormat="false" ht="15.75" hidden="false" customHeight="true" outlineLevel="0" collapsed="false">
      <c r="A815" s="74"/>
      <c r="B815" s="74"/>
      <c r="C815" s="75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customFormat="false" ht="15.75" hidden="false" customHeight="true" outlineLevel="0" collapsed="false">
      <c r="A816" s="74"/>
      <c r="B816" s="74"/>
      <c r="C816" s="75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customFormat="false" ht="15.75" hidden="false" customHeight="true" outlineLevel="0" collapsed="false">
      <c r="A817" s="74"/>
      <c r="B817" s="74"/>
      <c r="C817" s="75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customFormat="false" ht="15.75" hidden="false" customHeight="true" outlineLevel="0" collapsed="false">
      <c r="A818" s="74"/>
      <c r="B818" s="74"/>
      <c r="C818" s="75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customFormat="false" ht="15.75" hidden="false" customHeight="true" outlineLevel="0" collapsed="false">
      <c r="A819" s="74"/>
      <c r="B819" s="74"/>
      <c r="C819" s="75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customFormat="false" ht="15.75" hidden="false" customHeight="true" outlineLevel="0" collapsed="false">
      <c r="A820" s="74"/>
      <c r="B820" s="74"/>
      <c r="C820" s="75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customFormat="false" ht="15.75" hidden="false" customHeight="true" outlineLevel="0" collapsed="false">
      <c r="A821" s="74"/>
      <c r="B821" s="74"/>
      <c r="C821" s="75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customFormat="false" ht="15.75" hidden="false" customHeight="true" outlineLevel="0" collapsed="false">
      <c r="A822" s="74"/>
      <c r="B822" s="74"/>
      <c r="C822" s="75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customFormat="false" ht="15.75" hidden="false" customHeight="true" outlineLevel="0" collapsed="false">
      <c r="A823" s="74"/>
      <c r="B823" s="74"/>
      <c r="C823" s="75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customFormat="false" ht="15.75" hidden="false" customHeight="true" outlineLevel="0" collapsed="false">
      <c r="A824" s="74"/>
      <c r="B824" s="74"/>
      <c r="C824" s="75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customFormat="false" ht="15.75" hidden="false" customHeight="true" outlineLevel="0" collapsed="false">
      <c r="A825" s="74"/>
      <c r="B825" s="74"/>
      <c r="C825" s="75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customFormat="false" ht="15.75" hidden="false" customHeight="true" outlineLevel="0" collapsed="false">
      <c r="A826" s="74"/>
      <c r="B826" s="74"/>
      <c r="C826" s="75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customFormat="false" ht="15.75" hidden="false" customHeight="true" outlineLevel="0" collapsed="false">
      <c r="A827" s="74"/>
      <c r="B827" s="74"/>
      <c r="C827" s="75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customFormat="false" ht="15.75" hidden="false" customHeight="true" outlineLevel="0" collapsed="false">
      <c r="A828" s="74"/>
      <c r="B828" s="74"/>
      <c r="C828" s="75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customFormat="false" ht="15.75" hidden="false" customHeight="true" outlineLevel="0" collapsed="false">
      <c r="A829" s="74"/>
      <c r="B829" s="74"/>
      <c r="C829" s="75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customFormat="false" ht="15.75" hidden="false" customHeight="true" outlineLevel="0" collapsed="false">
      <c r="A830" s="74"/>
      <c r="B830" s="74"/>
      <c r="C830" s="75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customFormat="false" ht="15.75" hidden="false" customHeight="true" outlineLevel="0" collapsed="false">
      <c r="A831" s="74"/>
      <c r="B831" s="74"/>
      <c r="C831" s="75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customFormat="false" ht="15.75" hidden="false" customHeight="true" outlineLevel="0" collapsed="false">
      <c r="A832" s="74"/>
      <c r="B832" s="74"/>
      <c r="C832" s="75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customFormat="false" ht="15.75" hidden="false" customHeight="true" outlineLevel="0" collapsed="false">
      <c r="A833" s="74"/>
      <c r="B833" s="74"/>
      <c r="C833" s="75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customFormat="false" ht="15.75" hidden="false" customHeight="true" outlineLevel="0" collapsed="false">
      <c r="A834" s="74"/>
      <c r="B834" s="74"/>
      <c r="C834" s="75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customFormat="false" ht="15.75" hidden="false" customHeight="true" outlineLevel="0" collapsed="false">
      <c r="A835" s="74"/>
      <c r="B835" s="74"/>
      <c r="C835" s="75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customFormat="false" ht="15.75" hidden="false" customHeight="true" outlineLevel="0" collapsed="false">
      <c r="A836" s="74"/>
      <c r="B836" s="74"/>
      <c r="C836" s="75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customFormat="false" ht="15.75" hidden="false" customHeight="true" outlineLevel="0" collapsed="false">
      <c r="A837" s="74"/>
      <c r="B837" s="74"/>
      <c r="C837" s="75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customFormat="false" ht="15.75" hidden="false" customHeight="true" outlineLevel="0" collapsed="false">
      <c r="A838" s="74"/>
      <c r="B838" s="74"/>
      <c r="C838" s="75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customFormat="false" ht="15.75" hidden="false" customHeight="true" outlineLevel="0" collapsed="false">
      <c r="A839" s="74"/>
      <c r="B839" s="74"/>
      <c r="C839" s="75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customFormat="false" ht="15.75" hidden="false" customHeight="true" outlineLevel="0" collapsed="false">
      <c r="A840" s="74"/>
      <c r="B840" s="74"/>
      <c r="C840" s="75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customFormat="false" ht="15.75" hidden="false" customHeight="true" outlineLevel="0" collapsed="false">
      <c r="A841" s="74"/>
      <c r="B841" s="74"/>
      <c r="C841" s="75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customFormat="false" ht="15.75" hidden="false" customHeight="true" outlineLevel="0" collapsed="false">
      <c r="A842" s="74"/>
      <c r="B842" s="74"/>
      <c r="C842" s="75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customFormat="false" ht="15.75" hidden="false" customHeight="true" outlineLevel="0" collapsed="false">
      <c r="A843" s="74"/>
      <c r="B843" s="74"/>
      <c r="C843" s="75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customFormat="false" ht="15.75" hidden="false" customHeight="true" outlineLevel="0" collapsed="false">
      <c r="A844" s="74"/>
      <c r="B844" s="74"/>
      <c r="C844" s="75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customFormat="false" ht="15.75" hidden="false" customHeight="true" outlineLevel="0" collapsed="false">
      <c r="A845" s="74"/>
      <c r="B845" s="74"/>
      <c r="C845" s="75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customFormat="false" ht="15.75" hidden="false" customHeight="true" outlineLevel="0" collapsed="false">
      <c r="A846" s="74"/>
      <c r="B846" s="74"/>
      <c r="C846" s="75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customFormat="false" ht="15.75" hidden="false" customHeight="true" outlineLevel="0" collapsed="false">
      <c r="A847" s="74"/>
      <c r="B847" s="74"/>
      <c r="C847" s="75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customFormat="false" ht="15.75" hidden="false" customHeight="true" outlineLevel="0" collapsed="false">
      <c r="A848" s="74"/>
      <c r="B848" s="74"/>
      <c r="C848" s="75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customFormat="false" ht="15.75" hidden="false" customHeight="true" outlineLevel="0" collapsed="false">
      <c r="A849" s="74"/>
      <c r="B849" s="74"/>
      <c r="C849" s="75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customFormat="false" ht="15.75" hidden="false" customHeight="true" outlineLevel="0" collapsed="false">
      <c r="A850" s="74"/>
      <c r="B850" s="74"/>
      <c r="C850" s="75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customFormat="false" ht="15.75" hidden="false" customHeight="true" outlineLevel="0" collapsed="false">
      <c r="A851" s="74"/>
      <c r="B851" s="74"/>
      <c r="C851" s="75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customFormat="false" ht="15.75" hidden="false" customHeight="true" outlineLevel="0" collapsed="false">
      <c r="A852" s="74"/>
      <c r="B852" s="74"/>
      <c r="C852" s="75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customFormat="false" ht="15.75" hidden="false" customHeight="true" outlineLevel="0" collapsed="false">
      <c r="A853" s="74"/>
      <c r="B853" s="74"/>
      <c r="C853" s="75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customFormat="false" ht="15.75" hidden="false" customHeight="true" outlineLevel="0" collapsed="false">
      <c r="A854" s="74"/>
      <c r="B854" s="74"/>
      <c r="C854" s="75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customFormat="false" ht="15.75" hidden="false" customHeight="true" outlineLevel="0" collapsed="false">
      <c r="A855" s="74"/>
      <c r="B855" s="74"/>
      <c r="C855" s="75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customFormat="false" ht="15.75" hidden="false" customHeight="true" outlineLevel="0" collapsed="false">
      <c r="A856" s="74"/>
      <c r="B856" s="74"/>
      <c r="C856" s="75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customFormat="false" ht="15.75" hidden="false" customHeight="true" outlineLevel="0" collapsed="false">
      <c r="A857" s="74"/>
      <c r="B857" s="74"/>
      <c r="C857" s="75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customFormat="false" ht="15.75" hidden="false" customHeight="true" outlineLevel="0" collapsed="false">
      <c r="A858" s="74"/>
      <c r="B858" s="74"/>
      <c r="C858" s="75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customFormat="false" ht="15.75" hidden="false" customHeight="true" outlineLevel="0" collapsed="false">
      <c r="A859" s="74"/>
      <c r="B859" s="74"/>
      <c r="C859" s="75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customFormat="false" ht="15.75" hidden="false" customHeight="true" outlineLevel="0" collapsed="false">
      <c r="A860" s="74"/>
      <c r="B860" s="74"/>
      <c r="C860" s="75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customFormat="false" ht="15.75" hidden="false" customHeight="true" outlineLevel="0" collapsed="false">
      <c r="A861" s="74"/>
      <c r="B861" s="74"/>
      <c r="C861" s="75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customFormat="false" ht="15.75" hidden="false" customHeight="true" outlineLevel="0" collapsed="false">
      <c r="A862" s="74"/>
      <c r="B862" s="74"/>
      <c r="C862" s="75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customFormat="false" ht="15.75" hidden="false" customHeight="true" outlineLevel="0" collapsed="false">
      <c r="A863" s="74"/>
      <c r="B863" s="74"/>
      <c r="C863" s="75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customFormat="false" ht="15.75" hidden="false" customHeight="true" outlineLevel="0" collapsed="false">
      <c r="A864" s="74"/>
      <c r="B864" s="74"/>
      <c r="C864" s="75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customFormat="false" ht="15.75" hidden="false" customHeight="true" outlineLevel="0" collapsed="false">
      <c r="A865" s="74"/>
      <c r="B865" s="74"/>
      <c r="C865" s="75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customFormat="false" ht="15.75" hidden="false" customHeight="true" outlineLevel="0" collapsed="false">
      <c r="A866" s="74"/>
      <c r="B866" s="74"/>
      <c r="C866" s="75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customFormat="false" ht="15.75" hidden="false" customHeight="true" outlineLevel="0" collapsed="false">
      <c r="A867" s="74"/>
      <c r="B867" s="74"/>
      <c r="C867" s="75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customFormat="false" ht="15.75" hidden="false" customHeight="true" outlineLevel="0" collapsed="false">
      <c r="A868" s="74"/>
      <c r="B868" s="74"/>
      <c r="C868" s="75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customFormat="false" ht="15.75" hidden="false" customHeight="true" outlineLevel="0" collapsed="false">
      <c r="A869" s="74"/>
      <c r="B869" s="74"/>
      <c r="C869" s="75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customFormat="false" ht="15.75" hidden="false" customHeight="true" outlineLevel="0" collapsed="false">
      <c r="A870" s="74"/>
      <c r="B870" s="74"/>
      <c r="C870" s="75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customFormat="false" ht="15.75" hidden="false" customHeight="true" outlineLevel="0" collapsed="false">
      <c r="A871" s="74"/>
      <c r="B871" s="74"/>
      <c r="C871" s="75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customFormat="false" ht="15.75" hidden="false" customHeight="true" outlineLevel="0" collapsed="false">
      <c r="A872" s="74"/>
      <c r="B872" s="74"/>
      <c r="C872" s="75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customFormat="false" ht="15.75" hidden="false" customHeight="true" outlineLevel="0" collapsed="false">
      <c r="A873" s="74"/>
      <c r="B873" s="74"/>
      <c r="C873" s="75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customFormat="false" ht="15.75" hidden="false" customHeight="true" outlineLevel="0" collapsed="false">
      <c r="A874" s="74"/>
      <c r="B874" s="74"/>
      <c r="C874" s="75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customFormat="false" ht="15.75" hidden="false" customHeight="true" outlineLevel="0" collapsed="false">
      <c r="A875" s="74"/>
      <c r="B875" s="74"/>
      <c r="C875" s="75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customFormat="false" ht="15.75" hidden="false" customHeight="true" outlineLevel="0" collapsed="false">
      <c r="A876" s="74"/>
      <c r="B876" s="74"/>
      <c r="C876" s="75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customFormat="false" ht="15.75" hidden="false" customHeight="true" outlineLevel="0" collapsed="false">
      <c r="A877" s="74"/>
      <c r="B877" s="74"/>
      <c r="C877" s="75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customFormat="false" ht="15.75" hidden="false" customHeight="true" outlineLevel="0" collapsed="false">
      <c r="A878" s="74"/>
      <c r="B878" s="74"/>
      <c r="C878" s="75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customFormat="false" ht="15.75" hidden="false" customHeight="true" outlineLevel="0" collapsed="false">
      <c r="A879" s="74"/>
      <c r="B879" s="74"/>
      <c r="C879" s="75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customFormat="false" ht="15.75" hidden="false" customHeight="true" outlineLevel="0" collapsed="false">
      <c r="A880" s="74"/>
      <c r="B880" s="74"/>
      <c r="C880" s="75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customFormat="false" ht="15.75" hidden="false" customHeight="true" outlineLevel="0" collapsed="false">
      <c r="A881" s="74"/>
      <c r="B881" s="74"/>
      <c r="C881" s="75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customFormat="false" ht="15.75" hidden="false" customHeight="true" outlineLevel="0" collapsed="false">
      <c r="A882" s="74"/>
      <c r="B882" s="74"/>
      <c r="C882" s="75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customFormat="false" ht="15.75" hidden="false" customHeight="true" outlineLevel="0" collapsed="false">
      <c r="A883" s="74"/>
      <c r="B883" s="74"/>
      <c r="C883" s="75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customFormat="false" ht="15.75" hidden="false" customHeight="true" outlineLevel="0" collapsed="false">
      <c r="A884" s="74"/>
      <c r="B884" s="74"/>
      <c r="C884" s="75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customFormat="false" ht="15.75" hidden="false" customHeight="true" outlineLevel="0" collapsed="false">
      <c r="A885" s="74"/>
      <c r="B885" s="74"/>
      <c r="C885" s="75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customFormat="false" ht="15.75" hidden="false" customHeight="true" outlineLevel="0" collapsed="false">
      <c r="A886" s="74"/>
      <c r="B886" s="74"/>
      <c r="C886" s="75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customFormat="false" ht="15.75" hidden="false" customHeight="true" outlineLevel="0" collapsed="false">
      <c r="A887" s="74"/>
      <c r="B887" s="74"/>
      <c r="C887" s="75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customFormat="false" ht="15.75" hidden="false" customHeight="true" outlineLevel="0" collapsed="false">
      <c r="A888" s="74"/>
      <c r="B888" s="74"/>
      <c r="C888" s="75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customFormat="false" ht="15.75" hidden="false" customHeight="true" outlineLevel="0" collapsed="false">
      <c r="A889" s="74"/>
      <c r="B889" s="74"/>
      <c r="C889" s="75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customFormat="false" ht="15.75" hidden="false" customHeight="true" outlineLevel="0" collapsed="false">
      <c r="A890" s="74"/>
      <c r="B890" s="74"/>
      <c r="C890" s="75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customFormat="false" ht="15.75" hidden="false" customHeight="true" outlineLevel="0" collapsed="false">
      <c r="A891" s="74"/>
      <c r="B891" s="74"/>
      <c r="C891" s="75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customFormat="false" ht="15.75" hidden="false" customHeight="true" outlineLevel="0" collapsed="false">
      <c r="A892" s="74"/>
      <c r="B892" s="74"/>
      <c r="C892" s="75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customFormat="false" ht="15.75" hidden="false" customHeight="true" outlineLevel="0" collapsed="false">
      <c r="A893" s="74"/>
      <c r="B893" s="74"/>
      <c r="C893" s="75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customFormat="false" ht="15.75" hidden="false" customHeight="true" outlineLevel="0" collapsed="false">
      <c r="A894" s="74"/>
      <c r="B894" s="74"/>
      <c r="C894" s="75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customFormat="false" ht="15.75" hidden="false" customHeight="true" outlineLevel="0" collapsed="false">
      <c r="A895" s="74"/>
      <c r="B895" s="74"/>
      <c r="C895" s="75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customFormat="false" ht="15.75" hidden="false" customHeight="true" outlineLevel="0" collapsed="false">
      <c r="A896" s="74"/>
      <c r="B896" s="74"/>
      <c r="C896" s="75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customFormat="false" ht="15.75" hidden="false" customHeight="true" outlineLevel="0" collapsed="false">
      <c r="A897" s="74"/>
      <c r="B897" s="74"/>
      <c r="C897" s="75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customFormat="false" ht="15.75" hidden="false" customHeight="true" outlineLevel="0" collapsed="false">
      <c r="A898" s="74"/>
      <c r="B898" s="74"/>
      <c r="C898" s="75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customFormat="false" ht="15.75" hidden="false" customHeight="true" outlineLevel="0" collapsed="false">
      <c r="A899" s="74"/>
      <c r="B899" s="74"/>
      <c r="C899" s="75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customFormat="false" ht="15.75" hidden="false" customHeight="true" outlineLevel="0" collapsed="false">
      <c r="A900" s="74"/>
      <c r="B900" s="74"/>
      <c r="C900" s="75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customFormat="false" ht="15.75" hidden="false" customHeight="true" outlineLevel="0" collapsed="false">
      <c r="A901" s="74"/>
      <c r="B901" s="74"/>
      <c r="C901" s="75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customFormat="false" ht="15.75" hidden="false" customHeight="true" outlineLevel="0" collapsed="false">
      <c r="A902" s="74"/>
      <c r="B902" s="74"/>
      <c r="C902" s="75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customFormat="false" ht="15.75" hidden="false" customHeight="true" outlineLevel="0" collapsed="false">
      <c r="A903" s="74"/>
      <c r="B903" s="74"/>
      <c r="C903" s="75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customFormat="false" ht="15.75" hidden="false" customHeight="true" outlineLevel="0" collapsed="false">
      <c r="A904" s="74"/>
      <c r="B904" s="74"/>
      <c r="C904" s="75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customFormat="false" ht="15.75" hidden="false" customHeight="true" outlineLevel="0" collapsed="false">
      <c r="A905" s="74"/>
      <c r="B905" s="74"/>
      <c r="C905" s="75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customFormat="false" ht="15.75" hidden="false" customHeight="true" outlineLevel="0" collapsed="false">
      <c r="A906" s="74"/>
      <c r="B906" s="74"/>
      <c r="C906" s="75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customFormat="false" ht="15.75" hidden="false" customHeight="true" outlineLevel="0" collapsed="false">
      <c r="A907" s="74"/>
      <c r="B907" s="74"/>
      <c r="C907" s="75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customFormat="false" ht="15.75" hidden="false" customHeight="true" outlineLevel="0" collapsed="false">
      <c r="A908" s="74"/>
      <c r="B908" s="74"/>
      <c r="C908" s="75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customFormat="false" ht="15.75" hidden="false" customHeight="true" outlineLevel="0" collapsed="false">
      <c r="A909" s="74"/>
      <c r="B909" s="74"/>
      <c r="C909" s="75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customFormat="false" ht="15.75" hidden="false" customHeight="true" outlineLevel="0" collapsed="false">
      <c r="A910" s="74"/>
      <c r="B910" s="74"/>
      <c r="C910" s="75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customFormat="false" ht="15.75" hidden="false" customHeight="true" outlineLevel="0" collapsed="false">
      <c r="A911" s="74"/>
      <c r="B911" s="74"/>
      <c r="C911" s="75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customFormat="false" ht="15.75" hidden="false" customHeight="true" outlineLevel="0" collapsed="false">
      <c r="A912" s="74"/>
      <c r="B912" s="74"/>
      <c r="C912" s="75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customFormat="false" ht="15.75" hidden="false" customHeight="true" outlineLevel="0" collapsed="false">
      <c r="A913" s="74"/>
      <c r="B913" s="74"/>
      <c r="C913" s="75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customFormat="false" ht="15.75" hidden="false" customHeight="true" outlineLevel="0" collapsed="false">
      <c r="A914" s="74"/>
      <c r="B914" s="74"/>
      <c r="C914" s="75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customFormat="false" ht="15.75" hidden="false" customHeight="true" outlineLevel="0" collapsed="false">
      <c r="A915" s="74"/>
      <c r="B915" s="74"/>
      <c r="C915" s="75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customFormat="false" ht="15.75" hidden="false" customHeight="true" outlineLevel="0" collapsed="false">
      <c r="A916" s="74"/>
      <c r="B916" s="74"/>
      <c r="C916" s="75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customFormat="false" ht="15.75" hidden="false" customHeight="true" outlineLevel="0" collapsed="false">
      <c r="A917" s="74"/>
      <c r="B917" s="74"/>
      <c r="C917" s="75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customFormat="false" ht="15.75" hidden="false" customHeight="true" outlineLevel="0" collapsed="false">
      <c r="A918" s="74"/>
      <c r="B918" s="74"/>
      <c r="C918" s="75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customFormat="false" ht="15.75" hidden="false" customHeight="true" outlineLevel="0" collapsed="false">
      <c r="A919" s="74"/>
      <c r="B919" s="74"/>
      <c r="C919" s="75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customFormat="false" ht="15.75" hidden="false" customHeight="true" outlineLevel="0" collapsed="false">
      <c r="A920" s="74"/>
      <c r="B920" s="74"/>
      <c r="C920" s="75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customFormat="false" ht="15.75" hidden="false" customHeight="true" outlineLevel="0" collapsed="false">
      <c r="A921" s="74"/>
      <c r="B921" s="74"/>
      <c r="C921" s="75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customFormat="false" ht="15.75" hidden="false" customHeight="true" outlineLevel="0" collapsed="false">
      <c r="A922" s="74"/>
      <c r="B922" s="74"/>
      <c r="C922" s="75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customFormat="false" ht="15.75" hidden="false" customHeight="true" outlineLevel="0" collapsed="false">
      <c r="A923" s="74"/>
      <c r="B923" s="74"/>
      <c r="C923" s="75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customFormat="false" ht="15.75" hidden="false" customHeight="true" outlineLevel="0" collapsed="false">
      <c r="A924" s="74"/>
      <c r="B924" s="74"/>
      <c r="C924" s="75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customFormat="false" ht="15.75" hidden="false" customHeight="true" outlineLevel="0" collapsed="false">
      <c r="A925" s="74"/>
      <c r="B925" s="74"/>
      <c r="C925" s="75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customFormat="false" ht="15.75" hidden="false" customHeight="true" outlineLevel="0" collapsed="false">
      <c r="A926" s="74"/>
      <c r="B926" s="74"/>
      <c r="C926" s="75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customFormat="false" ht="15.75" hidden="false" customHeight="true" outlineLevel="0" collapsed="false">
      <c r="A927" s="74"/>
      <c r="B927" s="74"/>
      <c r="C927" s="75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customFormat="false" ht="15.75" hidden="false" customHeight="true" outlineLevel="0" collapsed="false">
      <c r="A928" s="74"/>
      <c r="B928" s="74"/>
      <c r="C928" s="75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customFormat="false" ht="15.75" hidden="false" customHeight="true" outlineLevel="0" collapsed="false">
      <c r="A929" s="74"/>
      <c r="B929" s="74"/>
      <c r="C929" s="75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customFormat="false" ht="15.75" hidden="false" customHeight="true" outlineLevel="0" collapsed="false">
      <c r="A930" s="74"/>
      <c r="B930" s="74"/>
      <c r="C930" s="75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customFormat="false" ht="15.75" hidden="false" customHeight="true" outlineLevel="0" collapsed="false">
      <c r="A931" s="74"/>
      <c r="B931" s="74"/>
      <c r="C931" s="75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customFormat="false" ht="15.75" hidden="false" customHeight="true" outlineLevel="0" collapsed="false">
      <c r="A932" s="74"/>
      <c r="B932" s="74"/>
      <c r="C932" s="75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customFormat="false" ht="15.75" hidden="false" customHeight="true" outlineLevel="0" collapsed="false">
      <c r="A933" s="74"/>
      <c r="B933" s="74"/>
      <c r="C933" s="75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customFormat="false" ht="15.75" hidden="false" customHeight="true" outlineLevel="0" collapsed="false">
      <c r="A934" s="74"/>
      <c r="B934" s="74"/>
      <c r="C934" s="75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customFormat="false" ht="15.75" hidden="false" customHeight="true" outlineLevel="0" collapsed="false">
      <c r="A935" s="74"/>
      <c r="B935" s="74"/>
      <c r="C935" s="75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customFormat="false" ht="15.75" hidden="false" customHeight="true" outlineLevel="0" collapsed="false">
      <c r="A936" s="74"/>
      <c r="B936" s="74"/>
      <c r="C936" s="75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customFormat="false" ht="15.75" hidden="false" customHeight="true" outlineLevel="0" collapsed="false">
      <c r="A937" s="74"/>
      <c r="B937" s="74"/>
      <c r="C937" s="75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customFormat="false" ht="15.75" hidden="false" customHeight="true" outlineLevel="0" collapsed="false">
      <c r="A938" s="74"/>
      <c r="B938" s="74"/>
      <c r="C938" s="75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customFormat="false" ht="15.75" hidden="false" customHeight="true" outlineLevel="0" collapsed="false">
      <c r="A939" s="74"/>
      <c r="B939" s="74"/>
      <c r="C939" s="75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customFormat="false" ht="15.75" hidden="false" customHeight="true" outlineLevel="0" collapsed="false">
      <c r="A940" s="74"/>
      <c r="B940" s="74"/>
      <c r="C940" s="75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customFormat="false" ht="15.75" hidden="false" customHeight="true" outlineLevel="0" collapsed="false">
      <c r="A941" s="74"/>
      <c r="B941" s="74"/>
      <c r="C941" s="75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customFormat="false" ht="15.75" hidden="false" customHeight="true" outlineLevel="0" collapsed="false">
      <c r="A942" s="74"/>
      <c r="B942" s="74"/>
      <c r="C942" s="75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customFormat="false" ht="15.75" hidden="false" customHeight="true" outlineLevel="0" collapsed="false">
      <c r="A943" s="74"/>
      <c r="B943" s="74"/>
      <c r="C943" s="75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customFormat="false" ht="15.75" hidden="false" customHeight="true" outlineLevel="0" collapsed="false">
      <c r="A944" s="74"/>
      <c r="B944" s="74"/>
      <c r="C944" s="75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customFormat="false" ht="15.75" hidden="false" customHeight="true" outlineLevel="0" collapsed="false">
      <c r="A945" s="74"/>
      <c r="B945" s="74"/>
      <c r="C945" s="75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customFormat="false" ht="15.75" hidden="false" customHeight="true" outlineLevel="0" collapsed="false">
      <c r="A946" s="74"/>
      <c r="B946" s="74"/>
      <c r="C946" s="75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customFormat="false" ht="15.75" hidden="false" customHeight="true" outlineLevel="0" collapsed="false">
      <c r="A947" s="74"/>
      <c r="B947" s="74"/>
      <c r="C947" s="75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customFormat="false" ht="15.75" hidden="false" customHeight="true" outlineLevel="0" collapsed="false">
      <c r="A948" s="74"/>
      <c r="B948" s="74"/>
      <c r="C948" s="75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customFormat="false" ht="15.75" hidden="false" customHeight="true" outlineLevel="0" collapsed="false">
      <c r="A949" s="74"/>
      <c r="B949" s="74"/>
      <c r="C949" s="75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customFormat="false" ht="15.75" hidden="false" customHeight="true" outlineLevel="0" collapsed="false">
      <c r="A950" s="74"/>
      <c r="B950" s="74"/>
      <c r="C950" s="75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customFormat="false" ht="15.75" hidden="false" customHeight="true" outlineLevel="0" collapsed="false">
      <c r="A951" s="74"/>
      <c r="B951" s="74"/>
      <c r="C951" s="75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customFormat="false" ht="15.75" hidden="false" customHeight="true" outlineLevel="0" collapsed="false">
      <c r="A952" s="74"/>
      <c r="B952" s="74"/>
      <c r="C952" s="75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customFormat="false" ht="15.75" hidden="false" customHeight="true" outlineLevel="0" collapsed="false">
      <c r="A953" s="74"/>
      <c r="B953" s="74"/>
      <c r="C953" s="75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customFormat="false" ht="15.75" hidden="false" customHeight="true" outlineLevel="0" collapsed="false">
      <c r="A954" s="74"/>
      <c r="B954" s="74"/>
      <c r="C954" s="75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customFormat="false" ht="15.75" hidden="false" customHeight="true" outlineLevel="0" collapsed="false">
      <c r="A955" s="74"/>
      <c r="B955" s="74"/>
      <c r="C955" s="75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customFormat="false" ht="15.75" hidden="false" customHeight="true" outlineLevel="0" collapsed="false">
      <c r="A956" s="74"/>
      <c r="B956" s="74"/>
      <c r="C956" s="75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customFormat="false" ht="15.75" hidden="false" customHeight="true" outlineLevel="0" collapsed="false">
      <c r="A957" s="74"/>
      <c r="B957" s="74"/>
      <c r="C957" s="75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customFormat="false" ht="15.75" hidden="false" customHeight="true" outlineLevel="0" collapsed="false">
      <c r="A958" s="74"/>
      <c r="B958" s="74"/>
      <c r="C958" s="75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customFormat="false" ht="15.75" hidden="false" customHeight="true" outlineLevel="0" collapsed="false">
      <c r="A959" s="74"/>
      <c r="B959" s="74"/>
      <c r="C959" s="75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customFormat="false" ht="15.75" hidden="false" customHeight="true" outlineLevel="0" collapsed="false">
      <c r="A960" s="74"/>
      <c r="B960" s="74"/>
      <c r="C960" s="75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customFormat="false" ht="15.75" hidden="false" customHeight="true" outlineLevel="0" collapsed="false">
      <c r="A961" s="74"/>
      <c r="B961" s="74"/>
      <c r="C961" s="75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customFormat="false" ht="15.75" hidden="false" customHeight="true" outlineLevel="0" collapsed="false">
      <c r="A962" s="74"/>
      <c r="B962" s="74"/>
      <c r="C962" s="75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customFormat="false" ht="15.75" hidden="false" customHeight="true" outlineLevel="0" collapsed="false">
      <c r="A963" s="74"/>
      <c r="B963" s="74"/>
      <c r="C963" s="75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customFormat="false" ht="15.75" hidden="false" customHeight="true" outlineLevel="0" collapsed="false">
      <c r="A964" s="74"/>
      <c r="B964" s="74"/>
      <c r="C964" s="75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customFormat="false" ht="15.75" hidden="false" customHeight="true" outlineLevel="0" collapsed="false">
      <c r="A965" s="74"/>
      <c r="B965" s="74"/>
      <c r="C965" s="75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customFormat="false" ht="15.75" hidden="false" customHeight="true" outlineLevel="0" collapsed="false">
      <c r="A966" s="74"/>
      <c r="B966" s="74"/>
      <c r="C966" s="75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customFormat="false" ht="15.75" hidden="false" customHeight="true" outlineLevel="0" collapsed="false">
      <c r="A967" s="74"/>
      <c r="B967" s="74"/>
      <c r="C967" s="75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customFormat="false" ht="15.75" hidden="false" customHeight="true" outlineLevel="0" collapsed="false">
      <c r="A968" s="74"/>
      <c r="B968" s="74"/>
      <c r="C968" s="75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customFormat="false" ht="15.75" hidden="false" customHeight="true" outlineLevel="0" collapsed="false">
      <c r="A969" s="74"/>
      <c r="B969" s="74"/>
      <c r="C969" s="75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customFormat="false" ht="15.75" hidden="false" customHeight="true" outlineLevel="0" collapsed="false">
      <c r="A970" s="74"/>
      <c r="B970" s="74"/>
      <c r="C970" s="75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customFormat="false" ht="15.75" hidden="false" customHeight="true" outlineLevel="0" collapsed="false">
      <c r="A971" s="74"/>
      <c r="B971" s="74"/>
      <c r="C971" s="75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customFormat="false" ht="15.75" hidden="false" customHeight="true" outlineLevel="0" collapsed="false">
      <c r="A972" s="74"/>
      <c r="B972" s="74"/>
      <c r="C972" s="75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customFormat="false" ht="15.75" hidden="false" customHeight="true" outlineLevel="0" collapsed="false">
      <c r="A973" s="74"/>
      <c r="B973" s="74"/>
      <c r="C973" s="75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customFormat="false" ht="15.75" hidden="false" customHeight="true" outlineLevel="0" collapsed="false">
      <c r="A974" s="74"/>
      <c r="B974" s="74"/>
      <c r="C974" s="75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customFormat="false" ht="15.75" hidden="false" customHeight="true" outlineLevel="0" collapsed="false">
      <c r="A975" s="74"/>
      <c r="B975" s="74"/>
      <c r="C975" s="75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customFormat="false" ht="15.75" hidden="false" customHeight="true" outlineLevel="0" collapsed="false">
      <c r="A976" s="74"/>
      <c r="B976" s="74"/>
      <c r="C976" s="75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customFormat="false" ht="15.75" hidden="false" customHeight="true" outlineLevel="0" collapsed="false">
      <c r="A977" s="74"/>
      <c r="B977" s="74"/>
      <c r="C977" s="75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customFormat="false" ht="15.75" hidden="false" customHeight="true" outlineLevel="0" collapsed="false">
      <c r="A978" s="74"/>
      <c r="B978" s="74"/>
      <c r="C978" s="75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customFormat="false" ht="15.75" hidden="false" customHeight="true" outlineLevel="0" collapsed="false">
      <c r="A979" s="74"/>
      <c r="B979" s="74"/>
      <c r="C979" s="75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customFormat="false" ht="15.75" hidden="false" customHeight="true" outlineLevel="0" collapsed="false">
      <c r="A980" s="74"/>
      <c r="B980" s="74"/>
      <c r="C980" s="75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customFormat="false" ht="15.75" hidden="false" customHeight="true" outlineLevel="0" collapsed="false">
      <c r="A981" s="74"/>
      <c r="B981" s="74"/>
      <c r="C981" s="75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customFormat="false" ht="15.75" hidden="false" customHeight="true" outlineLevel="0" collapsed="false">
      <c r="A982" s="74"/>
      <c r="B982" s="74"/>
      <c r="C982" s="75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customFormat="false" ht="15.75" hidden="false" customHeight="true" outlineLevel="0" collapsed="false">
      <c r="A983" s="74"/>
      <c r="B983" s="74"/>
      <c r="C983" s="75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customFormat="false" ht="15.75" hidden="false" customHeight="true" outlineLevel="0" collapsed="false">
      <c r="A984" s="74"/>
      <c r="B984" s="74"/>
      <c r="C984" s="75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customFormat="false" ht="15.75" hidden="false" customHeight="true" outlineLevel="0" collapsed="false">
      <c r="A985" s="74"/>
      <c r="B985" s="74"/>
      <c r="C985" s="75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customFormat="false" ht="15.75" hidden="false" customHeight="true" outlineLevel="0" collapsed="false">
      <c r="A986" s="74"/>
      <c r="B986" s="74"/>
      <c r="C986" s="75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customFormat="false" ht="15.75" hidden="false" customHeight="true" outlineLevel="0" collapsed="false">
      <c r="A987" s="74"/>
      <c r="B987" s="74"/>
      <c r="C987" s="75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customFormat="false" ht="15.75" hidden="false" customHeight="true" outlineLevel="0" collapsed="false">
      <c r="A988" s="74"/>
      <c r="B988" s="74"/>
      <c r="C988" s="75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customFormat="false" ht="15.75" hidden="false" customHeight="true" outlineLevel="0" collapsed="false">
      <c r="A989" s="74"/>
      <c r="B989" s="74"/>
      <c r="C989" s="75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customFormat="false" ht="15.75" hidden="false" customHeight="true" outlineLevel="0" collapsed="false">
      <c r="A990" s="74"/>
      <c r="B990" s="74"/>
      <c r="C990" s="75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customFormat="false" ht="15.75" hidden="false" customHeight="true" outlineLevel="0" collapsed="false">
      <c r="A991" s="74"/>
      <c r="B991" s="74"/>
      <c r="C991" s="75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customFormat="false" ht="15.75" hidden="false" customHeight="true" outlineLevel="0" collapsed="false">
      <c r="A992" s="74"/>
      <c r="B992" s="74"/>
      <c r="C992" s="75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customFormat="false" ht="15.75" hidden="false" customHeight="true" outlineLevel="0" collapsed="false">
      <c r="A993" s="74"/>
      <c r="B993" s="74"/>
      <c r="C993" s="75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customFormat="false" ht="15" hidden="false" customHeight="true" outlineLevel="0" collapsed="false">
      <c r="B994" s="74"/>
      <c r="C994" s="75"/>
      <c r="D994" s="74"/>
      <c r="E994" s="74"/>
      <c r="F994" s="74"/>
      <c r="G994" s="74"/>
      <c r="H994" s="74"/>
      <c r="I994" s="74"/>
      <c r="J994" s="74"/>
      <c r="K994" s="74"/>
    </row>
  </sheetData>
  <mergeCells count="17">
    <mergeCell ref="A7:J7"/>
    <mergeCell ref="A9:A10"/>
    <mergeCell ref="B9:B10"/>
    <mergeCell ref="C9:C10"/>
    <mergeCell ref="J9:J10"/>
    <mergeCell ref="K9:K10"/>
    <mergeCell ref="L9:L10"/>
    <mergeCell ref="A75:K75"/>
    <mergeCell ref="A76:C76"/>
    <mergeCell ref="L76:L82"/>
    <mergeCell ref="A77:C77"/>
    <mergeCell ref="A78:C78"/>
    <mergeCell ref="A79:C79"/>
    <mergeCell ref="A80:C80"/>
    <mergeCell ref="A81:C81"/>
    <mergeCell ref="A82:C82"/>
    <mergeCell ref="B121:C121"/>
  </mergeCells>
  <conditionalFormatting sqref="J11:J74 J76:J78 J80:J82">
    <cfRule type="cellIs" priority="2" operator="lessThan" aboveAverage="0" equalAverage="0" bottom="0" percent="0" rank="0" text="" dxfId="2">
      <formula>50</formula>
    </cfRule>
  </conditionalFormatting>
  <conditionalFormatting sqref="J11:J74 J76:J78 J80:J82">
    <cfRule type="cellIs" priority="3" operator="equal" aboveAverage="0" equalAverage="0" bottom="0" percent="0" rank="0" text="" dxfId="2">
      <formula>"AB"</formula>
    </cfRule>
  </conditionalFormatting>
  <conditionalFormatting sqref="I11:J11 G13:G15 G17:G69 G71 G73:G74">
    <cfRule type="cellIs" priority="4" operator="equal" aboveAverage="0" equalAverage="0" bottom="0" percent="0" rank="0" text="" dxfId="3">
      <formula>"AB"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X9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1.38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7" min="6" style="0" width="14"/>
    <col collapsed="false" customWidth="true" hidden="false" outlineLevel="0" max="9" min="8" style="0" width="13.88"/>
    <col collapsed="false" customWidth="true" hidden="false" outlineLevel="0" max="10" min="10" style="0" width="16.12"/>
    <col collapsed="false" customWidth="true" hidden="false" outlineLevel="0" max="11" min="11" style="0" width="0.38"/>
  </cols>
  <sheetData>
    <row r="1" customFormat="false" ht="15.75" hidden="false" customHeight="true" outlineLevel="0" collapsed="false">
      <c r="A1" s="74"/>
      <c r="B1" s="74"/>
      <c r="C1" s="75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</row>
    <row r="2" customFormat="false" ht="15.75" hidden="false" customHeight="true" outlineLevel="0" collapsed="false">
      <c r="A2" s="74"/>
      <c r="B2" s="74"/>
      <c r="C2" s="75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</row>
    <row r="3" customFormat="false" ht="15.75" hidden="false" customHeight="true" outlineLevel="0" collapsed="false">
      <c r="A3" s="74"/>
      <c r="B3" s="74"/>
      <c r="C3" s="75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</row>
    <row r="4" customFormat="false" ht="15.75" hidden="false" customHeight="true" outlineLevel="0" collapsed="false">
      <c r="A4" s="74"/>
      <c r="B4" s="74"/>
      <c r="C4" s="75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</row>
    <row r="5" customFormat="false" ht="15.75" hidden="false" customHeight="true" outlineLevel="0" collapsed="false">
      <c r="A5" s="74"/>
      <c r="B5" s="74"/>
      <c r="C5" s="75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</row>
    <row r="6" customFormat="false" ht="15.75" hidden="false" customHeight="true" outlineLevel="0" collapsed="false">
      <c r="A6" s="74"/>
      <c r="B6" s="74"/>
      <c r="C6" s="75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</row>
    <row r="7" customFormat="false" ht="15.75" hidden="false" customHeight="true" outlineLevel="0" collapsed="false">
      <c r="A7" s="76" t="s">
        <v>1</v>
      </c>
      <c r="B7" s="76"/>
      <c r="C7" s="76"/>
      <c r="D7" s="76"/>
      <c r="E7" s="76"/>
      <c r="F7" s="76"/>
      <c r="G7" s="76"/>
      <c r="H7" s="76"/>
      <c r="I7" s="76"/>
      <c r="J7" s="76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</row>
    <row r="8" customFormat="false" ht="15.75" hidden="false" customHeight="true" outlineLevel="0" collapsed="false">
      <c r="A8" s="78" t="s">
        <v>115</v>
      </c>
      <c r="B8" s="78" t="s">
        <v>116</v>
      </c>
      <c r="C8" s="79"/>
      <c r="D8" s="80"/>
      <c r="E8" s="81" t="s">
        <v>204</v>
      </c>
      <c r="F8" s="82"/>
      <c r="G8" s="82"/>
      <c r="H8" s="82"/>
      <c r="I8" s="82" t="s">
        <v>117</v>
      </c>
      <c r="J8" s="82" t="s">
        <v>118</v>
      </c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</row>
    <row r="9" customFormat="false" ht="21.75" hidden="false" customHeight="true" outlineLevel="0" collapsed="false">
      <c r="A9" s="83" t="s">
        <v>119</v>
      </c>
      <c r="B9" s="83" t="s">
        <v>7</v>
      </c>
      <c r="C9" s="84" t="s">
        <v>8</v>
      </c>
      <c r="D9" s="17"/>
      <c r="E9" s="17"/>
      <c r="F9" s="17"/>
      <c r="G9" s="17"/>
      <c r="H9" s="17"/>
      <c r="I9" s="17"/>
      <c r="J9" s="85" t="s">
        <v>205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</row>
    <row r="10" customFormat="false" ht="60" hidden="false" customHeight="true" outlineLevel="0" collapsed="false">
      <c r="A10" s="83"/>
      <c r="B10" s="83"/>
      <c r="C10" s="83"/>
      <c r="D10" s="87" t="s">
        <v>127</v>
      </c>
      <c r="E10" s="87" t="s">
        <v>128</v>
      </c>
      <c r="F10" s="87" t="s">
        <v>129</v>
      </c>
      <c r="G10" s="88" t="s">
        <v>130</v>
      </c>
      <c r="H10" s="87" t="s">
        <v>131</v>
      </c>
      <c r="I10" s="87" t="s">
        <v>132</v>
      </c>
      <c r="J10" s="85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</row>
    <row r="11" customFormat="false" ht="24.75" hidden="false" customHeight="true" outlineLevel="0" collapsed="false">
      <c r="A11" s="89" t="n">
        <v>1</v>
      </c>
      <c r="B11" s="90" t="n">
        <v>511523205001</v>
      </c>
      <c r="C11" s="91" t="s">
        <v>133</v>
      </c>
      <c r="D11" s="92" t="s">
        <v>28</v>
      </c>
      <c r="E11" s="92" t="s">
        <v>28</v>
      </c>
      <c r="F11" s="92" t="s">
        <v>28</v>
      </c>
      <c r="G11" s="93" t="s">
        <v>28</v>
      </c>
      <c r="H11" s="92" t="s">
        <v>28</v>
      </c>
      <c r="I11" s="94" t="n">
        <v>18</v>
      </c>
      <c r="J11" s="93"/>
      <c r="K11" s="74" t="e">
        <f aca="false">(G11/25)*100</f>
        <v>#VALUE!</v>
      </c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</row>
    <row r="12" customFormat="false" ht="24.75" hidden="false" customHeight="true" outlineLevel="0" collapsed="false">
      <c r="A12" s="89" t="n">
        <v>2</v>
      </c>
      <c r="B12" s="95" t="n">
        <v>511523205002</v>
      </c>
      <c r="C12" s="96" t="s">
        <v>134</v>
      </c>
      <c r="D12" s="97" t="n">
        <v>80</v>
      </c>
      <c r="E12" s="93" t="n">
        <v>76</v>
      </c>
      <c r="F12" s="92" t="n">
        <v>52</v>
      </c>
      <c r="G12" s="92" t="s">
        <v>28</v>
      </c>
      <c r="H12" s="98" t="s">
        <v>21</v>
      </c>
      <c r="I12" s="92" t="s">
        <v>28</v>
      </c>
      <c r="J12" s="22"/>
      <c r="K12" s="74" t="e">
        <f aca="false">(G12/25)*100</f>
        <v>#VALUE!</v>
      </c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</row>
    <row r="13" customFormat="false" ht="24.75" hidden="false" customHeight="true" outlineLevel="0" collapsed="false">
      <c r="A13" s="89" t="n">
        <v>3</v>
      </c>
      <c r="B13" s="95" t="n">
        <v>511523205003</v>
      </c>
      <c r="C13" s="96" t="s">
        <v>135</v>
      </c>
      <c r="D13" s="97" t="n">
        <v>82</v>
      </c>
      <c r="E13" s="93" t="n">
        <v>86</v>
      </c>
      <c r="F13" s="92" t="n">
        <v>68</v>
      </c>
      <c r="G13" s="93" t="n">
        <v>72</v>
      </c>
      <c r="H13" s="93" t="s">
        <v>21</v>
      </c>
      <c r="I13" s="92" t="n">
        <v>62</v>
      </c>
      <c r="J13" s="22"/>
      <c r="K13" s="74" t="n">
        <f aca="false">(G13/25)*100</f>
        <v>288</v>
      </c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</row>
    <row r="14" customFormat="false" ht="24.75" hidden="false" customHeight="true" outlineLevel="0" collapsed="false">
      <c r="A14" s="89" t="n">
        <v>4</v>
      </c>
      <c r="B14" s="95" t="n">
        <v>511523205004</v>
      </c>
      <c r="C14" s="96" t="s">
        <v>136</v>
      </c>
      <c r="D14" s="97" t="n">
        <v>74</v>
      </c>
      <c r="E14" s="93" t="n">
        <v>82</v>
      </c>
      <c r="F14" s="92" t="n">
        <v>66</v>
      </c>
      <c r="G14" s="93" t="n">
        <v>72</v>
      </c>
      <c r="H14" s="93" t="n">
        <v>82</v>
      </c>
      <c r="I14" s="92" t="n">
        <v>68</v>
      </c>
      <c r="J14" s="22"/>
      <c r="K14" s="74" t="n">
        <f aca="false">(G55/25)*100</f>
        <v>208</v>
      </c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</row>
    <row r="15" customFormat="false" ht="24.75" hidden="false" customHeight="true" outlineLevel="0" collapsed="false">
      <c r="A15" s="89" t="n">
        <v>5</v>
      </c>
      <c r="B15" s="95" t="n">
        <v>511523205005</v>
      </c>
      <c r="C15" s="96" t="s">
        <v>137</v>
      </c>
      <c r="D15" s="97" t="n">
        <v>54</v>
      </c>
      <c r="E15" s="93" t="n">
        <v>78</v>
      </c>
      <c r="F15" s="92" t="n">
        <v>52</v>
      </c>
      <c r="G15" s="93" t="n">
        <v>38</v>
      </c>
      <c r="H15" s="98" t="n">
        <v>36</v>
      </c>
      <c r="I15" s="92" t="n">
        <v>38</v>
      </c>
      <c r="J15" s="22"/>
      <c r="K15" s="74" t="n">
        <f aca="false">(G15/25)*100</f>
        <v>152</v>
      </c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</row>
    <row r="16" customFormat="false" ht="24.75" hidden="false" customHeight="true" outlineLevel="0" collapsed="false">
      <c r="A16" s="89" t="n">
        <v>6</v>
      </c>
      <c r="B16" s="95" t="n">
        <v>511523205006</v>
      </c>
      <c r="C16" s="96" t="s">
        <v>138</v>
      </c>
      <c r="D16" s="97" t="n">
        <v>88</v>
      </c>
      <c r="E16" s="93" t="n">
        <v>84</v>
      </c>
      <c r="F16" s="92" t="s">
        <v>28</v>
      </c>
      <c r="G16" s="92" t="s">
        <v>28</v>
      </c>
      <c r="H16" s="93" t="n">
        <v>52</v>
      </c>
      <c r="I16" s="92" t="n">
        <v>50</v>
      </c>
      <c r="J16" s="22"/>
      <c r="K16" s="74" t="e">
        <f aca="false">(G16/25)*100</f>
        <v>#VALUE!</v>
      </c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</row>
    <row r="17" customFormat="false" ht="24.75" hidden="false" customHeight="true" outlineLevel="0" collapsed="false">
      <c r="A17" s="89" t="n">
        <v>7</v>
      </c>
      <c r="B17" s="95" t="n">
        <v>511523205007</v>
      </c>
      <c r="C17" s="96" t="s">
        <v>139</v>
      </c>
      <c r="D17" s="97" t="n">
        <v>50</v>
      </c>
      <c r="E17" s="93" t="n">
        <v>58</v>
      </c>
      <c r="F17" s="92" t="n">
        <v>32</v>
      </c>
      <c r="G17" s="93" t="n">
        <v>50</v>
      </c>
      <c r="H17" s="98" t="n">
        <v>20</v>
      </c>
      <c r="I17" s="92" t="n">
        <v>38</v>
      </c>
      <c r="J17" s="22"/>
      <c r="K17" s="74" t="n">
        <f aca="false">(G17/25)*100</f>
        <v>200</v>
      </c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</row>
    <row r="18" customFormat="false" ht="24.75" hidden="false" customHeight="true" outlineLevel="0" collapsed="false">
      <c r="A18" s="89" t="n">
        <v>8</v>
      </c>
      <c r="B18" s="95" t="n">
        <v>511523205008</v>
      </c>
      <c r="C18" s="96" t="s">
        <v>140</v>
      </c>
      <c r="D18" s="97" t="n">
        <v>50</v>
      </c>
      <c r="E18" s="93" t="n">
        <v>68</v>
      </c>
      <c r="F18" s="92" t="n">
        <v>0</v>
      </c>
      <c r="G18" s="93" t="n">
        <v>50</v>
      </c>
      <c r="H18" s="93" t="n">
        <v>12</v>
      </c>
      <c r="I18" s="92" t="n">
        <v>16</v>
      </c>
      <c r="J18" s="22"/>
      <c r="K18" s="74" t="n">
        <f aca="false">(G18/25)*100</f>
        <v>200</v>
      </c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</row>
    <row r="19" customFormat="false" ht="24.75" hidden="false" customHeight="true" outlineLevel="0" collapsed="false">
      <c r="A19" s="89" t="n">
        <v>9</v>
      </c>
      <c r="B19" s="95" t="n">
        <v>511523205009</v>
      </c>
      <c r="C19" s="96" t="s">
        <v>141</v>
      </c>
      <c r="D19" s="97" t="n">
        <v>74</v>
      </c>
      <c r="E19" s="93" t="n">
        <v>82</v>
      </c>
      <c r="F19" s="92" t="n">
        <v>16</v>
      </c>
      <c r="G19" s="93" t="n">
        <v>18</v>
      </c>
      <c r="H19" s="93" t="n">
        <v>16</v>
      </c>
      <c r="I19" s="92" t="n">
        <v>28</v>
      </c>
      <c r="J19" s="22"/>
      <c r="K19" s="74" t="n">
        <f aca="false">(G19/25)*100</f>
        <v>72</v>
      </c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</row>
    <row r="20" customFormat="false" ht="24.75" hidden="false" customHeight="true" outlineLevel="0" collapsed="false">
      <c r="A20" s="89" t="n">
        <v>10</v>
      </c>
      <c r="B20" s="95" t="n">
        <v>511523205010</v>
      </c>
      <c r="C20" s="96" t="s">
        <v>142</v>
      </c>
      <c r="D20" s="97" t="n">
        <v>76</v>
      </c>
      <c r="E20" s="93" t="n">
        <v>82</v>
      </c>
      <c r="F20" s="92" t="n">
        <v>62</v>
      </c>
      <c r="G20" s="93" t="n">
        <v>72</v>
      </c>
      <c r="H20" s="93" t="n">
        <v>72</v>
      </c>
      <c r="I20" s="92" t="n">
        <v>64</v>
      </c>
      <c r="J20" s="22"/>
      <c r="K20" s="74" t="n">
        <f aca="false">(G20/25)*100</f>
        <v>288</v>
      </c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</row>
    <row r="21" customFormat="false" ht="24.75" hidden="false" customHeight="true" outlineLevel="0" collapsed="false">
      <c r="A21" s="89" t="n">
        <v>11</v>
      </c>
      <c r="B21" s="95" t="n">
        <v>511523205011</v>
      </c>
      <c r="C21" s="96" t="s">
        <v>143</v>
      </c>
      <c r="D21" s="97" t="n">
        <v>72</v>
      </c>
      <c r="E21" s="93" t="n">
        <v>80</v>
      </c>
      <c r="F21" s="92" t="n">
        <v>70</v>
      </c>
      <c r="G21" s="93" t="n">
        <v>64</v>
      </c>
      <c r="H21" s="93" t="n">
        <v>50</v>
      </c>
      <c r="I21" s="92" t="n">
        <v>38</v>
      </c>
      <c r="J21" s="22"/>
      <c r="K21" s="74" t="n">
        <f aca="false">(G21/25)*100</f>
        <v>256</v>
      </c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 customFormat="false" ht="24.75" hidden="false" customHeight="true" outlineLevel="0" collapsed="false">
      <c r="A22" s="89" t="n">
        <v>12</v>
      </c>
      <c r="B22" s="95" t="n">
        <v>511523205012</v>
      </c>
      <c r="C22" s="96" t="s">
        <v>144</v>
      </c>
      <c r="D22" s="97" t="n">
        <v>72</v>
      </c>
      <c r="E22" s="93" t="n">
        <v>80</v>
      </c>
      <c r="F22" s="92" t="n">
        <v>66</v>
      </c>
      <c r="G22" s="93" t="n">
        <v>64</v>
      </c>
      <c r="H22" s="93" t="n">
        <v>70</v>
      </c>
      <c r="I22" s="92" t="n">
        <v>54</v>
      </c>
      <c r="J22" s="22"/>
      <c r="K22" s="74" t="n">
        <f aca="false">(G22/25)*100</f>
        <v>256</v>
      </c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</row>
    <row r="23" customFormat="false" ht="24.75" hidden="false" customHeight="true" outlineLevel="0" collapsed="false">
      <c r="A23" s="89" t="n">
        <v>13</v>
      </c>
      <c r="B23" s="95" t="n">
        <v>511523205013</v>
      </c>
      <c r="C23" s="96" t="s">
        <v>145</v>
      </c>
      <c r="D23" s="97" t="n">
        <v>62</v>
      </c>
      <c r="E23" s="93" t="n">
        <v>72</v>
      </c>
      <c r="F23" s="92" t="n">
        <v>52</v>
      </c>
      <c r="G23" s="93" t="n">
        <v>52</v>
      </c>
      <c r="H23" s="93" t="n">
        <v>66</v>
      </c>
      <c r="I23" s="92" t="n">
        <v>50</v>
      </c>
      <c r="J23" s="22"/>
      <c r="K23" s="74" t="n">
        <f aca="false">(G23/25)*100</f>
        <v>208</v>
      </c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</row>
    <row r="24" customFormat="false" ht="24.75" hidden="false" customHeight="true" outlineLevel="0" collapsed="false">
      <c r="A24" s="89" t="n">
        <v>14</v>
      </c>
      <c r="B24" s="95" t="n">
        <v>511523205014</v>
      </c>
      <c r="C24" s="96" t="s">
        <v>146</v>
      </c>
      <c r="D24" s="97" t="n">
        <v>76</v>
      </c>
      <c r="E24" s="93" t="n">
        <v>86</v>
      </c>
      <c r="F24" s="92" t="n">
        <v>68</v>
      </c>
      <c r="G24" s="93" t="n">
        <v>62</v>
      </c>
      <c r="H24" s="93" t="n">
        <v>72</v>
      </c>
      <c r="I24" s="92" t="n">
        <v>58</v>
      </c>
      <c r="J24" s="22"/>
      <c r="K24" s="74" t="n">
        <f aca="false">(G24/25)*100</f>
        <v>248</v>
      </c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</row>
    <row r="25" customFormat="false" ht="24.75" hidden="false" customHeight="true" outlineLevel="0" collapsed="false">
      <c r="A25" s="89" t="n">
        <v>15</v>
      </c>
      <c r="B25" s="95" t="n">
        <v>511523205015</v>
      </c>
      <c r="C25" s="96" t="s">
        <v>147</v>
      </c>
      <c r="D25" s="97" t="n">
        <v>80</v>
      </c>
      <c r="E25" s="93" t="n">
        <v>86</v>
      </c>
      <c r="F25" s="92" t="n">
        <v>72</v>
      </c>
      <c r="G25" s="93" t="n">
        <v>74</v>
      </c>
      <c r="H25" s="93" t="n">
        <v>86</v>
      </c>
      <c r="I25" s="92" t="n">
        <v>64</v>
      </c>
      <c r="J25" s="22"/>
      <c r="K25" s="74" t="n">
        <f aca="false">(G25/25)*100</f>
        <v>296</v>
      </c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</row>
    <row r="26" customFormat="false" ht="24.75" hidden="false" customHeight="true" outlineLevel="0" collapsed="false">
      <c r="A26" s="89" t="n">
        <v>16</v>
      </c>
      <c r="B26" s="95" t="n">
        <v>511523205016</v>
      </c>
      <c r="C26" s="96" t="s">
        <v>148</v>
      </c>
      <c r="D26" s="97" t="n">
        <v>62</v>
      </c>
      <c r="E26" s="93" t="n">
        <v>78</v>
      </c>
      <c r="F26" s="92" t="n">
        <v>60</v>
      </c>
      <c r="G26" s="93" t="n">
        <v>50</v>
      </c>
      <c r="H26" s="93" t="n">
        <v>22</v>
      </c>
      <c r="I26" s="92" t="n">
        <v>42</v>
      </c>
      <c r="J26" s="22"/>
      <c r="K26" s="74" t="n">
        <f aca="false">(G26/25)*100</f>
        <v>200</v>
      </c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</row>
    <row r="27" customFormat="false" ht="24.75" hidden="false" customHeight="true" outlineLevel="0" collapsed="false">
      <c r="A27" s="89" t="n">
        <v>17</v>
      </c>
      <c r="B27" s="95" t="n">
        <v>511523205017</v>
      </c>
      <c r="C27" s="96" t="s">
        <v>149</v>
      </c>
      <c r="D27" s="97" t="n">
        <v>62</v>
      </c>
      <c r="E27" s="93" t="n">
        <v>76</v>
      </c>
      <c r="F27" s="92" t="n">
        <v>54</v>
      </c>
      <c r="G27" s="93" t="n">
        <v>56</v>
      </c>
      <c r="H27" s="93" t="n">
        <v>22</v>
      </c>
      <c r="I27" s="92" t="n">
        <v>48</v>
      </c>
      <c r="J27" s="22"/>
      <c r="K27" s="74" t="n">
        <f aca="false">(G27/25)*100</f>
        <v>224</v>
      </c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</row>
    <row r="28" customFormat="false" ht="24.75" hidden="false" customHeight="true" outlineLevel="0" collapsed="false">
      <c r="A28" s="99" t="n">
        <v>18</v>
      </c>
      <c r="B28" s="100" t="n">
        <v>511523205018</v>
      </c>
      <c r="C28" s="101" t="s">
        <v>150</v>
      </c>
      <c r="D28" s="97" t="n">
        <v>80</v>
      </c>
      <c r="E28" s="93" t="n">
        <v>78</v>
      </c>
      <c r="F28" s="92" t="n">
        <v>66</v>
      </c>
      <c r="G28" s="93" t="n">
        <v>58</v>
      </c>
      <c r="H28" s="93" t="n">
        <v>58</v>
      </c>
      <c r="I28" s="92" t="n">
        <v>50</v>
      </c>
      <c r="J28" s="35"/>
      <c r="K28" s="74" t="n">
        <f aca="false">(G28/25)*100</f>
        <v>232</v>
      </c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</row>
    <row r="29" customFormat="false" ht="24.75" hidden="false" customHeight="true" outlineLevel="0" collapsed="false">
      <c r="A29" s="89" t="n">
        <v>19</v>
      </c>
      <c r="B29" s="95" t="n">
        <v>511523205019</v>
      </c>
      <c r="C29" s="96" t="s">
        <v>151</v>
      </c>
      <c r="D29" s="97" t="n">
        <v>76</v>
      </c>
      <c r="E29" s="93" t="n">
        <v>80</v>
      </c>
      <c r="F29" s="92" t="n">
        <v>64</v>
      </c>
      <c r="G29" s="93" t="n">
        <v>58</v>
      </c>
      <c r="H29" s="93" t="n">
        <v>62</v>
      </c>
      <c r="I29" s="92" t="n">
        <v>46</v>
      </c>
      <c r="J29" s="22"/>
      <c r="K29" s="74" t="n">
        <f aca="false">(G29/25)*100</f>
        <v>232</v>
      </c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</row>
    <row r="30" customFormat="false" ht="24.75" hidden="false" customHeight="true" outlineLevel="0" collapsed="false">
      <c r="A30" s="89" t="n">
        <v>20</v>
      </c>
      <c r="B30" s="95" t="n">
        <v>511523205020</v>
      </c>
      <c r="C30" s="96" t="s">
        <v>152</v>
      </c>
      <c r="D30" s="97" t="n">
        <v>52</v>
      </c>
      <c r="E30" s="93" t="n">
        <v>80</v>
      </c>
      <c r="F30" s="92" t="n">
        <v>58</v>
      </c>
      <c r="G30" s="93" t="n">
        <v>42</v>
      </c>
      <c r="H30" s="93" t="n">
        <v>28</v>
      </c>
      <c r="I30" s="92" t="n">
        <v>30</v>
      </c>
      <c r="J30" s="22"/>
      <c r="K30" s="74" t="n">
        <f aca="false">(G30/25)*100</f>
        <v>168</v>
      </c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</row>
    <row r="31" customFormat="false" ht="24.75" hidden="false" customHeight="true" outlineLevel="0" collapsed="false">
      <c r="A31" s="89" t="n">
        <v>21</v>
      </c>
      <c r="B31" s="95" t="n">
        <v>511523205021</v>
      </c>
      <c r="C31" s="96" t="s">
        <v>153</v>
      </c>
      <c r="D31" s="97" t="n">
        <v>74</v>
      </c>
      <c r="E31" s="93" t="n">
        <v>84</v>
      </c>
      <c r="F31" s="92" t="n">
        <v>78</v>
      </c>
      <c r="G31" s="93" t="n">
        <v>56</v>
      </c>
      <c r="H31" s="93" t="n">
        <v>74</v>
      </c>
      <c r="I31" s="92" t="n">
        <v>58</v>
      </c>
      <c r="J31" s="22"/>
      <c r="K31" s="74" t="n">
        <f aca="false">(G31/25)*100</f>
        <v>224</v>
      </c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</row>
    <row r="32" customFormat="false" ht="24.75" hidden="false" customHeight="true" outlineLevel="0" collapsed="false">
      <c r="A32" s="89" t="n">
        <v>22</v>
      </c>
      <c r="B32" s="95" t="n">
        <v>511523205023</v>
      </c>
      <c r="C32" s="96" t="s">
        <v>154</v>
      </c>
      <c r="D32" s="97" t="n">
        <v>74</v>
      </c>
      <c r="E32" s="93" t="n">
        <v>86</v>
      </c>
      <c r="F32" s="92" t="n">
        <v>70</v>
      </c>
      <c r="G32" s="93" t="n">
        <v>70</v>
      </c>
      <c r="H32" s="93" t="n">
        <v>72</v>
      </c>
      <c r="I32" s="92" t="n">
        <v>52</v>
      </c>
      <c r="J32" s="22"/>
      <c r="K32" s="74" t="n">
        <f aca="false">(G32/25)*100</f>
        <v>280</v>
      </c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</row>
    <row r="33" customFormat="false" ht="24.75" hidden="false" customHeight="true" outlineLevel="0" collapsed="false">
      <c r="A33" s="89" t="n">
        <v>23</v>
      </c>
      <c r="B33" s="95" t="n">
        <v>511523205025</v>
      </c>
      <c r="C33" s="96" t="s">
        <v>155</v>
      </c>
      <c r="D33" s="97" t="n">
        <v>66</v>
      </c>
      <c r="E33" s="93" t="n">
        <v>84</v>
      </c>
      <c r="F33" s="92" t="n">
        <v>60</v>
      </c>
      <c r="G33" s="93" t="n">
        <v>50</v>
      </c>
      <c r="H33" s="93" t="s">
        <v>21</v>
      </c>
      <c r="I33" s="92" t="n">
        <v>50</v>
      </c>
      <c r="J33" s="22"/>
      <c r="K33" s="74" t="n">
        <f aca="false">(G33/25)*100</f>
        <v>200</v>
      </c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</row>
    <row r="34" customFormat="false" ht="24.75" hidden="false" customHeight="true" outlineLevel="0" collapsed="false">
      <c r="A34" s="89" t="n">
        <v>24</v>
      </c>
      <c r="B34" s="95" t="n">
        <v>511523205026</v>
      </c>
      <c r="C34" s="96" t="s">
        <v>156</v>
      </c>
      <c r="D34" s="97" t="n">
        <v>72</v>
      </c>
      <c r="E34" s="93" t="n">
        <v>84</v>
      </c>
      <c r="F34" s="92" t="n">
        <v>50</v>
      </c>
      <c r="G34" s="93" t="n">
        <v>60</v>
      </c>
      <c r="H34" s="93" t="n">
        <v>50</v>
      </c>
      <c r="I34" s="92" t="n">
        <v>38</v>
      </c>
      <c r="J34" s="22"/>
      <c r="K34" s="74" t="n">
        <f aca="false">(G34/25)*100</f>
        <v>240</v>
      </c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</row>
    <row r="35" customFormat="false" ht="24.75" hidden="false" customHeight="true" outlineLevel="0" collapsed="false">
      <c r="A35" s="89" t="n">
        <v>25</v>
      </c>
      <c r="B35" s="95" t="n">
        <v>511523205027</v>
      </c>
      <c r="C35" s="96" t="s">
        <v>157</v>
      </c>
      <c r="D35" s="92" t="n">
        <v>32</v>
      </c>
      <c r="E35" s="93" t="n">
        <v>52</v>
      </c>
      <c r="F35" s="92" t="s">
        <v>28</v>
      </c>
      <c r="G35" s="93" t="n">
        <v>40</v>
      </c>
      <c r="H35" s="93" t="n">
        <v>10</v>
      </c>
      <c r="I35" s="92" t="n">
        <v>22</v>
      </c>
      <c r="J35" s="22"/>
      <c r="K35" s="74" t="n">
        <f aca="false">(G35/25)*100</f>
        <v>160</v>
      </c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</row>
    <row r="36" customFormat="false" ht="24.75" hidden="false" customHeight="true" outlineLevel="0" collapsed="false">
      <c r="A36" s="89" t="n">
        <v>26</v>
      </c>
      <c r="B36" s="95" t="n">
        <v>511523205028</v>
      </c>
      <c r="C36" s="96" t="s">
        <v>158</v>
      </c>
      <c r="D36" s="97" t="n">
        <v>76</v>
      </c>
      <c r="E36" s="93" t="n">
        <v>86</v>
      </c>
      <c r="F36" s="93" t="n">
        <v>66</v>
      </c>
      <c r="G36" s="93" t="n">
        <v>66</v>
      </c>
      <c r="H36" s="93" t="n">
        <v>66</v>
      </c>
      <c r="I36" s="92" t="n">
        <v>58</v>
      </c>
      <c r="J36" s="22"/>
      <c r="K36" s="74" t="n">
        <f aca="false">(G36/25)*100</f>
        <v>264</v>
      </c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</row>
    <row r="37" customFormat="false" ht="24.75" hidden="false" customHeight="true" outlineLevel="0" collapsed="false">
      <c r="A37" s="89" t="n">
        <v>27</v>
      </c>
      <c r="B37" s="95" t="n">
        <v>511523205029</v>
      </c>
      <c r="C37" s="96" t="s">
        <v>159</v>
      </c>
      <c r="D37" s="97" t="n">
        <v>68</v>
      </c>
      <c r="E37" s="93" t="n">
        <v>84</v>
      </c>
      <c r="F37" s="92" t="n">
        <v>70</v>
      </c>
      <c r="G37" s="93" t="n">
        <v>62</v>
      </c>
      <c r="H37" s="93" t="n">
        <v>50</v>
      </c>
      <c r="I37" s="92" t="n">
        <v>56</v>
      </c>
      <c r="J37" s="22"/>
      <c r="K37" s="74" t="n">
        <f aca="false">(G37/25)*100</f>
        <v>248</v>
      </c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</row>
    <row r="38" customFormat="false" ht="24.75" hidden="false" customHeight="true" outlineLevel="0" collapsed="false">
      <c r="A38" s="89" t="n">
        <v>28</v>
      </c>
      <c r="B38" s="95" t="n">
        <v>511523205030</v>
      </c>
      <c r="C38" s="96" t="s">
        <v>160</v>
      </c>
      <c r="D38" s="97" t="n">
        <v>72</v>
      </c>
      <c r="E38" s="93" t="n">
        <v>82</v>
      </c>
      <c r="F38" s="92" t="n">
        <v>64</v>
      </c>
      <c r="G38" s="93" t="n">
        <v>62</v>
      </c>
      <c r="H38" s="93" t="n">
        <v>80</v>
      </c>
      <c r="I38" s="92" t="n">
        <v>56</v>
      </c>
      <c r="J38" s="22"/>
      <c r="K38" s="74" t="n">
        <f aca="false">(G38/25)*100</f>
        <v>248</v>
      </c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</row>
    <row r="39" customFormat="false" ht="24.75" hidden="false" customHeight="true" outlineLevel="0" collapsed="false">
      <c r="A39" s="89" t="n">
        <v>29</v>
      </c>
      <c r="B39" s="95" t="n">
        <v>511523205031</v>
      </c>
      <c r="C39" s="96" t="s">
        <v>161</v>
      </c>
      <c r="D39" s="97" t="n">
        <v>54</v>
      </c>
      <c r="E39" s="93" t="n">
        <v>60</v>
      </c>
      <c r="F39" s="92" t="n">
        <v>40</v>
      </c>
      <c r="G39" s="93" t="n">
        <v>36</v>
      </c>
      <c r="H39" s="93" t="n">
        <v>40</v>
      </c>
      <c r="I39" s="92" t="n">
        <v>36</v>
      </c>
      <c r="J39" s="22"/>
      <c r="K39" s="74" t="n">
        <f aca="false">(G39/25)*100</f>
        <v>144</v>
      </c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</row>
    <row r="40" customFormat="false" ht="24.75" hidden="false" customHeight="true" outlineLevel="0" collapsed="false">
      <c r="A40" s="89" t="n">
        <v>30</v>
      </c>
      <c r="B40" s="95" t="n">
        <v>511523205032</v>
      </c>
      <c r="C40" s="96" t="s">
        <v>162</v>
      </c>
      <c r="D40" s="97" t="n">
        <v>68</v>
      </c>
      <c r="E40" s="93" t="n">
        <v>86</v>
      </c>
      <c r="F40" s="92" t="n">
        <v>56</v>
      </c>
      <c r="G40" s="93" t="n">
        <v>62</v>
      </c>
      <c r="H40" s="93" t="n">
        <v>66</v>
      </c>
      <c r="I40" s="92" t="n">
        <v>54</v>
      </c>
      <c r="J40" s="22"/>
      <c r="K40" s="74" t="n">
        <f aca="false">(G40/25)*100</f>
        <v>248</v>
      </c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</row>
    <row r="41" customFormat="false" ht="24.75" hidden="false" customHeight="true" outlineLevel="0" collapsed="false">
      <c r="A41" s="89" t="n">
        <v>31</v>
      </c>
      <c r="B41" s="95" t="n">
        <v>511523205033</v>
      </c>
      <c r="C41" s="96" t="s">
        <v>163</v>
      </c>
      <c r="D41" s="97" t="n">
        <v>72</v>
      </c>
      <c r="E41" s="93" t="n">
        <v>86</v>
      </c>
      <c r="F41" s="92" t="n">
        <v>72</v>
      </c>
      <c r="G41" s="93" t="n">
        <v>68</v>
      </c>
      <c r="H41" s="93" t="n">
        <v>60</v>
      </c>
      <c r="I41" s="92" t="n">
        <v>50</v>
      </c>
      <c r="J41" s="22"/>
      <c r="K41" s="74" t="n">
        <f aca="false">(G41/25)*100</f>
        <v>272</v>
      </c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</row>
    <row r="42" customFormat="false" ht="24.75" hidden="false" customHeight="true" outlineLevel="0" collapsed="false">
      <c r="A42" s="89" t="n">
        <v>32</v>
      </c>
      <c r="B42" s="95" t="n">
        <v>511523205034</v>
      </c>
      <c r="C42" s="96" t="s">
        <v>164</v>
      </c>
      <c r="D42" s="97" t="n">
        <v>78</v>
      </c>
      <c r="E42" s="93" t="n">
        <v>86</v>
      </c>
      <c r="F42" s="92" t="n">
        <v>74</v>
      </c>
      <c r="G42" s="93" t="n">
        <v>68</v>
      </c>
      <c r="H42" s="93" t="n">
        <v>66</v>
      </c>
      <c r="I42" s="92" t="n">
        <v>56</v>
      </c>
      <c r="J42" s="22"/>
      <c r="K42" s="74" t="n">
        <f aca="false">(G42/25)*100</f>
        <v>272</v>
      </c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customFormat="false" ht="24.75" hidden="false" customHeight="true" outlineLevel="0" collapsed="false">
      <c r="A43" s="89" t="n">
        <v>33</v>
      </c>
      <c r="B43" s="95" t="n">
        <v>511523205035</v>
      </c>
      <c r="C43" s="96" t="s">
        <v>165</v>
      </c>
      <c r="D43" s="92" t="s">
        <v>28</v>
      </c>
      <c r="E43" s="93" t="n">
        <v>76</v>
      </c>
      <c r="F43" s="92" t="n">
        <v>32</v>
      </c>
      <c r="G43" s="93" t="n">
        <v>36</v>
      </c>
      <c r="H43" s="93" t="n">
        <v>50</v>
      </c>
      <c r="I43" s="92" t="n">
        <v>30</v>
      </c>
      <c r="J43" s="22"/>
      <c r="K43" s="74" t="n">
        <f aca="false">(G43/25)*100</f>
        <v>144</v>
      </c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</row>
    <row r="44" customFormat="false" ht="24.75" hidden="false" customHeight="true" outlineLevel="0" collapsed="false">
      <c r="A44" s="89" t="n">
        <v>34</v>
      </c>
      <c r="B44" s="95" t="n">
        <v>511523205036</v>
      </c>
      <c r="C44" s="96" t="s">
        <v>166</v>
      </c>
      <c r="D44" s="97" t="n">
        <v>50</v>
      </c>
      <c r="E44" s="93" t="n">
        <v>66</v>
      </c>
      <c r="F44" s="92" t="n">
        <v>50</v>
      </c>
      <c r="G44" s="93" t="n">
        <v>38</v>
      </c>
      <c r="H44" s="93" t="n">
        <v>24</v>
      </c>
      <c r="I44" s="92" t="s">
        <v>28</v>
      </c>
      <c r="J44" s="22"/>
      <c r="K44" s="74" t="n">
        <f aca="false">(G44/25)*100</f>
        <v>152</v>
      </c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</row>
    <row r="45" customFormat="false" ht="24.75" hidden="false" customHeight="true" outlineLevel="0" collapsed="false">
      <c r="A45" s="89" t="n">
        <v>35</v>
      </c>
      <c r="B45" s="95" t="n">
        <v>511523205037</v>
      </c>
      <c r="C45" s="96" t="s">
        <v>167</v>
      </c>
      <c r="D45" s="97" t="n">
        <v>60</v>
      </c>
      <c r="E45" s="93" t="n">
        <v>76</v>
      </c>
      <c r="F45" s="92" t="n">
        <v>58</v>
      </c>
      <c r="G45" s="93" t="n">
        <v>58</v>
      </c>
      <c r="H45" s="93" t="n">
        <v>52</v>
      </c>
      <c r="I45" s="92" t="n">
        <v>50</v>
      </c>
      <c r="J45" s="22"/>
      <c r="K45" s="74" t="n">
        <f aca="false">(G45/25)*100</f>
        <v>232</v>
      </c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</row>
    <row r="46" customFormat="false" ht="24.75" hidden="false" customHeight="true" outlineLevel="0" collapsed="false">
      <c r="A46" s="89" t="n">
        <v>36</v>
      </c>
      <c r="B46" s="95" t="n">
        <v>511523205038</v>
      </c>
      <c r="C46" s="96" t="s">
        <v>168</v>
      </c>
      <c r="D46" s="97" t="n">
        <v>80</v>
      </c>
      <c r="E46" s="93" t="n">
        <v>88</v>
      </c>
      <c r="F46" s="92" t="n">
        <v>74</v>
      </c>
      <c r="G46" s="93" t="n">
        <v>92</v>
      </c>
      <c r="H46" s="93" t="n">
        <v>78</v>
      </c>
      <c r="I46" s="92" t="n">
        <v>64</v>
      </c>
      <c r="J46" s="22"/>
      <c r="K46" s="74" t="n">
        <f aca="false">(G46/25)*100</f>
        <v>368</v>
      </c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</row>
    <row r="47" customFormat="false" ht="24.75" hidden="false" customHeight="true" outlineLevel="0" collapsed="false">
      <c r="A47" s="89" t="n">
        <v>37</v>
      </c>
      <c r="B47" s="95" t="n">
        <v>511523205039</v>
      </c>
      <c r="C47" s="96" t="s">
        <v>169</v>
      </c>
      <c r="D47" s="97" t="n">
        <v>80</v>
      </c>
      <c r="E47" s="93" t="n">
        <v>88</v>
      </c>
      <c r="F47" s="92" t="n">
        <v>70</v>
      </c>
      <c r="G47" s="93" t="n">
        <v>66</v>
      </c>
      <c r="H47" s="93" t="n">
        <v>56</v>
      </c>
      <c r="I47" s="92" t="n">
        <v>58</v>
      </c>
      <c r="J47" s="22"/>
      <c r="K47" s="74" t="n">
        <f aca="false">(G47/25)*100</f>
        <v>264</v>
      </c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</row>
    <row r="48" customFormat="false" ht="24.75" hidden="false" customHeight="true" outlineLevel="0" collapsed="false">
      <c r="A48" s="89" t="n">
        <v>38</v>
      </c>
      <c r="B48" s="95" t="n">
        <v>511523205040</v>
      </c>
      <c r="C48" s="96" t="s">
        <v>170</v>
      </c>
      <c r="D48" s="97" t="n">
        <v>68</v>
      </c>
      <c r="E48" s="93" t="n">
        <v>80</v>
      </c>
      <c r="F48" s="92" t="n">
        <v>52</v>
      </c>
      <c r="G48" s="93" t="n">
        <v>34</v>
      </c>
      <c r="H48" s="93" t="n">
        <v>52</v>
      </c>
      <c r="I48" s="92" t="n">
        <v>50</v>
      </c>
      <c r="J48" s="22"/>
      <c r="K48" s="74" t="n">
        <f aca="false">(G48/25)*100</f>
        <v>136</v>
      </c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</row>
    <row r="49" customFormat="false" ht="24.75" hidden="false" customHeight="true" outlineLevel="0" collapsed="false">
      <c r="A49" s="89" t="n">
        <v>39</v>
      </c>
      <c r="B49" s="95" t="n">
        <v>511523205041</v>
      </c>
      <c r="C49" s="96" t="s">
        <v>171</v>
      </c>
      <c r="D49" s="97" t="n">
        <v>68</v>
      </c>
      <c r="E49" s="93" t="n">
        <v>82</v>
      </c>
      <c r="F49" s="92" t="n">
        <v>62</v>
      </c>
      <c r="G49" s="93" t="n">
        <v>60</v>
      </c>
      <c r="H49" s="93" t="n">
        <v>62</v>
      </c>
      <c r="I49" s="92" t="n">
        <v>50</v>
      </c>
      <c r="J49" s="22"/>
      <c r="K49" s="74" t="n">
        <f aca="false">(G49/25)*100</f>
        <v>240</v>
      </c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</row>
    <row r="50" customFormat="false" ht="24.75" hidden="false" customHeight="true" outlineLevel="0" collapsed="false">
      <c r="A50" s="89" t="n">
        <v>40</v>
      </c>
      <c r="B50" s="95" t="n">
        <v>511523205042</v>
      </c>
      <c r="C50" s="96" t="s">
        <v>172</v>
      </c>
      <c r="D50" s="97" t="n">
        <v>86</v>
      </c>
      <c r="E50" s="93" t="n">
        <v>86</v>
      </c>
      <c r="F50" s="92" t="n">
        <v>66</v>
      </c>
      <c r="G50" s="93" t="n">
        <v>72</v>
      </c>
      <c r="H50" s="93" t="n">
        <v>64</v>
      </c>
      <c r="I50" s="92" t="n">
        <v>46</v>
      </c>
      <c r="J50" s="22"/>
      <c r="K50" s="74" t="n">
        <f aca="false">(G50/25)*100</f>
        <v>288</v>
      </c>
      <c r="L50" s="102"/>
      <c r="M50" s="102"/>
      <c r="N50" s="102"/>
      <c r="O50" s="102"/>
      <c r="P50" s="102"/>
      <c r="Q50" s="102"/>
      <c r="R50" s="74"/>
      <c r="S50" s="74"/>
      <c r="T50" s="74"/>
      <c r="U50" s="74"/>
      <c r="V50" s="74"/>
      <c r="W50" s="74"/>
      <c r="X50" s="74"/>
    </row>
    <row r="51" customFormat="false" ht="24.75" hidden="false" customHeight="true" outlineLevel="0" collapsed="false">
      <c r="A51" s="89" t="n">
        <v>41</v>
      </c>
      <c r="B51" s="95" t="n">
        <v>511523205043</v>
      </c>
      <c r="C51" s="96" t="s">
        <v>173</v>
      </c>
      <c r="D51" s="92" t="n">
        <v>80</v>
      </c>
      <c r="E51" s="93" t="n">
        <v>80</v>
      </c>
      <c r="F51" s="92" t="n">
        <v>70</v>
      </c>
      <c r="G51" s="93" t="n">
        <v>70</v>
      </c>
      <c r="H51" s="93" t="n">
        <v>82</v>
      </c>
      <c r="I51" s="92" t="n">
        <v>42</v>
      </c>
      <c r="J51" s="22"/>
      <c r="K51" s="74" t="n">
        <f aca="false">(G51/25)*100</f>
        <v>280</v>
      </c>
      <c r="L51" s="103"/>
      <c r="M51" s="103"/>
      <c r="N51" s="103"/>
      <c r="O51" s="103"/>
      <c r="P51" s="103"/>
      <c r="Q51" s="103"/>
      <c r="R51" s="74"/>
      <c r="S51" s="74"/>
      <c r="T51" s="74"/>
      <c r="U51" s="74"/>
      <c r="V51" s="74"/>
      <c r="W51" s="74"/>
      <c r="X51" s="74"/>
    </row>
    <row r="52" customFormat="false" ht="24.75" hidden="false" customHeight="true" outlineLevel="0" collapsed="false">
      <c r="A52" s="89" t="n">
        <v>42</v>
      </c>
      <c r="B52" s="95" t="n">
        <v>511523205044</v>
      </c>
      <c r="C52" s="96" t="s">
        <v>174</v>
      </c>
      <c r="D52" s="97" t="n">
        <v>16</v>
      </c>
      <c r="E52" s="93" t="n">
        <v>74</v>
      </c>
      <c r="F52" s="92" t="n">
        <v>16</v>
      </c>
      <c r="G52" s="93" t="n">
        <v>6</v>
      </c>
      <c r="H52" s="93" t="n">
        <v>6</v>
      </c>
      <c r="I52" s="92" t="n">
        <v>8</v>
      </c>
      <c r="J52" s="22"/>
      <c r="K52" s="74" t="n">
        <f aca="false">(G52/25)*100</f>
        <v>24</v>
      </c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</row>
    <row r="53" customFormat="false" ht="24.75" hidden="false" customHeight="true" outlineLevel="0" collapsed="false">
      <c r="A53" s="89" t="n">
        <v>43</v>
      </c>
      <c r="B53" s="95" t="n">
        <v>511523205045</v>
      </c>
      <c r="C53" s="96" t="s">
        <v>175</v>
      </c>
      <c r="D53" s="97" t="n">
        <v>70</v>
      </c>
      <c r="E53" s="93" t="n">
        <v>82</v>
      </c>
      <c r="F53" s="92" t="n">
        <v>50</v>
      </c>
      <c r="G53" s="93" t="n">
        <v>64</v>
      </c>
      <c r="H53" s="93" t="s">
        <v>21</v>
      </c>
      <c r="I53" s="92" t="n">
        <v>50</v>
      </c>
      <c r="J53" s="22"/>
      <c r="K53" s="74" t="n">
        <f aca="false">(G53/25)*100</f>
        <v>256</v>
      </c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</row>
    <row r="54" customFormat="false" ht="24.75" hidden="false" customHeight="true" outlineLevel="0" collapsed="false">
      <c r="A54" s="89" t="n">
        <v>44</v>
      </c>
      <c r="B54" s="95" t="n">
        <v>511523205046</v>
      </c>
      <c r="C54" s="96" t="s">
        <v>176</v>
      </c>
      <c r="D54" s="97" t="n">
        <v>74</v>
      </c>
      <c r="E54" s="93" t="n">
        <v>86</v>
      </c>
      <c r="F54" s="92" t="n">
        <v>64</v>
      </c>
      <c r="G54" s="93" t="n">
        <v>56</v>
      </c>
      <c r="H54" s="93" t="n">
        <v>64</v>
      </c>
      <c r="I54" s="92" t="n">
        <v>50</v>
      </c>
      <c r="J54" s="22"/>
      <c r="K54" s="74" t="n">
        <f aca="false">(G54/25)*100</f>
        <v>224</v>
      </c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</row>
    <row r="55" customFormat="false" ht="24.75" hidden="false" customHeight="true" outlineLevel="0" collapsed="false">
      <c r="A55" s="89" t="n">
        <v>45</v>
      </c>
      <c r="B55" s="95" t="n">
        <v>511523205047</v>
      </c>
      <c r="C55" s="96" t="s">
        <v>177</v>
      </c>
      <c r="D55" s="97" t="n">
        <v>76</v>
      </c>
      <c r="E55" s="93" t="n">
        <v>76</v>
      </c>
      <c r="F55" s="92" t="n">
        <v>48</v>
      </c>
      <c r="G55" s="93" t="n">
        <v>52</v>
      </c>
      <c r="H55" s="93" t="n">
        <v>50</v>
      </c>
      <c r="I55" s="92" t="n">
        <v>50</v>
      </c>
      <c r="J55" s="22"/>
      <c r="K55" s="74" t="e">
        <f aca="false">(#ref!/25)*100</f>
        <v>#NAME?</v>
      </c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</row>
    <row r="56" customFormat="false" ht="24.75" hidden="false" customHeight="true" outlineLevel="0" collapsed="false">
      <c r="A56" s="89" t="n">
        <v>46</v>
      </c>
      <c r="B56" s="95" t="n">
        <v>511523205048</v>
      </c>
      <c r="C56" s="96" t="s">
        <v>178</v>
      </c>
      <c r="D56" s="97" t="n">
        <v>38</v>
      </c>
      <c r="E56" s="93" t="n">
        <v>38</v>
      </c>
      <c r="F56" s="92" t="n">
        <v>78</v>
      </c>
      <c r="G56" s="93" t="n">
        <v>12</v>
      </c>
      <c r="H56" s="93" t="s">
        <v>28</v>
      </c>
      <c r="I56" s="92" t="s">
        <v>28</v>
      </c>
      <c r="J56" s="22"/>
      <c r="K56" s="74" t="n">
        <f aca="false">(G56/25)*100</f>
        <v>48</v>
      </c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</row>
    <row r="57" customFormat="false" ht="24.75" hidden="false" customHeight="true" outlineLevel="0" collapsed="false">
      <c r="A57" s="89" t="n">
        <v>47</v>
      </c>
      <c r="B57" s="95" t="n">
        <v>511523205049</v>
      </c>
      <c r="C57" s="96" t="s">
        <v>179</v>
      </c>
      <c r="D57" s="97" t="n">
        <v>64</v>
      </c>
      <c r="E57" s="93" t="n">
        <v>76</v>
      </c>
      <c r="F57" s="92" t="s">
        <v>28</v>
      </c>
      <c r="G57" s="93" t="n">
        <v>36</v>
      </c>
      <c r="H57" s="93" t="n">
        <v>50</v>
      </c>
      <c r="I57" s="92" t="s">
        <v>28</v>
      </c>
      <c r="J57" s="22"/>
      <c r="K57" s="74" t="n">
        <f aca="false">(G57/25)*100</f>
        <v>144</v>
      </c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</row>
    <row r="58" customFormat="false" ht="24.75" hidden="false" customHeight="true" outlineLevel="0" collapsed="false">
      <c r="A58" s="89" t="n">
        <v>48</v>
      </c>
      <c r="B58" s="95" t="n">
        <v>511523205050</v>
      </c>
      <c r="C58" s="96" t="s">
        <v>180</v>
      </c>
      <c r="D58" s="97" t="n">
        <v>82</v>
      </c>
      <c r="E58" s="93" t="n">
        <v>80</v>
      </c>
      <c r="F58" s="92" t="n">
        <v>64</v>
      </c>
      <c r="G58" s="93" t="n">
        <v>58</v>
      </c>
      <c r="H58" s="93" t="n">
        <v>52</v>
      </c>
      <c r="I58" s="92" t="n">
        <v>50</v>
      </c>
      <c r="J58" s="22"/>
      <c r="K58" s="74" t="n">
        <f aca="false">(G58/25)*100</f>
        <v>232</v>
      </c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</row>
    <row r="59" customFormat="false" ht="24.75" hidden="false" customHeight="true" outlineLevel="0" collapsed="false">
      <c r="A59" s="89" t="n">
        <v>49</v>
      </c>
      <c r="B59" s="95" t="n">
        <v>511523205051</v>
      </c>
      <c r="C59" s="96" t="s">
        <v>181</v>
      </c>
      <c r="D59" s="97" t="n">
        <v>2</v>
      </c>
      <c r="E59" s="93" t="n">
        <v>12</v>
      </c>
      <c r="F59" s="92" t="s">
        <v>28</v>
      </c>
      <c r="G59" s="93" t="n">
        <v>0</v>
      </c>
      <c r="H59" s="93" t="n">
        <v>0</v>
      </c>
      <c r="I59" s="92" t="s">
        <v>28</v>
      </c>
      <c r="J59" s="22"/>
      <c r="K59" s="74" t="n">
        <f aca="false">(G59/25)*100</f>
        <v>0</v>
      </c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</row>
    <row r="60" customFormat="false" ht="24.75" hidden="false" customHeight="true" outlineLevel="0" collapsed="false">
      <c r="A60" s="89" t="n">
        <v>50</v>
      </c>
      <c r="B60" s="95" t="n">
        <v>511523205052</v>
      </c>
      <c r="C60" s="96" t="s">
        <v>182</v>
      </c>
      <c r="D60" s="97" t="n">
        <v>26</v>
      </c>
      <c r="E60" s="93" t="n">
        <v>44</v>
      </c>
      <c r="F60" s="92" t="n">
        <v>8</v>
      </c>
      <c r="G60" s="93" t="n">
        <v>14</v>
      </c>
      <c r="H60" s="93" t="n">
        <v>10</v>
      </c>
      <c r="I60" s="92" t="n">
        <v>20</v>
      </c>
      <c r="J60" s="22"/>
      <c r="K60" s="74" t="n">
        <f aca="false">(G60/25)*100</f>
        <v>56</v>
      </c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</row>
    <row r="61" customFormat="false" ht="24.75" hidden="false" customHeight="true" outlineLevel="0" collapsed="false">
      <c r="A61" s="89" t="n">
        <v>51</v>
      </c>
      <c r="B61" s="95" t="n">
        <v>511523205053</v>
      </c>
      <c r="C61" s="96" t="s">
        <v>183</v>
      </c>
      <c r="D61" s="97" t="n">
        <v>40</v>
      </c>
      <c r="E61" s="93" t="n">
        <v>80</v>
      </c>
      <c r="F61" s="92" t="n">
        <v>24</v>
      </c>
      <c r="G61" s="93" t="n">
        <v>14</v>
      </c>
      <c r="H61" s="93" t="n">
        <v>0</v>
      </c>
      <c r="I61" s="92" t="n">
        <v>14</v>
      </c>
      <c r="J61" s="22"/>
      <c r="K61" s="74" t="n">
        <f aca="false">(G61/25)*100</f>
        <v>56</v>
      </c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</row>
    <row r="62" customFormat="false" ht="24.75" hidden="false" customHeight="true" outlineLevel="0" collapsed="false">
      <c r="A62" s="89" t="n">
        <v>52</v>
      </c>
      <c r="B62" s="95" t="n">
        <v>511523205054</v>
      </c>
      <c r="C62" s="96" t="s">
        <v>184</v>
      </c>
      <c r="D62" s="92" t="s">
        <v>28</v>
      </c>
      <c r="E62" s="93" t="n">
        <v>80</v>
      </c>
      <c r="F62" s="92" t="n">
        <v>34</v>
      </c>
      <c r="G62" s="93" t="n">
        <v>52</v>
      </c>
      <c r="H62" s="93" t="n">
        <v>56</v>
      </c>
      <c r="I62" s="92" t="s">
        <v>28</v>
      </c>
      <c r="J62" s="22"/>
      <c r="K62" s="74" t="n">
        <f aca="false">(G62/25)*100</f>
        <v>208</v>
      </c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</row>
    <row r="63" customFormat="false" ht="24.75" hidden="false" customHeight="true" outlineLevel="0" collapsed="false">
      <c r="A63" s="89" t="n">
        <v>53</v>
      </c>
      <c r="B63" s="95" t="n">
        <v>511523205055</v>
      </c>
      <c r="C63" s="96" t="s">
        <v>185</v>
      </c>
      <c r="D63" s="92" t="n">
        <v>84</v>
      </c>
      <c r="E63" s="93" t="n">
        <v>86</v>
      </c>
      <c r="F63" s="92" t="n">
        <v>74</v>
      </c>
      <c r="G63" s="93" t="n">
        <v>74</v>
      </c>
      <c r="H63" s="93" t="n">
        <v>78</v>
      </c>
      <c r="I63" s="92" t="n">
        <v>60</v>
      </c>
      <c r="J63" s="22"/>
      <c r="K63" s="74" t="n">
        <f aca="false">(G63/25)*100</f>
        <v>296</v>
      </c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</row>
    <row r="64" customFormat="false" ht="24.75" hidden="false" customHeight="true" outlineLevel="0" collapsed="false">
      <c r="A64" s="89" t="n">
        <v>54</v>
      </c>
      <c r="B64" s="95" t="n">
        <v>511523205056</v>
      </c>
      <c r="C64" s="96" t="s">
        <v>186</v>
      </c>
      <c r="D64" s="97" t="n">
        <v>58</v>
      </c>
      <c r="E64" s="93" t="n">
        <v>74</v>
      </c>
      <c r="F64" s="92" t="n">
        <v>40</v>
      </c>
      <c r="G64" s="93" t="n">
        <v>54</v>
      </c>
      <c r="H64" s="93" t="n">
        <v>30</v>
      </c>
      <c r="I64" s="92" t="n">
        <v>42</v>
      </c>
      <c r="J64" s="22"/>
      <c r="K64" s="74" t="n">
        <f aca="false">(G64/25)*100</f>
        <v>216</v>
      </c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</row>
    <row r="65" customFormat="false" ht="24.75" hidden="false" customHeight="true" outlineLevel="0" collapsed="false">
      <c r="A65" s="89" t="n">
        <v>55</v>
      </c>
      <c r="B65" s="95" t="n">
        <v>511523205057</v>
      </c>
      <c r="C65" s="96" t="s">
        <v>187</v>
      </c>
      <c r="D65" s="97" t="n">
        <v>68</v>
      </c>
      <c r="E65" s="93" t="n">
        <v>80</v>
      </c>
      <c r="F65" s="92" t="n">
        <v>60</v>
      </c>
      <c r="G65" s="93" t="n">
        <v>50</v>
      </c>
      <c r="H65" s="93" t="n">
        <v>54</v>
      </c>
      <c r="I65" s="92" t="n">
        <v>42</v>
      </c>
      <c r="J65" s="22"/>
      <c r="K65" s="74" t="n">
        <f aca="false">(G65/25)*100</f>
        <v>200</v>
      </c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</row>
    <row r="66" customFormat="false" ht="24.75" hidden="false" customHeight="true" outlineLevel="0" collapsed="false">
      <c r="A66" s="89" t="n">
        <v>56</v>
      </c>
      <c r="B66" s="95" t="n">
        <v>511523205058</v>
      </c>
      <c r="C66" s="96" t="s">
        <v>188</v>
      </c>
      <c r="D66" s="97" t="n">
        <v>68</v>
      </c>
      <c r="E66" s="93" t="n">
        <v>80</v>
      </c>
      <c r="F66" s="92" t="n">
        <v>24</v>
      </c>
      <c r="G66" s="93" t="n">
        <v>30</v>
      </c>
      <c r="H66" s="93" t="n">
        <v>50</v>
      </c>
      <c r="I66" s="92" t="n">
        <v>46</v>
      </c>
      <c r="J66" s="22"/>
      <c r="K66" s="74" t="n">
        <f aca="false">(G66/25)*100</f>
        <v>120</v>
      </c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</row>
    <row r="67" customFormat="false" ht="24.75" hidden="false" customHeight="true" outlineLevel="0" collapsed="false">
      <c r="A67" s="89" t="n">
        <v>57</v>
      </c>
      <c r="B67" s="95" t="n">
        <v>511523205059</v>
      </c>
      <c r="C67" s="96" t="s">
        <v>189</v>
      </c>
      <c r="D67" s="97" t="n">
        <v>58</v>
      </c>
      <c r="E67" s="93" t="n">
        <v>80</v>
      </c>
      <c r="F67" s="92" t="n">
        <v>36</v>
      </c>
      <c r="G67" s="93" t="n">
        <v>36</v>
      </c>
      <c r="H67" s="93" t="n">
        <v>60</v>
      </c>
      <c r="I67" s="92" t="n">
        <v>52</v>
      </c>
      <c r="J67" s="22"/>
      <c r="K67" s="74" t="n">
        <f aca="false">(G67/25)*100</f>
        <v>144</v>
      </c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</row>
    <row r="68" customFormat="false" ht="24.75" hidden="false" customHeight="true" outlineLevel="0" collapsed="false">
      <c r="A68" s="89" t="n">
        <v>58</v>
      </c>
      <c r="B68" s="95" t="n">
        <v>511523205060</v>
      </c>
      <c r="C68" s="96" t="s">
        <v>190</v>
      </c>
      <c r="D68" s="97" t="n">
        <v>50</v>
      </c>
      <c r="E68" s="93" t="n">
        <v>82</v>
      </c>
      <c r="F68" s="92" t="n">
        <v>28</v>
      </c>
      <c r="G68" s="93" t="n">
        <v>32</v>
      </c>
      <c r="H68" s="93" t="n">
        <v>30</v>
      </c>
      <c r="I68" s="92" t="n">
        <v>40</v>
      </c>
      <c r="J68" s="22"/>
      <c r="K68" s="74" t="n">
        <f aca="false">(G68/25)*100</f>
        <v>128</v>
      </c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</row>
    <row r="69" customFormat="false" ht="24.75" hidden="false" customHeight="true" outlineLevel="0" collapsed="false">
      <c r="A69" s="89" t="n">
        <v>59</v>
      </c>
      <c r="B69" s="95" t="n">
        <v>511523205061</v>
      </c>
      <c r="C69" s="96" t="s">
        <v>191</v>
      </c>
      <c r="D69" s="97" t="n">
        <v>68</v>
      </c>
      <c r="E69" s="93" t="n">
        <v>84</v>
      </c>
      <c r="F69" s="92" t="n">
        <v>62</v>
      </c>
      <c r="G69" s="93" t="n">
        <v>74</v>
      </c>
      <c r="H69" s="93" t="n">
        <v>68</v>
      </c>
      <c r="I69" s="92" t="n">
        <v>46</v>
      </c>
      <c r="J69" s="22"/>
      <c r="K69" s="74" t="n">
        <f aca="false">(G69/25)*100</f>
        <v>296</v>
      </c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</row>
    <row r="70" customFormat="false" ht="24.75" hidden="false" customHeight="true" outlineLevel="0" collapsed="false">
      <c r="A70" s="89" t="n">
        <v>60</v>
      </c>
      <c r="B70" s="95" t="n">
        <v>511523205062</v>
      </c>
      <c r="C70" s="96" t="s">
        <v>192</v>
      </c>
      <c r="D70" s="97" t="s">
        <v>28</v>
      </c>
      <c r="E70" s="93" t="s">
        <v>28</v>
      </c>
      <c r="F70" s="92" t="s">
        <v>28</v>
      </c>
      <c r="G70" s="92" t="s">
        <v>28</v>
      </c>
      <c r="H70" s="93" t="s">
        <v>21</v>
      </c>
      <c r="I70" s="92" t="n">
        <v>2</v>
      </c>
      <c r="J70" s="22"/>
      <c r="K70" s="74" t="e">
        <f aca="false">(G70/25)*100</f>
        <v>#VALUE!</v>
      </c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</row>
    <row r="71" customFormat="false" ht="24.75" hidden="false" customHeight="true" outlineLevel="0" collapsed="false">
      <c r="A71" s="104" t="n">
        <v>61</v>
      </c>
      <c r="B71" s="95" t="n">
        <v>511523205063</v>
      </c>
      <c r="C71" s="96" t="s">
        <v>193</v>
      </c>
      <c r="D71" s="97" t="n">
        <v>62</v>
      </c>
      <c r="E71" s="93" t="n">
        <v>78</v>
      </c>
      <c r="F71" s="92" t="n">
        <v>46</v>
      </c>
      <c r="G71" s="93" t="n">
        <v>16</v>
      </c>
      <c r="H71" s="105" t="n">
        <v>32</v>
      </c>
      <c r="I71" s="92" t="n">
        <v>30</v>
      </c>
      <c r="J71" s="22"/>
      <c r="K71" s="74" t="n">
        <f aca="false">(G71/25)*100</f>
        <v>64</v>
      </c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</row>
    <row r="72" customFormat="false" ht="24.75" hidden="false" customHeight="true" outlineLevel="0" collapsed="false">
      <c r="A72" s="104" t="n">
        <v>62</v>
      </c>
      <c r="B72" s="95" t="n">
        <v>511523205064</v>
      </c>
      <c r="C72" s="96" t="s">
        <v>194</v>
      </c>
      <c r="D72" s="97" t="s">
        <v>28</v>
      </c>
      <c r="E72" s="93" t="s">
        <v>28</v>
      </c>
      <c r="F72" s="106" t="s">
        <v>28</v>
      </c>
      <c r="G72" s="92" t="s">
        <v>28</v>
      </c>
      <c r="H72" s="105" t="n">
        <v>28</v>
      </c>
      <c r="I72" s="92" t="n">
        <v>38</v>
      </c>
      <c r="J72" s="22"/>
      <c r="K72" s="74" t="e">
        <f aca="false">(G72/25)*100</f>
        <v>#VALUE!</v>
      </c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</row>
    <row r="73" customFormat="false" ht="24.75" hidden="false" customHeight="true" outlineLevel="0" collapsed="false">
      <c r="A73" s="104" t="n">
        <v>63</v>
      </c>
      <c r="B73" s="107" t="n">
        <v>511523205301</v>
      </c>
      <c r="C73" s="108" t="s">
        <v>195</v>
      </c>
      <c r="D73" s="93" t="n">
        <v>68</v>
      </c>
      <c r="E73" s="93" t="n">
        <v>76</v>
      </c>
      <c r="F73" s="106" t="n">
        <v>40</v>
      </c>
      <c r="G73" s="106" t="n">
        <v>32</v>
      </c>
      <c r="H73" s="105" t="n">
        <v>40</v>
      </c>
      <c r="I73" s="92" t="n">
        <v>36</v>
      </c>
      <c r="J73" s="22"/>
      <c r="K73" s="74" t="n">
        <f aca="false">(G73/25)*100</f>
        <v>128</v>
      </c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</row>
    <row r="74" customFormat="false" ht="24.75" hidden="false" customHeight="true" outlineLevel="0" collapsed="false">
      <c r="A74" s="104" t="n">
        <v>64</v>
      </c>
      <c r="B74" s="107" t="n">
        <v>511523205701</v>
      </c>
      <c r="C74" s="108" t="s">
        <v>196</v>
      </c>
      <c r="D74" s="93" t="n">
        <v>64</v>
      </c>
      <c r="E74" s="93" t="n">
        <v>82</v>
      </c>
      <c r="F74" s="106" t="n">
        <v>6</v>
      </c>
      <c r="G74" s="106" t="n">
        <v>38</v>
      </c>
      <c r="H74" s="105" t="n">
        <v>50</v>
      </c>
      <c r="I74" s="92" t="n">
        <v>32</v>
      </c>
      <c r="J74" s="22"/>
      <c r="K74" s="74" t="n">
        <f aca="false">(G74/25)*100</f>
        <v>152</v>
      </c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</row>
    <row r="75" customFormat="false" ht="15.75" hidden="false" customHeight="true" outlineLevel="0" collapsed="false">
      <c r="A75" s="74"/>
      <c r="B75" s="74"/>
      <c r="C75" s="75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</row>
    <row r="76" customFormat="false" ht="15.75" hidden="false" customHeight="true" outlineLevel="0" collapsed="false">
      <c r="A76" s="74"/>
      <c r="B76" s="74"/>
      <c r="C76" s="75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</row>
    <row r="77" customFormat="false" ht="15.75" hidden="false" customHeight="true" outlineLevel="0" collapsed="false">
      <c r="A77" s="74"/>
      <c r="B77" s="74"/>
      <c r="C77" s="75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</row>
    <row r="78" customFormat="false" ht="15.75" hidden="false" customHeight="true" outlineLevel="0" collapsed="false">
      <c r="A78" s="74"/>
      <c r="B78" s="74"/>
      <c r="C78" s="75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</row>
    <row r="79" customFormat="false" ht="15.75" hidden="false" customHeight="true" outlineLevel="0" collapsed="false">
      <c r="A79" s="74"/>
      <c r="B79" s="74"/>
      <c r="C79" s="75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</row>
    <row r="80" customFormat="false" ht="15.75" hidden="false" customHeight="true" outlineLevel="0" collapsed="false">
      <c r="A80" s="74"/>
      <c r="B80" s="74"/>
      <c r="C80" s="75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</row>
    <row r="81" customFormat="false" ht="15.75" hidden="false" customHeight="true" outlineLevel="0" collapsed="false">
      <c r="A81" s="74"/>
      <c r="B81" s="74"/>
      <c r="C81" s="75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</row>
    <row r="82" customFormat="false" ht="15.75" hidden="false" customHeight="true" outlineLevel="0" collapsed="false">
      <c r="A82" s="74"/>
      <c r="B82" s="74"/>
      <c r="C82" s="75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</row>
    <row r="83" customFormat="false" ht="15.75" hidden="false" customHeight="true" outlineLevel="0" collapsed="false">
      <c r="A83" s="74"/>
      <c r="B83" s="74"/>
      <c r="C83" s="75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</row>
    <row r="84" customFormat="false" ht="15.75" hidden="false" customHeight="true" outlineLevel="0" collapsed="false">
      <c r="A84" s="74"/>
      <c r="B84" s="74"/>
      <c r="C84" s="75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</row>
    <row r="85" customFormat="false" ht="15.75" hidden="false" customHeight="true" outlineLevel="0" collapsed="false">
      <c r="A85" s="74"/>
      <c r="B85" s="74"/>
      <c r="C85" s="75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</row>
    <row r="86" customFormat="false" ht="15.75" hidden="false" customHeight="true" outlineLevel="0" collapsed="false">
      <c r="A86" s="74"/>
      <c r="B86" s="74"/>
      <c r="C86" s="75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</row>
    <row r="87" customFormat="false" ht="15.75" hidden="false" customHeight="true" outlineLevel="0" collapsed="false">
      <c r="A87" s="74"/>
      <c r="B87" s="74"/>
      <c r="C87" s="75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</row>
    <row r="88" customFormat="false" ht="15.75" hidden="false" customHeight="true" outlineLevel="0" collapsed="false">
      <c r="A88" s="74"/>
      <c r="B88" s="74"/>
      <c r="C88" s="75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</row>
    <row r="89" customFormat="false" ht="15.75" hidden="false" customHeight="true" outlineLevel="0" collapsed="false">
      <c r="A89" s="74"/>
      <c r="B89" s="74"/>
      <c r="C89" s="75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</row>
    <row r="90" customFormat="false" ht="15.75" hidden="false" customHeight="true" outlineLevel="0" collapsed="false">
      <c r="A90" s="74"/>
      <c r="B90" s="74"/>
      <c r="C90" s="75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</row>
    <row r="91" customFormat="false" ht="15.75" hidden="false" customHeight="true" outlineLevel="0" collapsed="false">
      <c r="A91" s="74"/>
      <c r="B91" s="74"/>
      <c r="C91" s="75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</row>
    <row r="92" customFormat="false" ht="15.75" hidden="false" customHeight="true" outlineLevel="0" collapsed="false">
      <c r="A92" s="74"/>
      <c r="B92" s="74"/>
      <c r="C92" s="75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</row>
    <row r="93" customFormat="false" ht="15.75" hidden="false" customHeight="true" outlineLevel="0" collapsed="false">
      <c r="A93" s="74"/>
      <c r="B93" s="74"/>
      <c r="C93" s="75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</row>
    <row r="94" customFormat="false" ht="15.75" hidden="false" customHeight="true" outlineLevel="0" collapsed="false">
      <c r="A94" s="74"/>
      <c r="B94" s="74"/>
      <c r="C94" s="75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</row>
    <row r="95" customFormat="false" ht="15.75" hidden="false" customHeight="true" outlineLevel="0" collapsed="false">
      <c r="A95" s="74"/>
      <c r="B95" s="74"/>
      <c r="C95" s="75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</row>
    <row r="96" customFormat="false" ht="15.75" hidden="false" customHeight="true" outlineLevel="0" collapsed="false">
      <c r="A96" s="74"/>
      <c r="B96" s="74"/>
      <c r="C96" s="75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</row>
    <row r="97" customFormat="false" ht="15.75" hidden="false" customHeight="true" outlineLevel="0" collapsed="false">
      <c r="A97" s="74"/>
      <c r="B97" s="74"/>
      <c r="C97" s="75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</row>
    <row r="98" customFormat="false" ht="15.75" hidden="false" customHeight="true" outlineLevel="0" collapsed="false">
      <c r="A98" s="74"/>
      <c r="B98" s="74"/>
      <c r="C98" s="75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</row>
    <row r="99" customFormat="false" ht="15.75" hidden="false" customHeight="true" outlineLevel="0" collapsed="false">
      <c r="A99" s="74"/>
      <c r="B99" s="74"/>
      <c r="C99" s="75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</row>
    <row r="100" customFormat="false" ht="15.75" hidden="false" customHeight="true" outlineLevel="0" collapsed="false">
      <c r="A100" s="74"/>
      <c r="B100" s="74"/>
      <c r="C100" s="75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</row>
    <row r="101" customFormat="false" ht="15.75" hidden="false" customHeight="true" outlineLevel="0" collapsed="false">
      <c r="A101" s="74"/>
      <c r="B101" s="74"/>
      <c r="C101" s="75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</row>
    <row r="102" customFormat="false" ht="15.75" hidden="false" customHeight="true" outlineLevel="0" collapsed="false">
      <c r="A102" s="74"/>
      <c r="B102" s="74"/>
      <c r="C102" s="75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</row>
    <row r="103" customFormat="false" ht="15.75" hidden="false" customHeight="true" outlineLevel="0" collapsed="false">
      <c r="A103" s="74"/>
      <c r="B103" s="74"/>
      <c r="C103" s="75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</row>
    <row r="104" customFormat="false" ht="15.75" hidden="false" customHeight="true" outlineLevel="0" collapsed="false">
      <c r="A104" s="74"/>
      <c r="B104" s="74"/>
      <c r="C104" s="75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</row>
    <row r="105" customFormat="false" ht="15.75" hidden="false" customHeight="true" outlineLevel="0" collapsed="false">
      <c r="A105" s="74"/>
      <c r="B105" s="74"/>
      <c r="C105" s="75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</row>
    <row r="106" customFormat="false" ht="15.75" hidden="false" customHeight="true" outlineLevel="0" collapsed="false">
      <c r="A106" s="74"/>
      <c r="B106" s="74"/>
      <c r="C106" s="75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</row>
    <row r="107" customFormat="false" ht="15.75" hidden="false" customHeight="true" outlineLevel="0" collapsed="false">
      <c r="A107" s="74"/>
      <c r="B107" s="74"/>
      <c r="C107" s="75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</row>
    <row r="108" customFormat="false" ht="15.75" hidden="false" customHeight="true" outlineLevel="0" collapsed="false">
      <c r="A108" s="74"/>
      <c r="B108" s="74"/>
      <c r="C108" s="75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</row>
    <row r="109" customFormat="false" ht="15.75" hidden="false" customHeight="true" outlineLevel="0" collapsed="false">
      <c r="A109" s="74"/>
      <c r="B109" s="74"/>
      <c r="C109" s="75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</row>
    <row r="110" customFormat="false" ht="15.75" hidden="false" customHeight="true" outlineLevel="0" collapsed="false">
      <c r="A110" s="74"/>
      <c r="B110" s="74"/>
      <c r="C110" s="75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</row>
    <row r="111" customFormat="false" ht="15.75" hidden="false" customHeight="true" outlineLevel="0" collapsed="false">
      <c r="A111" s="74"/>
      <c r="B111" s="74"/>
      <c r="C111" s="75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</row>
    <row r="112" customFormat="false" ht="15.75" hidden="false" customHeight="true" outlineLevel="0" collapsed="false">
      <c r="A112" s="74"/>
      <c r="B112" s="74"/>
      <c r="C112" s="75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</row>
    <row r="113" customFormat="false" ht="15.75" hidden="false" customHeight="true" outlineLevel="0" collapsed="false">
      <c r="A113" s="74"/>
      <c r="B113" s="74"/>
      <c r="C113" s="75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</row>
    <row r="114" customFormat="false" ht="15.75" hidden="false" customHeight="true" outlineLevel="0" collapsed="false">
      <c r="A114" s="74"/>
      <c r="B114" s="74"/>
      <c r="C114" s="75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</row>
    <row r="115" customFormat="false" ht="15.75" hidden="false" customHeight="true" outlineLevel="0" collapsed="false">
      <c r="A115" s="74"/>
      <c r="B115" s="74"/>
      <c r="C115" s="75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</row>
    <row r="116" customFormat="false" ht="15.75" hidden="false" customHeight="true" outlineLevel="0" collapsed="false">
      <c r="A116" s="74"/>
      <c r="B116" s="74"/>
      <c r="C116" s="75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</row>
    <row r="117" customFormat="false" ht="15.75" hidden="false" customHeight="true" outlineLevel="0" collapsed="false">
      <c r="A117" s="74"/>
      <c r="B117" s="74"/>
      <c r="C117" s="75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</row>
    <row r="118" customFormat="false" ht="15.75" hidden="false" customHeight="true" outlineLevel="0" collapsed="false">
      <c r="A118" s="74"/>
      <c r="B118" s="74"/>
      <c r="C118" s="75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</row>
    <row r="119" customFormat="false" ht="15.75" hidden="false" customHeight="true" outlineLevel="0" collapsed="false">
      <c r="A119" s="74"/>
      <c r="B119" s="74"/>
      <c r="C119" s="75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</row>
    <row r="120" customFormat="false" ht="15.75" hidden="false" customHeight="true" outlineLevel="0" collapsed="false">
      <c r="A120" s="74"/>
      <c r="B120" s="74"/>
      <c r="C120" s="75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</row>
    <row r="121" customFormat="false" ht="15.75" hidden="false" customHeight="true" outlineLevel="0" collapsed="false">
      <c r="A121" s="74"/>
      <c r="B121" s="74"/>
      <c r="C121" s="75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</row>
    <row r="122" customFormat="false" ht="15.75" hidden="false" customHeight="true" outlineLevel="0" collapsed="false">
      <c r="A122" s="74"/>
      <c r="B122" s="74"/>
      <c r="C122" s="75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</row>
    <row r="123" customFormat="false" ht="15.75" hidden="false" customHeight="true" outlineLevel="0" collapsed="false">
      <c r="A123" s="74"/>
      <c r="B123" s="74"/>
      <c r="C123" s="75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</row>
    <row r="124" customFormat="false" ht="15.75" hidden="false" customHeight="true" outlineLevel="0" collapsed="false">
      <c r="A124" s="74"/>
      <c r="B124" s="74"/>
      <c r="C124" s="75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</row>
    <row r="125" customFormat="false" ht="15.75" hidden="false" customHeight="true" outlineLevel="0" collapsed="false">
      <c r="A125" s="74"/>
      <c r="B125" s="74"/>
      <c r="C125" s="75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</row>
    <row r="126" customFormat="false" ht="15.75" hidden="false" customHeight="true" outlineLevel="0" collapsed="false">
      <c r="A126" s="74"/>
      <c r="B126" s="74"/>
      <c r="C126" s="75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</row>
    <row r="127" customFormat="false" ht="15.75" hidden="false" customHeight="true" outlineLevel="0" collapsed="false">
      <c r="A127" s="74"/>
      <c r="B127" s="74"/>
      <c r="C127" s="75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</row>
    <row r="128" customFormat="false" ht="15.75" hidden="false" customHeight="true" outlineLevel="0" collapsed="false">
      <c r="A128" s="74"/>
      <c r="B128" s="74"/>
      <c r="C128" s="75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</row>
    <row r="129" customFormat="false" ht="15.75" hidden="false" customHeight="true" outlineLevel="0" collapsed="false">
      <c r="A129" s="74"/>
      <c r="B129" s="74"/>
      <c r="C129" s="75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</row>
    <row r="130" customFormat="false" ht="15.75" hidden="false" customHeight="true" outlineLevel="0" collapsed="false">
      <c r="A130" s="74"/>
      <c r="B130" s="74"/>
      <c r="C130" s="75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</row>
    <row r="131" customFormat="false" ht="15.75" hidden="false" customHeight="true" outlineLevel="0" collapsed="false">
      <c r="A131" s="74"/>
      <c r="B131" s="74"/>
      <c r="C131" s="75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</row>
    <row r="132" customFormat="false" ht="15.75" hidden="false" customHeight="true" outlineLevel="0" collapsed="false">
      <c r="A132" s="74"/>
      <c r="B132" s="74"/>
      <c r="C132" s="75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</row>
    <row r="133" customFormat="false" ht="15.75" hidden="false" customHeight="true" outlineLevel="0" collapsed="false">
      <c r="A133" s="74"/>
      <c r="B133" s="74"/>
      <c r="C133" s="75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</row>
    <row r="134" customFormat="false" ht="15.75" hidden="false" customHeight="true" outlineLevel="0" collapsed="false">
      <c r="A134" s="74"/>
      <c r="B134" s="74"/>
      <c r="C134" s="75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</row>
    <row r="135" customFormat="false" ht="15.75" hidden="false" customHeight="true" outlineLevel="0" collapsed="false">
      <c r="A135" s="74"/>
      <c r="B135" s="74"/>
      <c r="C135" s="75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</row>
    <row r="136" customFormat="false" ht="15.75" hidden="false" customHeight="true" outlineLevel="0" collapsed="false">
      <c r="A136" s="74"/>
      <c r="B136" s="74"/>
      <c r="C136" s="75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</row>
    <row r="137" customFormat="false" ht="15.75" hidden="false" customHeight="true" outlineLevel="0" collapsed="false">
      <c r="A137" s="74"/>
      <c r="B137" s="74"/>
      <c r="C137" s="75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</row>
    <row r="138" customFormat="false" ht="15.75" hidden="false" customHeight="true" outlineLevel="0" collapsed="false">
      <c r="A138" s="74"/>
      <c r="B138" s="74"/>
      <c r="C138" s="75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</row>
    <row r="139" customFormat="false" ht="15.75" hidden="false" customHeight="true" outlineLevel="0" collapsed="false">
      <c r="A139" s="74"/>
      <c r="B139" s="74"/>
      <c r="C139" s="75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</row>
    <row r="140" customFormat="false" ht="15.75" hidden="false" customHeight="true" outlineLevel="0" collapsed="false">
      <c r="A140" s="74"/>
      <c r="B140" s="74"/>
      <c r="C140" s="75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</row>
    <row r="141" customFormat="false" ht="15.75" hidden="false" customHeight="true" outlineLevel="0" collapsed="false">
      <c r="A141" s="74"/>
      <c r="B141" s="74"/>
      <c r="C141" s="75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</row>
    <row r="142" customFormat="false" ht="15.75" hidden="false" customHeight="true" outlineLevel="0" collapsed="false">
      <c r="A142" s="74"/>
      <c r="B142" s="74"/>
      <c r="C142" s="75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</row>
    <row r="143" customFormat="false" ht="15.75" hidden="false" customHeight="true" outlineLevel="0" collapsed="false">
      <c r="A143" s="74"/>
      <c r="B143" s="74"/>
      <c r="C143" s="75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</row>
    <row r="144" customFormat="false" ht="15.75" hidden="false" customHeight="true" outlineLevel="0" collapsed="false">
      <c r="A144" s="74"/>
      <c r="B144" s="74"/>
      <c r="C144" s="75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</row>
    <row r="145" customFormat="false" ht="15.75" hidden="false" customHeight="true" outlineLevel="0" collapsed="false">
      <c r="A145" s="74"/>
      <c r="B145" s="74"/>
      <c r="C145" s="75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</row>
    <row r="146" customFormat="false" ht="15.75" hidden="false" customHeight="true" outlineLevel="0" collapsed="false">
      <c r="A146" s="74"/>
      <c r="B146" s="74"/>
      <c r="C146" s="75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</row>
    <row r="147" customFormat="false" ht="15.75" hidden="false" customHeight="true" outlineLevel="0" collapsed="false">
      <c r="A147" s="74"/>
      <c r="B147" s="74"/>
      <c r="C147" s="75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</row>
    <row r="148" customFormat="false" ht="15.75" hidden="false" customHeight="true" outlineLevel="0" collapsed="false">
      <c r="A148" s="74"/>
      <c r="B148" s="74"/>
      <c r="C148" s="75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</row>
    <row r="149" customFormat="false" ht="15.75" hidden="false" customHeight="true" outlineLevel="0" collapsed="false">
      <c r="A149" s="74"/>
      <c r="B149" s="74"/>
      <c r="C149" s="75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</row>
    <row r="150" customFormat="false" ht="15.75" hidden="false" customHeight="true" outlineLevel="0" collapsed="false">
      <c r="A150" s="74"/>
      <c r="B150" s="74"/>
      <c r="C150" s="75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</row>
    <row r="151" customFormat="false" ht="15.75" hidden="false" customHeight="true" outlineLevel="0" collapsed="false">
      <c r="A151" s="74"/>
      <c r="B151" s="74"/>
      <c r="C151" s="75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</row>
    <row r="152" customFormat="false" ht="15.75" hidden="false" customHeight="true" outlineLevel="0" collapsed="false">
      <c r="A152" s="74"/>
      <c r="B152" s="74"/>
      <c r="C152" s="75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</row>
    <row r="153" customFormat="false" ht="15.75" hidden="false" customHeight="true" outlineLevel="0" collapsed="false">
      <c r="A153" s="74"/>
      <c r="B153" s="74"/>
      <c r="C153" s="75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</row>
    <row r="154" customFormat="false" ht="15.75" hidden="false" customHeight="true" outlineLevel="0" collapsed="false">
      <c r="A154" s="74"/>
      <c r="B154" s="74"/>
      <c r="C154" s="75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</row>
    <row r="155" customFormat="false" ht="15.75" hidden="false" customHeight="true" outlineLevel="0" collapsed="false">
      <c r="A155" s="74"/>
      <c r="B155" s="74"/>
      <c r="C155" s="75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</row>
    <row r="156" customFormat="false" ht="15.75" hidden="false" customHeight="true" outlineLevel="0" collapsed="false">
      <c r="A156" s="74"/>
      <c r="B156" s="74"/>
      <c r="C156" s="75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</row>
    <row r="157" customFormat="false" ht="15.75" hidden="false" customHeight="true" outlineLevel="0" collapsed="false">
      <c r="A157" s="74"/>
      <c r="B157" s="74"/>
      <c r="C157" s="75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</row>
    <row r="158" customFormat="false" ht="15.75" hidden="false" customHeight="true" outlineLevel="0" collapsed="false">
      <c r="A158" s="74"/>
      <c r="B158" s="74"/>
      <c r="C158" s="75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</row>
    <row r="159" customFormat="false" ht="15.75" hidden="false" customHeight="true" outlineLevel="0" collapsed="false">
      <c r="A159" s="74"/>
      <c r="B159" s="74"/>
      <c r="C159" s="75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</row>
    <row r="160" customFormat="false" ht="15.75" hidden="false" customHeight="true" outlineLevel="0" collapsed="false">
      <c r="A160" s="74"/>
      <c r="B160" s="74"/>
      <c r="C160" s="75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</row>
    <row r="161" customFormat="false" ht="15.75" hidden="false" customHeight="true" outlineLevel="0" collapsed="false">
      <c r="A161" s="74"/>
      <c r="B161" s="74"/>
      <c r="C161" s="75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</row>
    <row r="162" customFormat="false" ht="15.75" hidden="false" customHeight="true" outlineLevel="0" collapsed="false">
      <c r="A162" s="74"/>
      <c r="B162" s="74"/>
      <c r="C162" s="75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</row>
    <row r="163" customFormat="false" ht="15.75" hidden="false" customHeight="true" outlineLevel="0" collapsed="false">
      <c r="A163" s="74"/>
      <c r="B163" s="74"/>
      <c r="C163" s="75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</row>
    <row r="164" customFormat="false" ht="15.75" hidden="false" customHeight="true" outlineLevel="0" collapsed="false">
      <c r="A164" s="74"/>
      <c r="B164" s="74"/>
      <c r="C164" s="75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</row>
    <row r="165" customFormat="false" ht="15.75" hidden="false" customHeight="true" outlineLevel="0" collapsed="false">
      <c r="A165" s="74"/>
      <c r="B165" s="74"/>
      <c r="C165" s="75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</row>
    <row r="166" customFormat="false" ht="15.75" hidden="false" customHeight="true" outlineLevel="0" collapsed="false">
      <c r="A166" s="74"/>
      <c r="B166" s="74"/>
      <c r="C166" s="75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</row>
    <row r="167" customFormat="false" ht="15.75" hidden="false" customHeight="true" outlineLevel="0" collapsed="false">
      <c r="A167" s="74"/>
      <c r="B167" s="74"/>
      <c r="C167" s="75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</row>
    <row r="168" customFormat="false" ht="15.75" hidden="false" customHeight="true" outlineLevel="0" collapsed="false">
      <c r="A168" s="74"/>
      <c r="B168" s="74"/>
      <c r="C168" s="75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</row>
    <row r="169" customFormat="false" ht="15.75" hidden="false" customHeight="true" outlineLevel="0" collapsed="false">
      <c r="A169" s="74"/>
      <c r="B169" s="74"/>
      <c r="C169" s="75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</row>
    <row r="170" customFormat="false" ht="15.75" hidden="false" customHeight="true" outlineLevel="0" collapsed="false">
      <c r="A170" s="74"/>
      <c r="B170" s="74"/>
      <c r="C170" s="75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</row>
    <row r="171" customFormat="false" ht="15.75" hidden="false" customHeight="true" outlineLevel="0" collapsed="false">
      <c r="A171" s="74"/>
      <c r="B171" s="74"/>
      <c r="C171" s="75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</row>
    <row r="172" customFormat="false" ht="15.75" hidden="false" customHeight="true" outlineLevel="0" collapsed="false">
      <c r="A172" s="74"/>
      <c r="B172" s="74"/>
      <c r="C172" s="75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</row>
    <row r="173" customFormat="false" ht="15.75" hidden="false" customHeight="true" outlineLevel="0" collapsed="false">
      <c r="A173" s="74"/>
      <c r="B173" s="74"/>
      <c r="C173" s="75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</row>
    <row r="174" customFormat="false" ht="15.75" hidden="false" customHeight="true" outlineLevel="0" collapsed="false">
      <c r="A174" s="74"/>
      <c r="B174" s="74"/>
      <c r="C174" s="75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</row>
    <row r="175" customFormat="false" ht="15.75" hidden="false" customHeight="true" outlineLevel="0" collapsed="false">
      <c r="A175" s="74"/>
      <c r="B175" s="74"/>
      <c r="C175" s="75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</row>
    <row r="176" customFormat="false" ht="15.75" hidden="false" customHeight="true" outlineLevel="0" collapsed="false">
      <c r="A176" s="74"/>
      <c r="B176" s="74"/>
      <c r="C176" s="75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</row>
    <row r="177" customFormat="false" ht="15.75" hidden="false" customHeight="true" outlineLevel="0" collapsed="false">
      <c r="A177" s="74"/>
      <c r="B177" s="74"/>
      <c r="C177" s="75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</row>
    <row r="178" customFormat="false" ht="15.75" hidden="false" customHeight="true" outlineLevel="0" collapsed="false">
      <c r="A178" s="74"/>
      <c r="B178" s="74"/>
      <c r="C178" s="75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</row>
    <row r="179" customFormat="false" ht="15.75" hidden="false" customHeight="true" outlineLevel="0" collapsed="false">
      <c r="A179" s="74"/>
      <c r="B179" s="74"/>
      <c r="C179" s="75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</row>
    <row r="180" customFormat="false" ht="15.75" hidden="false" customHeight="true" outlineLevel="0" collapsed="false">
      <c r="A180" s="74"/>
      <c r="B180" s="74"/>
      <c r="C180" s="75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</row>
    <row r="181" customFormat="false" ht="15.75" hidden="false" customHeight="true" outlineLevel="0" collapsed="false">
      <c r="A181" s="74"/>
      <c r="B181" s="74"/>
      <c r="C181" s="75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</row>
    <row r="182" customFormat="false" ht="15.75" hidden="false" customHeight="true" outlineLevel="0" collapsed="false">
      <c r="A182" s="74"/>
      <c r="B182" s="74"/>
      <c r="C182" s="75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</row>
    <row r="183" customFormat="false" ht="15.75" hidden="false" customHeight="true" outlineLevel="0" collapsed="false">
      <c r="A183" s="74"/>
      <c r="B183" s="74"/>
      <c r="C183" s="75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</row>
    <row r="184" customFormat="false" ht="15.75" hidden="false" customHeight="true" outlineLevel="0" collapsed="false">
      <c r="A184" s="74"/>
      <c r="B184" s="74"/>
      <c r="C184" s="75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</row>
    <row r="185" customFormat="false" ht="15.75" hidden="false" customHeight="true" outlineLevel="0" collapsed="false">
      <c r="A185" s="74"/>
      <c r="B185" s="74"/>
      <c r="C185" s="75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</row>
    <row r="186" customFormat="false" ht="15.75" hidden="false" customHeight="true" outlineLevel="0" collapsed="false">
      <c r="A186" s="74"/>
      <c r="B186" s="74"/>
      <c r="C186" s="75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</row>
    <row r="187" customFormat="false" ht="15.75" hidden="false" customHeight="true" outlineLevel="0" collapsed="false">
      <c r="A187" s="74"/>
      <c r="B187" s="74"/>
      <c r="C187" s="75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</row>
    <row r="188" customFormat="false" ht="15.75" hidden="false" customHeight="true" outlineLevel="0" collapsed="false">
      <c r="A188" s="74"/>
      <c r="B188" s="74"/>
      <c r="C188" s="75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</row>
    <row r="189" customFormat="false" ht="15.75" hidden="false" customHeight="true" outlineLevel="0" collapsed="false">
      <c r="A189" s="74"/>
      <c r="B189" s="74"/>
      <c r="C189" s="75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</row>
    <row r="190" customFormat="false" ht="15.75" hidden="false" customHeight="true" outlineLevel="0" collapsed="false">
      <c r="A190" s="74"/>
      <c r="B190" s="74"/>
      <c r="C190" s="75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</row>
    <row r="191" customFormat="false" ht="15.75" hidden="false" customHeight="true" outlineLevel="0" collapsed="false">
      <c r="A191" s="74"/>
      <c r="B191" s="74"/>
      <c r="C191" s="75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</row>
    <row r="192" customFormat="false" ht="15.75" hidden="false" customHeight="true" outlineLevel="0" collapsed="false">
      <c r="A192" s="74"/>
      <c r="B192" s="74"/>
      <c r="C192" s="75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</row>
    <row r="193" customFormat="false" ht="15.75" hidden="false" customHeight="true" outlineLevel="0" collapsed="false">
      <c r="A193" s="74"/>
      <c r="B193" s="74"/>
      <c r="C193" s="75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</row>
    <row r="194" customFormat="false" ht="15.75" hidden="false" customHeight="true" outlineLevel="0" collapsed="false">
      <c r="A194" s="74"/>
      <c r="B194" s="74"/>
      <c r="C194" s="75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</row>
    <row r="195" customFormat="false" ht="15.75" hidden="false" customHeight="true" outlineLevel="0" collapsed="false">
      <c r="A195" s="74"/>
      <c r="B195" s="74"/>
      <c r="C195" s="75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</row>
    <row r="196" customFormat="false" ht="15.75" hidden="false" customHeight="true" outlineLevel="0" collapsed="false">
      <c r="A196" s="74"/>
      <c r="B196" s="74"/>
      <c r="C196" s="75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</row>
    <row r="197" customFormat="false" ht="15.75" hidden="false" customHeight="true" outlineLevel="0" collapsed="false">
      <c r="A197" s="74"/>
      <c r="B197" s="74"/>
      <c r="C197" s="75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</row>
    <row r="198" customFormat="false" ht="15.75" hidden="false" customHeight="true" outlineLevel="0" collapsed="false">
      <c r="A198" s="74"/>
      <c r="B198" s="74"/>
      <c r="C198" s="75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</row>
    <row r="199" customFormat="false" ht="15.75" hidden="false" customHeight="true" outlineLevel="0" collapsed="false">
      <c r="A199" s="74"/>
      <c r="B199" s="74"/>
      <c r="C199" s="75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</row>
    <row r="200" customFormat="false" ht="15.75" hidden="false" customHeight="true" outlineLevel="0" collapsed="false">
      <c r="A200" s="74"/>
      <c r="B200" s="74"/>
      <c r="C200" s="75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</row>
    <row r="201" customFormat="false" ht="15.75" hidden="false" customHeight="true" outlineLevel="0" collapsed="false">
      <c r="A201" s="74"/>
      <c r="B201" s="74"/>
      <c r="C201" s="75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</row>
    <row r="202" customFormat="false" ht="15.75" hidden="false" customHeight="true" outlineLevel="0" collapsed="false">
      <c r="A202" s="74"/>
      <c r="B202" s="74"/>
      <c r="C202" s="75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</row>
    <row r="203" customFormat="false" ht="15.75" hidden="false" customHeight="true" outlineLevel="0" collapsed="false">
      <c r="A203" s="74"/>
      <c r="B203" s="74"/>
      <c r="C203" s="75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</row>
    <row r="204" customFormat="false" ht="15.75" hidden="false" customHeight="true" outlineLevel="0" collapsed="false">
      <c r="A204" s="74"/>
      <c r="B204" s="74"/>
      <c r="C204" s="75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</row>
    <row r="205" customFormat="false" ht="15.75" hidden="false" customHeight="true" outlineLevel="0" collapsed="false">
      <c r="A205" s="74"/>
      <c r="B205" s="74"/>
      <c r="C205" s="75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</row>
    <row r="206" customFormat="false" ht="15.75" hidden="false" customHeight="true" outlineLevel="0" collapsed="false">
      <c r="A206" s="74"/>
      <c r="B206" s="74"/>
      <c r="C206" s="75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</row>
    <row r="207" customFormat="false" ht="15.75" hidden="false" customHeight="true" outlineLevel="0" collapsed="false">
      <c r="A207" s="74"/>
      <c r="B207" s="74"/>
      <c r="C207" s="75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</row>
    <row r="208" customFormat="false" ht="15.75" hidden="false" customHeight="true" outlineLevel="0" collapsed="false">
      <c r="A208" s="74"/>
      <c r="B208" s="74"/>
      <c r="C208" s="75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</row>
    <row r="209" customFormat="false" ht="15.75" hidden="false" customHeight="true" outlineLevel="0" collapsed="false">
      <c r="A209" s="74"/>
      <c r="B209" s="74"/>
      <c r="C209" s="75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</row>
    <row r="210" customFormat="false" ht="15.75" hidden="false" customHeight="true" outlineLevel="0" collapsed="false">
      <c r="A210" s="74"/>
      <c r="B210" s="74"/>
      <c r="C210" s="75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</row>
    <row r="211" customFormat="false" ht="15.75" hidden="false" customHeight="true" outlineLevel="0" collapsed="false">
      <c r="A211" s="74"/>
      <c r="B211" s="74"/>
      <c r="C211" s="75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</row>
    <row r="212" customFormat="false" ht="15.75" hidden="false" customHeight="true" outlineLevel="0" collapsed="false">
      <c r="A212" s="74"/>
      <c r="B212" s="74"/>
      <c r="C212" s="75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</row>
    <row r="213" customFormat="false" ht="15.75" hidden="false" customHeight="true" outlineLevel="0" collapsed="false">
      <c r="A213" s="74"/>
      <c r="B213" s="74"/>
      <c r="C213" s="75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</row>
    <row r="214" customFormat="false" ht="15.75" hidden="false" customHeight="true" outlineLevel="0" collapsed="false">
      <c r="A214" s="74"/>
      <c r="B214" s="74"/>
      <c r="C214" s="75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</row>
    <row r="215" customFormat="false" ht="15.75" hidden="false" customHeight="true" outlineLevel="0" collapsed="false">
      <c r="A215" s="74"/>
      <c r="B215" s="74"/>
      <c r="C215" s="75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</row>
    <row r="216" customFormat="false" ht="15.75" hidden="false" customHeight="true" outlineLevel="0" collapsed="false">
      <c r="A216" s="74"/>
      <c r="B216" s="74"/>
      <c r="C216" s="75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</row>
    <row r="217" customFormat="false" ht="15.75" hidden="false" customHeight="true" outlineLevel="0" collapsed="false">
      <c r="A217" s="74"/>
      <c r="B217" s="74"/>
      <c r="C217" s="75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</row>
    <row r="218" customFormat="false" ht="15.75" hidden="false" customHeight="true" outlineLevel="0" collapsed="false">
      <c r="A218" s="74"/>
      <c r="B218" s="74"/>
      <c r="C218" s="75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</row>
    <row r="219" customFormat="false" ht="15.75" hidden="false" customHeight="true" outlineLevel="0" collapsed="false">
      <c r="A219" s="74"/>
      <c r="B219" s="74"/>
      <c r="C219" s="75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</row>
    <row r="220" customFormat="false" ht="15.75" hidden="false" customHeight="true" outlineLevel="0" collapsed="false">
      <c r="A220" s="74"/>
      <c r="B220" s="74"/>
      <c r="C220" s="75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</row>
    <row r="221" customFormat="false" ht="15.75" hidden="false" customHeight="true" outlineLevel="0" collapsed="false">
      <c r="A221" s="74"/>
      <c r="B221" s="74"/>
      <c r="C221" s="75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</row>
    <row r="222" customFormat="false" ht="15.75" hidden="false" customHeight="true" outlineLevel="0" collapsed="false">
      <c r="A222" s="74"/>
      <c r="B222" s="74"/>
      <c r="C222" s="75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</row>
    <row r="223" customFormat="false" ht="15.75" hidden="false" customHeight="true" outlineLevel="0" collapsed="false">
      <c r="A223" s="74"/>
      <c r="B223" s="74"/>
      <c r="C223" s="75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</row>
    <row r="224" customFormat="false" ht="15.75" hidden="false" customHeight="true" outlineLevel="0" collapsed="false">
      <c r="A224" s="74"/>
      <c r="B224" s="74"/>
      <c r="C224" s="75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</row>
    <row r="225" customFormat="false" ht="15.75" hidden="false" customHeight="true" outlineLevel="0" collapsed="false">
      <c r="A225" s="74"/>
      <c r="B225" s="74"/>
      <c r="C225" s="75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</row>
    <row r="226" customFormat="false" ht="15.75" hidden="false" customHeight="true" outlineLevel="0" collapsed="false">
      <c r="A226" s="74"/>
      <c r="B226" s="74"/>
      <c r="C226" s="75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</row>
    <row r="227" customFormat="false" ht="15.75" hidden="false" customHeight="true" outlineLevel="0" collapsed="false">
      <c r="A227" s="74"/>
      <c r="B227" s="74"/>
      <c r="C227" s="75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</row>
    <row r="228" customFormat="false" ht="15.75" hidden="false" customHeight="true" outlineLevel="0" collapsed="false">
      <c r="A228" s="74"/>
      <c r="B228" s="74"/>
      <c r="C228" s="75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</row>
    <row r="229" customFormat="false" ht="15.75" hidden="false" customHeight="true" outlineLevel="0" collapsed="false">
      <c r="A229" s="74"/>
      <c r="B229" s="74"/>
      <c r="C229" s="75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</row>
    <row r="230" customFormat="false" ht="15.75" hidden="false" customHeight="true" outlineLevel="0" collapsed="false">
      <c r="A230" s="74"/>
      <c r="B230" s="74"/>
      <c r="C230" s="75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</row>
    <row r="231" customFormat="false" ht="15.75" hidden="false" customHeight="true" outlineLevel="0" collapsed="false">
      <c r="A231" s="74"/>
      <c r="B231" s="74"/>
      <c r="C231" s="75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</row>
    <row r="232" customFormat="false" ht="15.75" hidden="false" customHeight="true" outlineLevel="0" collapsed="false">
      <c r="A232" s="74"/>
      <c r="B232" s="74"/>
      <c r="C232" s="75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</row>
    <row r="233" customFormat="false" ht="15.75" hidden="false" customHeight="true" outlineLevel="0" collapsed="false">
      <c r="A233" s="74"/>
      <c r="B233" s="74"/>
      <c r="C233" s="75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</row>
    <row r="234" customFormat="false" ht="15.75" hidden="false" customHeight="true" outlineLevel="0" collapsed="false">
      <c r="A234" s="74"/>
      <c r="B234" s="74"/>
      <c r="C234" s="75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</row>
    <row r="235" customFormat="false" ht="15.75" hidden="false" customHeight="true" outlineLevel="0" collapsed="false">
      <c r="A235" s="74"/>
      <c r="B235" s="74"/>
      <c r="C235" s="75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</row>
    <row r="236" customFormat="false" ht="15.75" hidden="false" customHeight="true" outlineLevel="0" collapsed="false">
      <c r="A236" s="74"/>
      <c r="B236" s="74"/>
      <c r="C236" s="75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</row>
    <row r="237" customFormat="false" ht="15.75" hidden="false" customHeight="true" outlineLevel="0" collapsed="false">
      <c r="A237" s="74"/>
      <c r="B237" s="74"/>
      <c r="C237" s="75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</row>
    <row r="238" customFormat="false" ht="15.75" hidden="false" customHeight="true" outlineLevel="0" collapsed="false">
      <c r="A238" s="74"/>
      <c r="B238" s="74"/>
      <c r="C238" s="75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</row>
    <row r="239" customFormat="false" ht="15.75" hidden="false" customHeight="true" outlineLevel="0" collapsed="false">
      <c r="A239" s="74"/>
      <c r="B239" s="74"/>
      <c r="C239" s="75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</row>
    <row r="240" customFormat="false" ht="15.75" hidden="false" customHeight="true" outlineLevel="0" collapsed="false">
      <c r="A240" s="74"/>
      <c r="B240" s="74"/>
      <c r="C240" s="75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</row>
    <row r="241" customFormat="false" ht="15.75" hidden="false" customHeight="true" outlineLevel="0" collapsed="false">
      <c r="A241" s="74"/>
      <c r="B241" s="74"/>
      <c r="C241" s="75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</row>
    <row r="242" customFormat="false" ht="15.75" hidden="false" customHeight="true" outlineLevel="0" collapsed="false">
      <c r="A242" s="74"/>
      <c r="B242" s="74"/>
      <c r="C242" s="75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</row>
    <row r="243" customFormat="false" ht="15.75" hidden="false" customHeight="true" outlineLevel="0" collapsed="false">
      <c r="A243" s="74"/>
      <c r="B243" s="74"/>
      <c r="C243" s="75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</row>
    <row r="244" customFormat="false" ht="15.75" hidden="false" customHeight="true" outlineLevel="0" collapsed="false">
      <c r="A244" s="74"/>
      <c r="B244" s="74"/>
      <c r="C244" s="75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</row>
    <row r="245" customFormat="false" ht="15.75" hidden="false" customHeight="true" outlineLevel="0" collapsed="false">
      <c r="A245" s="74"/>
      <c r="B245" s="74"/>
      <c r="C245" s="75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</row>
    <row r="246" customFormat="false" ht="15.75" hidden="false" customHeight="true" outlineLevel="0" collapsed="false">
      <c r="A246" s="74"/>
      <c r="B246" s="74"/>
      <c r="C246" s="75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</row>
    <row r="247" customFormat="false" ht="15.75" hidden="false" customHeight="true" outlineLevel="0" collapsed="false">
      <c r="A247" s="74"/>
      <c r="B247" s="74"/>
      <c r="C247" s="75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</row>
    <row r="248" customFormat="false" ht="15.75" hidden="false" customHeight="true" outlineLevel="0" collapsed="false">
      <c r="A248" s="74"/>
      <c r="B248" s="74"/>
      <c r="C248" s="75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</row>
    <row r="249" customFormat="false" ht="15.75" hidden="false" customHeight="true" outlineLevel="0" collapsed="false">
      <c r="A249" s="74"/>
      <c r="B249" s="74"/>
      <c r="C249" s="75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</row>
    <row r="250" customFormat="false" ht="15.75" hidden="false" customHeight="true" outlineLevel="0" collapsed="false">
      <c r="A250" s="74"/>
      <c r="B250" s="74"/>
      <c r="C250" s="75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</row>
    <row r="251" customFormat="false" ht="15.75" hidden="false" customHeight="true" outlineLevel="0" collapsed="false">
      <c r="A251" s="74"/>
      <c r="B251" s="74"/>
      <c r="C251" s="75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</row>
    <row r="252" customFormat="false" ht="15.75" hidden="false" customHeight="true" outlineLevel="0" collapsed="false">
      <c r="A252" s="74"/>
      <c r="B252" s="74"/>
      <c r="C252" s="75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</row>
    <row r="253" customFormat="false" ht="15.75" hidden="false" customHeight="true" outlineLevel="0" collapsed="false">
      <c r="A253" s="74"/>
      <c r="B253" s="74"/>
      <c r="C253" s="75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</row>
    <row r="254" customFormat="false" ht="15.75" hidden="false" customHeight="true" outlineLevel="0" collapsed="false">
      <c r="A254" s="74"/>
      <c r="B254" s="74"/>
      <c r="C254" s="75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</row>
    <row r="255" customFormat="false" ht="15.75" hidden="false" customHeight="true" outlineLevel="0" collapsed="false">
      <c r="A255" s="74"/>
      <c r="B255" s="74"/>
      <c r="C255" s="75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</row>
    <row r="256" customFormat="false" ht="15.75" hidden="false" customHeight="true" outlineLevel="0" collapsed="false">
      <c r="A256" s="74"/>
      <c r="B256" s="74"/>
      <c r="C256" s="75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</row>
    <row r="257" customFormat="false" ht="15.75" hidden="false" customHeight="true" outlineLevel="0" collapsed="false">
      <c r="A257" s="74"/>
      <c r="B257" s="74"/>
      <c r="C257" s="75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</row>
    <row r="258" customFormat="false" ht="15.75" hidden="false" customHeight="true" outlineLevel="0" collapsed="false">
      <c r="A258" s="74"/>
      <c r="B258" s="74"/>
      <c r="C258" s="75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</row>
    <row r="259" customFormat="false" ht="15.75" hidden="false" customHeight="true" outlineLevel="0" collapsed="false">
      <c r="A259" s="74"/>
      <c r="B259" s="74"/>
      <c r="C259" s="75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</row>
    <row r="260" customFormat="false" ht="15.75" hidden="false" customHeight="true" outlineLevel="0" collapsed="false">
      <c r="A260" s="74"/>
      <c r="B260" s="74"/>
      <c r="C260" s="75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</row>
    <row r="261" customFormat="false" ht="15.75" hidden="false" customHeight="true" outlineLevel="0" collapsed="false">
      <c r="A261" s="74"/>
      <c r="B261" s="74"/>
      <c r="C261" s="75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</row>
    <row r="262" customFormat="false" ht="15.75" hidden="false" customHeight="true" outlineLevel="0" collapsed="false">
      <c r="A262" s="74"/>
      <c r="B262" s="74"/>
      <c r="C262" s="75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</row>
    <row r="263" customFormat="false" ht="15.75" hidden="false" customHeight="true" outlineLevel="0" collapsed="false">
      <c r="A263" s="74"/>
      <c r="B263" s="74"/>
      <c r="C263" s="75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</row>
    <row r="264" customFormat="false" ht="15.75" hidden="false" customHeight="true" outlineLevel="0" collapsed="false">
      <c r="A264" s="74"/>
      <c r="B264" s="74"/>
      <c r="C264" s="75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</row>
    <row r="265" customFormat="false" ht="15.75" hidden="false" customHeight="true" outlineLevel="0" collapsed="false">
      <c r="A265" s="74"/>
      <c r="B265" s="74"/>
      <c r="C265" s="75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</row>
    <row r="266" customFormat="false" ht="15.75" hidden="false" customHeight="true" outlineLevel="0" collapsed="false">
      <c r="A266" s="74"/>
      <c r="B266" s="74"/>
      <c r="C266" s="75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</row>
    <row r="267" customFormat="false" ht="15.75" hidden="false" customHeight="true" outlineLevel="0" collapsed="false">
      <c r="A267" s="74"/>
      <c r="B267" s="74"/>
      <c r="C267" s="75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</row>
    <row r="268" customFormat="false" ht="15.75" hidden="false" customHeight="true" outlineLevel="0" collapsed="false">
      <c r="A268" s="74"/>
      <c r="B268" s="74"/>
      <c r="C268" s="75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</row>
    <row r="269" customFormat="false" ht="15.75" hidden="false" customHeight="true" outlineLevel="0" collapsed="false">
      <c r="A269" s="74"/>
      <c r="B269" s="74"/>
      <c r="C269" s="75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</row>
    <row r="270" customFormat="false" ht="15.75" hidden="false" customHeight="true" outlineLevel="0" collapsed="false">
      <c r="A270" s="74"/>
      <c r="B270" s="74"/>
      <c r="C270" s="75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</row>
    <row r="271" customFormat="false" ht="15.75" hidden="false" customHeight="true" outlineLevel="0" collapsed="false">
      <c r="A271" s="74"/>
      <c r="B271" s="74"/>
      <c r="C271" s="75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</row>
    <row r="272" customFormat="false" ht="15.75" hidden="false" customHeight="true" outlineLevel="0" collapsed="false">
      <c r="A272" s="74"/>
      <c r="B272" s="74"/>
      <c r="C272" s="75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</row>
    <row r="273" customFormat="false" ht="15.75" hidden="false" customHeight="true" outlineLevel="0" collapsed="false">
      <c r="A273" s="74"/>
      <c r="B273" s="74"/>
      <c r="C273" s="75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</row>
    <row r="274" customFormat="false" ht="15.75" hidden="false" customHeight="true" outlineLevel="0" collapsed="false">
      <c r="A274" s="74"/>
      <c r="B274" s="74"/>
      <c r="C274" s="75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</row>
    <row r="275" customFormat="false" ht="15.75" hidden="false" customHeight="true" outlineLevel="0" collapsed="false">
      <c r="A275" s="74"/>
      <c r="B275" s="74"/>
      <c r="C275" s="75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</row>
    <row r="276" customFormat="false" ht="15.75" hidden="false" customHeight="true" outlineLevel="0" collapsed="false">
      <c r="A276" s="74"/>
      <c r="B276" s="74"/>
      <c r="C276" s="75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</row>
    <row r="277" customFormat="false" ht="15.75" hidden="false" customHeight="true" outlineLevel="0" collapsed="false">
      <c r="A277" s="74"/>
      <c r="B277" s="74"/>
      <c r="C277" s="75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</row>
    <row r="278" customFormat="false" ht="15.75" hidden="false" customHeight="true" outlineLevel="0" collapsed="false">
      <c r="A278" s="74"/>
      <c r="B278" s="74"/>
      <c r="C278" s="75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</row>
    <row r="279" customFormat="false" ht="15.75" hidden="false" customHeight="true" outlineLevel="0" collapsed="false">
      <c r="A279" s="74"/>
      <c r="B279" s="74"/>
      <c r="C279" s="75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</row>
    <row r="280" customFormat="false" ht="15.75" hidden="false" customHeight="true" outlineLevel="0" collapsed="false">
      <c r="A280" s="74"/>
      <c r="B280" s="74"/>
      <c r="C280" s="75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</row>
    <row r="281" customFormat="false" ht="15.75" hidden="false" customHeight="true" outlineLevel="0" collapsed="false">
      <c r="A281" s="74"/>
      <c r="B281" s="74"/>
      <c r="C281" s="75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</row>
    <row r="282" customFormat="false" ht="15.75" hidden="false" customHeight="true" outlineLevel="0" collapsed="false">
      <c r="A282" s="74"/>
      <c r="B282" s="74"/>
      <c r="C282" s="75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</row>
    <row r="283" customFormat="false" ht="15.75" hidden="false" customHeight="true" outlineLevel="0" collapsed="false">
      <c r="A283" s="74"/>
      <c r="B283" s="74"/>
      <c r="C283" s="75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</row>
    <row r="284" customFormat="false" ht="15.75" hidden="false" customHeight="true" outlineLevel="0" collapsed="false">
      <c r="A284" s="74"/>
      <c r="B284" s="74"/>
      <c r="C284" s="75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</row>
    <row r="285" customFormat="false" ht="15.75" hidden="false" customHeight="true" outlineLevel="0" collapsed="false">
      <c r="A285" s="74"/>
      <c r="B285" s="74"/>
      <c r="C285" s="75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</row>
    <row r="286" customFormat="false" ht="15.75" hidden="false" customHeight="true" outlineLevel="0" collapsed="false">
      <c r="A286" s="74"/>
      <c r="B286" s="74"/>
      <c r="C286" s="75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</row>
    <row r="287" customFormat="false" ht="15.75" hidden="false" customHeight="true" outlineLevel="0" collapsed="false">
      <c r="A287" s="74"/>
      <c r="B287" s="74"/>
      <c r="C287" s="75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</row>
    <row r="288" customFormat="false" ht="15.75" hidden="false" customHeight="true" outlineLevel="0" collapsed="false">
      <c r="A288" s="74"/>
      <c r="B288" s="74"/>
      <c r="C288" s="75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</row>
    <row r="289" customFormat="false" ht="15.75" hidden="false" customHeight="true" outlineLevel="0" collapsed="false">
      <c r="A289" s="74"/>
      <c r="B289" s="74"/>
      <c r="C289" s="75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</row>
    <row r="290" customFormat="false" ht="15.75" hidden="false" customHeight="true" outlineLevel="0" collapsed="false">
      <c r="A290" s="74"/>
      <c r="B290" s="74"/>
      <c r="C290" s="75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</row>
    <row r="291" customFormat="false" ht="15.75" hidden="false" customHeight="true" outlineLevel="0" collapsed="false">
      <c r="A291" s="74"/>
      <c r="B291" s="74"/>
      <c r="C291" s="75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</row>
    <row r="292" customFormat="false" ht="15.75" hidden="false" customHeight="true" outlineLevel="0" collapsed="false">
      <c r="A292" s="74"/>
      <c r="B292" s="74"/>
      <c r="C292" s="75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</row>
    <row r="293" customFormat="false" ht="15.75" hidden="false" customHeight="true" outlineLevel="0" collapsed="false">
      <c r="A293" s="74"/>
      <c r="B293" s="74"/>
      <c r="C293" s="75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</row>
    <row r="294" customFormat="false" ht="15.75" hidden="false" customHeight="true" outlineLevel="0" collapsed="false">
      <c r="A294" s="74"/>
      <c r="B294" s="74"/>
      <c r="C294" s="75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</row>
    <row r="295" customFormat="false" ht="15.75" hidden="false" customHeight="true" outlineLevel="0" collapsed="false">
      <c r="A295" s="74"/>
      <c r="B295" s="74"/>
      <c r="C295" s="75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</row>
    <row r="296" customFormat="false" ht="15.75" hidden="false" customHeight="true" outlineLevel="0" collapsed="false">
      <c r="A296" s="74"/>
      <c r="B296" s="74"/>
      <c r="C296" s="75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</row>
    <row r="297" customFormat="false" ht="15.75" hidden="false" customHeight="true" outlineLevel="0" collapsed="false">
      <c r="A297" s="74"/>
      <c r="B297" s="74"/>
      <c r="C297" s="75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</row>
    <row r="298" customFormat="false" ht="15.75" hidden="false" customHeight="true" outlineLevel="0" collapsed="false">
      <c r="A298" s="74"/>
      <c r="B298" s="74"/>
      <c r="C298" s="75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</row>
    <row r="299" customFormat="false" ht="15.75" hidden="false" customHeight="true" outlineLevel="0" collapsed="false">
      <c r="A299" s="74"/>
      <c r="B299" s="74"/>
      <c r="C299" s="75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</row>
    <row r="300" customFormat="false" ht="15.75" hidden="false" customHeight="true" outlineLevel="0" collapsed="false">
      <c r="A300" s="74"/>
      <c r="B300" s="74"/>
      <c r="C300" s="75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</row>
    <row r="301" customFormat="false" ht="15.75" hidden="false" customHeight="true" outlineLevel="0" collapsed="false">
      <c r="A301" s="74"/>
      <c r="B301" s="74"/>
      <c r="C301" s="75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</row>
    <row r="302" customFormat="false" ht="15.75" hidden="false" customHeight="true" outlineLevel="0" collapsed="false">
      <c r="A302" s="74"/>
      <c r="B302" s="74"/>
      <c r="C302" s="75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</row>
    <row r="303" customFormat="false" ht="15.75" hidden="false" customHeight="true" outlineLevel="0" collapsed="false">
      <c r="A303" s="74"/>
      <c r="B303" s="74"/>
      <c r="C303" s="75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</row>
    <row r="304" customFormat="false" ht="15.75" hidden="false" customHeight="true" outlineLevel="0" collapsed="false">
      <c r="A304" s="74"/>
      <c r="B304" s="74"/>
      <c r="C304" s="75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</row>
    <row r="305" customFormat="false" ht="15.75" hidden="false" customHeight="true" outlineLevel="0" collapsed="false">
      <c r="A305" s="74"/>
      <c r="B305" s="74"/>
      <c r="C305" s="75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</row>
    <row r="306" customFormat="false" ht="15.75" hidden="false" customHeight="true" outlineLevel="0" collapsed="false">
      <c r="A306" s="74"/>
      <c r="B306" s="74"/>
      <c r="C306" s="75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</row>
    <row r="307" customFormat="false" ht="15.75" hidden="false" customHeight="true" outlineLevel="0" collapsed="false">
      <c r="A307" s="74"/>
      <c r="B307" s="74"/>
      <c r="C307" s="75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</row>
    <row r="308" customFormat="false" ht="15.75" hidden="false" customHeight="true" outlineLevel="0" collapsed="false">
      <c r="A308" s="74"/>
      <c r="B308" s="74"/>
      <c r="C308" s="75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</row>
    <row r="309" customFormat="false" ht="15.75" hidden="false" customHeight="true" outlineLevel="0" collapsed="false">
      <c r="A309" s="74"/>
      <c r="B309" s="74"/>
      <c r="C309" s="75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</row>
    <row r="310" customFormat="false" ht="15.75" hidden="false" customHeight="true" outlineLevel="0" collapsed="false">
      <c r="A310" s="74"/>
      <c r="B310" s="74"/>
      <c r="C310" s="75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</row>
    <row r="311" customFormat="false" ht="15.75" hidden="false" customHeight="true" outlineLevel="0" collapsed="false">
      <c r="A311" s="74"/>
      <c r="B311" s="74"/>
      <c r="C311" s="75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</row>
    <row r="312" customFormat="false" ht="15.75" hidden="false" customHeight="true" outlineLevel="0" collapsed="false">
      <c r="A312" s="74"/>
      <c r="B312" s="74"/>
      <c r="C312" s="75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</row>
    <row r="313" customFormat="false" ht="15.75" hidden="false" customHeight="true" outlineLevel="0" collapsed="false">
      <c r="A313" s="74"/>
      <c r="B313" s="74"/>
      <c r="C313" s="75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</row>
    <row r="314" customFormat="false" ht="15.75" hidden="false" customHeight="true" outlineLevel="0" collapsed="false">
      <c r="A314" s="74"/>
      <c r="B314" s="74"/>
      <c r="C314" s="75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</row>
    <row r="315" customFormat="false" ht="15.75" hidden="false" customHeight="true" outlineLevel="0" collapsed="false">
      <c r="A315" s="74"/>
      <c r="B315" s="74"/>
      <c r="C315" s="75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</row>
    <row r="316" customFormat="false" ht="15.75" hidden="false" customHeight="true" outlineLevel="0" collapsed="false">
      <c r="A316" s="74"/>
      <c r="B316" s="74"/>
      <c r="C316" s="75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</row>
    <row r="317" customFormat="false" ht="15.75" hidden="false" customHeight="true" outlineLevel="0" collapsed="false">
      <c r="A317" s="74"/>
      <c r="B317" s="74"/>
      <c r="C317" s="75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</row>
    <row r="318" customFormat="false" ht="15.75" hidden="false" customHeight="true" outlineLevel="0" collapsed="false">
      <c r="A318" s="74"/>
      <c r="B318" s="74"/>
      <c r="C318" s="75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</row>
    <row r="319" customFormat="false" ht="15.75" hidden="false" customHeight="true" outlineLevel="0" collapsed="false">
      <c r="A319" s="74"/>
      <c r="B319" s="74"/>
      <c r="C319" s="75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</row>
    <row r="320" customFormat="false" ht="15.75" hidden="false" customHeight="true" outlineLevel="0" collapsed="false">
      <c r="A320" s="74"/>
      <c r="B320" s="74"/>
      <c r="C320" s="75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</row>
    <row r="321" customFormat="false" ht="15.75" hidden="false" customHeight="true" outlineLevel="0" collapsed="false">
      <c r="A321" s="74"/>
      <c r="B321" s="74"/>
      <c r="C321" s="75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</row>
    <row r="322" customFormat="false" ht="15.75" hidden="false" customHeight="true" outlineLevel="0" collapsed="false">
      <c r="A322" s="74"/>
      <c r="B322" s="74"/>
      <c r="C322" s="75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</row>
    <row r="323" customFormat="false" ht="15.75" hidden="false" customHeight="true" outlineLevel="0" collapsed="false">
      <c r="A323" s="74"/>
      <c r="B323" s="74"/>
      <c r="C323" s="75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</row>
    <row r="324" customFormat="false" ht="15.75" hidden="false" customHeight="true" outlineLevel="0" collapsed="false">
      <c r="A324" s="74"/>
      <c r="B324" s="74"/>
      <c r="C324" s="75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</row>
    <row r="325" customFormat="false" ht="15.75" hidden="false" customHeight="true" outlineLevel="0" collapsed="false">
      <c r="A325" s="74"/>
      <c r="B325" s="74"/>
      <c r="C325" s="75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</row>
    <row r="326" customFormat="false" ht="15.75" hidden="false" customHeight="true" outlineLevel="0" collapsed="false">
      <c r="A326" s="74"/>
      <c r="B326" s="74"/>
      <c r="C326" s="75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</row>
    <row r="327" customFormat="false" ht="15.75" hidden="false" customHeight="true" outlineLevel="0" collapsed="false">
      <c r="A327" s="74"/>
      <c r="B327" s="74"/>
      <c r="C327" s="75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</row>
    <row r="328" customFormat="false" ht="15.75" hidden="false" customHeight="true" outlineLevel="0" collapsed="false">
      <c r="A328" s="74"/>
      <c r="B328" s="74"/>
      <c r="C328" s="75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</row>
    <row r="329" customFormat="false" ht="15.75" hidden="false" customHeight="true" outlineLevel="0" collapsed="false">
      <c r="A329" s="74"/>
      <c r="B329" s="74"/>
      <c r="C329" s="75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</row>
    <row r="330" customFormat="false" ht="15.75" hidden="false" customHeight="true" outlineLevel="0" collapsed="false">
      <c r="A330" s="74"/>
      <c r="B330" s="74"/>
      <c r="C330" s="75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</row>
    <row r="331" customFormat="false" ht="15.75" hidden="false" customHeight="true" outlineLevel="0" collapsed="false">
      <c r="A331" s="74"/>
      <c r="B331" s="74"/>
      <c r="C331" s="75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</row>
    <row r="332" customFormat="false" ht="15.75" hidden="false" customHeight="true" outlineLevel="0" collapsed="false">
      <c r="A332" s="74"/>
      <c r="B332" s="74"/>
      <c r="C332" s="75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</row>
    <row r="333" customFormat="false" ht="15.75" hidden="false" customHeight="true" outlineLevel="0" collapsed="false">
      <c r="A333" s="74"/>
      <c r="B333" s="74"/>
      <c r="C333" s="75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</row>
    <row r="334" customFormat="false" ht="15.75" hidden="false" customHeight="true" outlineLevel="0" collapsed="false">
      <c r="A334" s="74"/>
      <c r="B334" s="74"/>
      <c r="C334" s="75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</row>
    <row r="335" customFormat="false" ht="15.75" hidden="false" customHeight="true" outlineLevel="0" collapsed="false">
      <c r="A335" s="74"/>
      <c r="B335" s="74"/>
      <c r="C335" s="75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</row>
    <row r="336" customFormat="false" ht="15.75" hidden="false" customHeight="true" outlineLevel="0" collapsed="false">
      <c r="A336" s="74"/>
      <c r="B336" s="74"/>
      <c r="C336" s="75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</row>
    <row r="337" customFormat="false" ht="15.75" hidden="false" customHeight="true" outlineLevel="0" collapsed="false">
      <c r="A337" s="74"/>
      <c r="B337" s="74"/>
      <c r="C337" s="75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</row>
    <row r="338" customFormat="false" ht="15.75" hidden="false" customHeight="true" outlineLevel="0" collapsed="false">
      <c r="A338" s="74"/>
      <c r="B338" s="74"/>
      <c r="C338" s="75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</row>
    <row r="339" customFormat="false" ht="15.75" hidden="false" customHeight="true" outlineLevel="0" collapsed="false">
      <c r="A339" s="74"/>
      <c r="B339" s="74"/>
      <c r="C339" s="75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</row>
    <row r="340" customFormat="false" ht="15.75" hidden="false" customHeight="true" outlineLevel="0" collapsed="false">
      <c r="A340" s="74"/>
      <c r="B340" s="74"/>
      <c r="C340" s="75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</row>
    <row r="341" customFormat="false" ht="15.75" hidden="false" customHeight="true" outlineLevel="0" collapsed="false">
      <c r="A341" s="74"/>
      <c r="B341" s="74"/>
      <c r="C341" s="75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</row>
    <row r="342" customFormat="false" ht="15.75" hidden="false" customHeight="true" outlineLevel="0" collapsed="false">
      <c r="A342" s="74"/>
      <c r="B342" s="74"/>
      <c r="C342" s="75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</row>
    <row r="343" customFormat="false" ht="15.75" hidden="false" customHeight="true" outlineLevel="0" collapsed="false">
      <c r="A343" s="74"/>
      <c r="B343" s="74"/>
      <c r="C343" s="75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</row>
    <row r="344" customFormat="false" ht="15.75" hidden="false" customHeight="true" outlineLevel="0" collapsed="false">
      <c r="A344" s="74"/>
      <c r="B344" s="74"/>
      <c r="C344" s="75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</row>
    <row r="345" customFormat="false" ht="15.75" hidden="false" customHeight="true" outlineLevel="0" collapsed="false">
      <c r="A345" s="74"/>
      <c r="B345" s="74"/>
      <c r="C345" s="75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</row>
    <row r="346" customFormat="false" ht="15.75" hidden="false" customHeight="true" outlineLevel="0" collapsed="false">
      <c r="A346" s="74"/>
      <c r="B346" s="74"/>
      <c r="C346" s="75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</row>
    <row r="347" customFormat="false" ht="15.75" hidden="false" customHeight="true" outlineLevel="0" collapsed="false">
      <c r="A347" s="74"/>
      <c r="B347" s="74"/>
      <c r="C347" s="75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</row>
    <row r="348" customFormat="false" ht="15.75" hidden="false" customHeight="true" outlineLevel="0" collapsed="false">
      <c r="A348" s="74"/>
      <c r="B348" s="74"/>
      <c r="C348" s="75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</row>
    <row r="349" customFormat="false" ht="15.75" hidden="false" customHeight="true" outlineLevel="0" collapsed="false">
      <c r="A349" s="74"/>
      <c r="B349" s="74"/>
      <c r="C349" s="75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</row>
    <row r="350" customFormat="false" ht="15.75" hidden="false" customHeight="true" outlineLevel="0" collapsed="false">
      <c r="A350" s="74"/>
      <c r="B350" s="74"/>
      <c r="C350" s="75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</row>
    <row r="351" customFormat="false" ht="15.75" hidden="false" customHeight="true" outlineLevel="0" collapsed="false">
      <c r="A351" s="74"/>
      <c r="B351" s="74"/>
      <c r="C351" s="75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</row>
    <row r="352" customFormat="false" ht="15.75" hidden="false" customHeight="true" outlineLevel="0" collapsed="false">
      <c r="A352" s="74"/>
      <c r="B352" s="74"/>
      <c r="C352" s="75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</row>
    <row r="353" customFormat="false" ht="15.75" hidden="false" customHeight="true" outlineLevel="0" collapsed="false">
      <c r="A353" s="74"/>
      <c r="B353" s="74"/>
      <c r="C353" s="75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</row>
    <row r="354" customFormat="false" ht="15.75" hidden="false" customHeight="true" outlineLevel="0" collapsed="false">
      <c r="A354" s="74"/>
      <c r="B354" s="74"/>
      <c r="C354" s="75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</row>
    <row r="355" customFormat="false" ht="15.75" hidden="false" customHeight="true" outlineLevel="0" collapsed="false">
      <c r="A355" s="74"/>
      <c r="B355" s="74"/>
      <c r="C355" s="75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</row>
    <row r="356" customFormat="false" ht="15.75" hidden="false" customHeight="true" outlineLevel="0" collapsed="false">
      <c r="A356" s="74"/>
      <c r="B356" s="74"/>
      <c r="C356" s="75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</row>
    <row r="357" customFormat="false" ht="15.75" hidden="false" customHeight="true" outlineLevel="0" collapsed="false">
      <c r="A357" s="74"/>
      <c r="B357" s="74"/>
      <c r="C357" s="75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</row>
    <row r="358" customFormat="false" ht="15.75" hidden="false" customHeight="true" outlineLevel="0" collapsed="false">
      <c r="A358" s="74"/>
      <c r="B358" s="74"/>
      <c r="C358" s="75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</row>
    <row r="359" customFormat="false" ht="15.75" hidden="false" customHeight="true" outlineLevel="0" collapsed="false">
      <c r="A359" s="74"/>
      <c r="B359" s="74"/>
      <c r="C359" s="75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</row>
    <row r="360" customFormat="false" ht="15.75" hidden="false" customHeight="true" outlineLevel="0" collapsed="false">
      <c r="A360" s="74"/>
      <c r="B360" s="74"/>
      <c r="C360" s="75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</row>
    <row r="361" customFormat="false" ht="15.75" hidden="false" customHeight="true" outlineLevel="0" collapsed="false">
      <c r="A361" s="74"/>
      <c r="B361" s="74"/>
      <c r="C361" s="75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</row>
    <row r="362" customFormat="false" ht="15.75" hidden="false" customHeight="true" outlineLevel="0" collapsed="false">
      <c r="A362" s="74"/>
      <c r="B362" s="74"/>
      <c r="C362" s="75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</row>
    <row r="363" customFormat="false" ht="15.75" hidden="false" customHeight="true" outlineLevel="0" collapsed="false">
      <c r="A363" s="74"/>
      <c r="B363" s="74"/>
      <c r="C363" s="75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</row>
    <row r="364" customFormat="false" ht="15.75" hidden="false" customHeight="true" outlineLevel="0" collapsed="false">
      <c r="A364" s="74"/>
      <c r="B364" s="74"/>
      <c r="C364" s="75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</row>
    <row r="365" customFormat="false" ht="15.75" hidden="false" customHeight="true" outlineLevel="0" collapsed="false">
      <c r="A365" s="74"/>
      <c r="B365" s="74"/>
      <c r="C365" s="75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</row>
    <row r="366" customFormat="false" ht="15.75" hidden="false" customHeight="true" outlineLevel="0" collapsed="false">
      <c r="A366" s="74"/>
      <c r="B366" s="74"/>
      <c r="C366" s="75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</row>
    <row r="367" customFormat="false" ht="15.75" hidden="false" customHeight="true" outlineLevel="0" collapsed="false">
      <c r="A367" s="74"/>
      <c r="B367" s="74"/>
      <c r="C367" s="75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</row>
    <row r="368" customFormat="false" ht="15.75" hidden="false" customHeight="true" outlineLevel="0" collapsed="false">
      <c r="A368" s="74"/>
      <c r="B368" s="74"/>
      <c r="C368" s="75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</row>
    <row r="369" customFormat="false" ht="15.75" hidden="false" customHeight="true" outlineLevel="0" collapsed="false">
      <c r="A369" s="74"/>
      <c r="B369" s="74"/>
      <c r="C369" s="75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</row>
    <row r="370" customFormat="false" ht="15.75" hidden="false" customHeight="true" outlineLevel="0" collapsed="false">
      <c r="A370" s="74"/>
      <c r="B370" s="74"/>
      <c r="C370" s="75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</row>
    <row r="371" customFormat="false" ht="15.75" hidden="false" customHeight="true" outlineLevel="0" collapsed="false">
      <c r="A371" s="74"/>
      <c r="B371" s="74"/>
      <c r="C371" s="75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</row>
    <row r="372" customFormat="false" ht="15.75" hidden="false" customHeight="true" outlineLevel="0" collapsed="false">
      <c r="A372" s="74"/>
      <c r="B372" s="74"/>
      <c r="C372" s="75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</row>
    <row r="373" customFormat="false" ht="15.75" hidden="false" customHeight="true" outlineLevel="0" collapsed="false">
      <c r="A373" s="74"/>
      <c r="B373" s="74"/>
      <c r="C373" s="75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</row>
    <row r="374" customFormat="false" ht="15.75" hidden="false" customHeight="true" outlineLevel="0" collapsed="false">
      <c r="A374" s="74"/>
      <c r="B374" s="74"/>
      <c r="C374" s="75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</row>
    <row r="375" customFormat="false" ht="15.75" hidden="false" customHeight="true" outlineLevel="0" collapsed="false">
      <c r="A375" s="74"/>
      <c r="B375" s="74"/>
      <c r="C375" s="75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</row>
    <row r="376" customFormat="false" ht="15.75" hidden="false" customHeight="true" outlineLevel="0" collapsed="false">
      <c r="A376" s="74"/>
      <c r="B376" s="74"/>
      <c r="C376" s="75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</row>
    <row r="377" customFormat="false" ht="15.75" hidden="false" customHeight="true" outlineLevel="0" collapsed="false">
      <c r="A377" s="74"/>
      <c r="B377" s="74"/>
      <c r="C377" s="75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</row>
    <row r="378" customFormat="false" ht="15.75" hidden="false" customHeight="true" outlineLevel="0" collapsed="false">
      <c r="A378" s="74"/>
      <c r="B378" s="74"/>
      <c r="C378" s="75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</row>
    <row r="379" customFormat="false" ht="15.75" hidden="false" customHeight="true" outlineLevel="0" collapsed="false">
      <c r="A379" s="74"/>
      <c r="B379" s="74"/>
      <c r="C379" s="75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</row>
    <row r="380" customFormat="false" ht="15.75" hidden="false" customHeight="true" outlineLevel="0" collapsed="false">
      <c r="A380" s="74"/>
      <c r="B380" s="74"/>
      <c r="C380" s="75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</row>
    <row r="381" customFormat="false" ht="15.75" hidden="false" customHeight="true" outlineLevel="0" collapsed="false">
      <c r="A381" s="74"/>
      <c r="B381" s="74"/>
      <c r="C381" s="75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</row>
    <row r="382" customFormat="false" ht="15.75" hidden="false" customHeight="true" outlineLevel="0" collapsed="false">
      <c r="A382" s="74"/>
      <c r="B382" s="74"/>
      <c r="C382" s="75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</row>
    <row r="383" customFormat="false" ht="15.75" hidden="false" customHeight="true" outlineLevel="0" collapsed="false">
      <c r="A383" s="74"/>
      <c r="B383" s="74"/>
      <c r="C383" s="75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</row>
    <row r="384" customFormat="false" ht="15.75" hidden="false" customHeight="true" outlineLevel="0" collapsed="false">
      <c r="A384" s="74"/>
      <c r="B384" s="74"/>
      <c r="C384" s="75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</row>
    <row r="385" customFormat="false" ht="15.75" hidden="false" customHeight="true" outlineLevel="0" collapsed="false">
      <c r="A385" s="74"/>
      <c r="B385" s="74"/>
      <c r="C385" s="75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</row>
    <row r="386" customFormat="false" ht="15.75" hidden="false" customHeight="true" outlineLevel="0" collapsed="false">
      <c r="A386" s="74"/>
      <c r="B386" s="74"/>
      <c r="C386" s="75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</row>
    <row r="387" customFormat="false" ht="15.75" hidden="false" customHeight="true" outlineLevel="0" collapsed="false">
      <c r="A387" s="74"/>
      <c r="B387" s="74"/>
      <c r="C387" s="75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</row>
    <row r="388" customFormat="false" ht="15.75" hidden="false" customHeight="true" outlineLevel="0" collapsed="false">
      <c r="A388" s="74"/>
      <c r="B388" s="74"/>
      <c r="C388" s="75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</row>
    <row r="389" customFormat="false" ht="15.75" hidden="false" customHeight="true" outlineLevel="0" collapsed="false">
      <c r="A389" s="74"/>
      <c r="B389" s="74"/>
      <c r="C389" s="75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</row>
    <row r="390" customFormat="false" ht="15.75" hidden="false" customHeight="true" outlineLevel="0" collapsed="false">
      <c r="A390" s="74"/>
      <c r="B390" s="74"/>
      <c r="C390" s="75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</row>
    <row r="391" customFormat="false" ht="15.75" hidden="false" customHeight="true" outlineLevel="0" collapsed="false">
      <c r="A391" s="74"/>
      <c r="B391" s="74"/>
      <c r="C391" s="75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</row>
    <row r="392" customFormat="false" ht="15.75" hidden="false" customHeight="true" outlineLevel="0" collapsed="false">
      <c r="A392" s="74"/>
      <c r="B392" s="74"/>
      <c r="C392" s="75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</row>
    <row r="393" customFormat="false" ht="15.75" hidden="false" customHeight="true" outlineLevel="0" collapsed="false">
      <c r="A393" s="74"/>
      <c r="B393" s="74"/>
      <c r="C393" s="75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</row>
    <row r="394" customFormat="false" ht="15.75" hidden="false" customHeight="true" outlineLevel="0" collapsed="false">
      <c r="A394" s="74"/>
      <c r="B394" s="74"/>
      <c r="C394" s="75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</row>
    <row r="395" customFormat="false" ht="15.75" hidden="false" customHeight="true" outlineLevel="0" collapsed="false">
      <c r="A395" s="74"/>
      <c r="B395" s="74"/>
      <c r="C395" s="75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</row>
    <row r="396" customFormat="false" ht="15.75" hidden="false" customHeight="true" outlineLevel="0" collapsed="false">
      <c r="A396" s="74"/>
      <c r="B396" s="74"/>
      <c r="C396" s="75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</row>
    <row r="397" customFormat="false" ht="15.75" hidden="false" customHeight="true" outlineLevel="0" collapsed="false">
      <c r="A397" s="74"/>
      <c r="B397" s="74"/>
      <c r="C397" s="75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</row>
    <row r="398" customFormat="false" ht="15.75" hidden="false" customHeight="true" outlineLevel="0" collapsed="false">
      <c r="A398" s="74"/>
      <c r="B398" s="74"/>
      <c r="C398" s="75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</row>
    <row r="399" customFormat="false" ht="15.75" hidden="false" customHeight="true" outlineLevel="0" collapsed="false">
      <c r="A399" s="74"/>
      <c r="B399" s="74"/>
      <c r="C399" s="75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</row>
    <row r="400" customFormat="false" ht="15.75" hidden="false" customHeight="true" outlineLevel="0" collapsed="false">
      <c r="A400" s="74"/>
      <c r="B400" s="74"/>
      <c r="C400" s="75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</row>
    <row r="401" customFormat="false" ht="15.75" hidden="false" customHeight="true" outlineLevel="0" collapsed="false">
      <c r="A401" s="74"/>
      <c r="B401" s="74"/>
      <c r="C401" s="75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</row>
    <row r="402" customFormat="false" ht="15.75" hidden="false" customHeight="true" outlineLevel="0" collapsed="false">
      <c r="A402" s="74"/>
      <c r="B402" s="74"/>
      <c r="C402" s="75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</row>
    <row r="403" customFormat="false" ht="15.75" hidden="false" customHeight="true" outlineLevel="0" collapsed="false">
      <c r="A403" s="74"/>
      <c r="B403" s="74"/>
      <c r="C403" s="75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</row>
    <row r="404" customFormat="false" ht="15.75" hidden="false" customHeight="true" outlineLevel="0" collapsed="false">
      <c r="A404" s="74"/>
      <c r="B404" s="74"/>
      <c r="C404" s="75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</row>
    <row r="405" customFormat="false" ht="15.75" hidden="false" customHeight="true" outlineLevel="0" collapsed="false">
      <c r="A405" s="74"/>
      <c r="B405" s="74"/>
      <c r="C405" s="75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</row>
    <row r="406" customFormat="false" ht="15.75" hidden="false" customHeight="true" outlineLevel="0" collapsed="false">
      <c r="A406" s="74"/>
      <c r="B406" s="74"/>
      <c r="C406" s="75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</row>
    <row r="407" customFormat="false" ht="15.75" hidden="false" customHeight="true" outlineLevel="0" collapsed="false">
      <c r="A407" s="74"/>
      <c r="B407" s="74"/>
      <c r="C407" s="75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</row>
    <row r="408" customFormat="false" ht="15.75" hidden="false" customHeight="true" outlineLevel="0" collapsed="false">
      <c r="A408" s="74"/>
      <c r="B408" s="74"/>
      <c r="C408" s="75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</row>
    <row r="409" customFormat="false" ht="15.75" hidden="false" customHeight="true" outlineLevel="0" collapsed="false">
      <c r="A409" s="74"/>
      <c r="B409" s="74"/>
      <c r="C409" s="75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</row>
    <row r="410" customFormat="false" ht="15.75" hidden="false" customHeight="true" outlineLevel="0" collapsed="false">
      <c r="A410" s="74"/>
      <c r="B410" s="74"/>
      <c r="C410" s="75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</row>
    <row r="411" customFormat="false" ht="15.75" hidden="false" customHeight="true" outlineLevel="0" collapsed="false">
      <c r="A411" s="74"/>
      <c r="B411" s="74"/>
      <c r="C411" s="75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</row>
    <row r="412" customFormat="false" ht="15.75" hidden="false" customHeight="true" outlineLevel="0" collapsed="false">
      <c r="A412" s="74"/>
      <c r="B412" s="74"/>
      <c r="C412" s="75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</row>
    <row r="413" customFormat="false" ht="15.75" hidden="false" customHeight="true" outlineLevel="0" collapsed="false">
      <c r="A413" s="74"/>
      <c r="B413" s="74"/>
      <c r="C413" s="75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</row>
    <row r="414" customFormat="false" ht="15.75" hidden="false" customHeight="true" outlineLevel="0" collapsed="false">
      <c r="A414" s="74"/>
      <c r="B414" s="74"/>
      <c r="C414" s="75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</row>
    <row r="415" customFormat="false" ht="15.75" hidden="false" customHeight="true" outlineLevel="0" collapsed="false">
      <c r="A415" s="74"/>
      <c r="B415" s="74"/>
      <c r="C415" s="75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</row>
    <row r="416" customFormat="false" ht="15.75" hidden="false" customHeight="true" outlineLevel="0" collapsed="false">
      <c r="A416" s="74"/>
      <c r="B416" s="74"/>
      <c r="C416" s="75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</row>
    <row r="417" customFormat="false" ht="15.75" hidden="false" customHeight="true" outlineLevel="0" collapsed="false">
      <c r="A417" s="74"/>
      <c r="B417" s="74"/>
      <c r="C417" s="75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</row>
    <row r="418" customFormat="false" ht="15.75" hidden="false" customHeight="true" outlineLevel="0" collapsed="false">
      <c r="A418" s="74"/>
      <c r="B418" s="74"/>
      <c r="C418" s="75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</row>
    <row r="419" customFormat="false" ht="15.75" hidden="false" customHeight="true" outlineLevel="0" collapsed="false">
      <c r="A419" s="74"/>
      <c r="B419" s="74"/>
      <c r="C419" s="75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</row>
    <row r="420" customFormat="false" ht="15.75" hidden="false" customHeight="true" outlineLevel="0" collapsed="false">
      <c r="A420" s="74"/>
      <c r="B420" s="74"/>
      <c r="C420" s="75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</row>
    <row r="421" customFormat="false" ht="15.75" hidden="false" customHeight="true" outlineLevel="0" collapsed="false">
      <c r="A421" s="74"/>
      <c r="B421" s="74"/>
      <c r="C421" s="75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</row>
    <row r="422" customFormat="false" ht="15.75" hidden="false" customHeight="true" outlineLevel="0" collapsed="false">
      <c r="A422" s="74"/>
      <c r="B422" s="74"/>
      <c r="C422" s="75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</row>
    <row r="423" customFormat="false" ht="15.75" hidden="false" customHeight="true" outlineLevel="0" collapsed="false">
      <c r="A423" s="74"/>
      <c r="B423" s="74"/>
      <c r="C423" s="75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</row>
    <row r="424" customFormat="false" ht="15.75" hidden="false" customHeight="true" outlineLevel="0" collapsed="false">
      <c r="A424" s="74"/>
      <c r="B424" s="74"/>
      <c r="C424" s="75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</row>
    <row r="425" customFormat="false" ht="15.75" hidden="false" customHeight="true" outlineLevel="0" collapsed="false">
      <c r="A425" s="74"/>
      <c r="B425" s="74"/>
      <c r="C425" s="75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</row>
    <row r="426" customFormat="false" ht="15.75" hidden="false" customHeight="true" outlineLevel="0" collapsed="false">
      <c r="A426" s="74"/>
      <c r="B426" s="74"/>
      <c r="C426" s="75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</row>
    <row r="427" customFormat="false" ht="15.75" hidden="false" customHeight="true" outlineLevel="0" collapsed="false">
      <c r="A427" s="74"/>
      <c r="B427" s="74"/>
      <c r="C427" s="75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</row>
    <row r="428" customFormat="false" ht="15.75" hidden="false" customHeight="true" outlineLevel="0" collapsed="false">
      <c r="A428" s="74"/>
      <c r="B428" s="74"/>
      <c r="C428" s="75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</row>
    <row r="429" customFormat="false" ht="15.75" hidden="false" customHeight="true" outlineLevel="0" collapsed="false">
      <c r="A429" s="74"/>
      <c r="B429" s="74"/>
      <c r="C429" s="75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</row>
    <row r="430" customFormat="false" ht="15.75" hidden="false" customHeight="true" outlineLevel="0" collapsed="false">
      <c r="A430" s="74"/>
      <c r="B430" s="74"/>
      <c r="C430" s="75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</row>
    <row r="431" customFormat="false" ht="15.75" hidden="false" customHeight="true" outlineLevel="0" collapsed="false">
      <c r="A431" s="74"/>
      <c r="B431" s="74"/>
      <c r="C431" s="75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</row>
    <row r="432" customFormat="false" ht="15.75" hidden="false" customHeight="true" outlineLevel="0" collapsed="false">
      <c r="A432" s="74"/>
      <c r="B432" s="74"/>
      <c r="C432" s="75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</row>
    <row r="433" customFormat="false" ht="15.75" hidden="false" customHeight="true" outlineLevel="0" collapsed="false">
      <c r="A433" s="74"/>
      <c r="B433" s="74"/>
      <c r="C433" s="75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</row>
    <row r="434" customFormat="false" ht="15.75" hidden="false" customHeight="true" outlineLevel="0" collapsed="false">
      <c r="A434" s="74"/>
      <c r="B434" s="74"/>
      <c r="C434" s="75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</row>
    <row r="435" customFormat="false" ht="15.75" hidden="false" customHeight="true" outlineLevel="0" collapsed="false">
      <c r="A435" s="74"/>
      <c r="B435" s="74"/>
      <c r="C435" s="75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</row>
    <row r="436" customFormat="false" ht="15.75" hidden="false" customHeight="true" outlineLevel="0" collapsed="false">
      <c r="A436" s="74"/>
      <c r="B436" s="74"/>
      <c r="C436" s="75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</row>
    <row r="437" customFormat="false" ht="15.75" hidden="false" customHeight="true" outlineLevel="0" collapsed="false">
      <c r="A437" s="74"/>
      <c r="B437" s="74"/>
      <c r="C437" s="75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</row>
    <row r="438" customFormat="false" ht="15.75" hidden="false" customHeight="true" outlineLevel="0" collapsed="false">
      <c r="A438" s="74"/>
      <c r="B438" s="74"/>
      <c r="C438" s="75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</row>
    <row r="439" customFormat="false" ht="15.75" hidden="false" customHeight="true" outlineLevel="0" collapsed="false">
      <c r="A439" s="74"/>
      <c r="B439" s="74"/>
      <c r="C439" s="75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</row>
    <row r="440" customFormat="false" ht="15.75" hidden="false" customHeight="true" outlineLevel="0" collapsed="false">
      <c r="A440" s="74"/>
      <c r="B440" s="74"/>
      <c r="C440" s="75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</row>
    <row r="441" customFormat="false" ht="15.75" hidden="false" customHeight="true" outlineLevel="0" collapsed="false">
      <c r="A441" s="74"/>
      <c r="B441" s="74"/>
      <c r="C441" s="75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</row>
    <row r="442" customFormat="false" ht="15.75" hidden="false" customHeight="true" outlineLevel="0" collapsed="false">
      <c r="A442" s="74"/>
      <c r="B442" s="74"/>
      <c r="C442" s="75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</row>
    <row r="443" customFormat="false" ht="15.75" hidden="false" customHeight="true" outlineLevel="0" collapsed="false">
      <c r="A443" s="74"/>
      <c r="B443" s="74"/>
      <c r="C443" s="75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</row>
    <row r="444" customFormat="false" ht="15.75" hidden="false" customHeight="true" outlineLevel="0" collapsed="false">
      <c r="A444" s="74"/>
      <c r="B444" s="74"/>
      <c r="C444" s="75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</row>
    <row r="445" customFormat="false" ht="15.75" hidden="false" customHeight="true" outlineLevel="0" collapsed="false">
      <c r="A445" s="74"/>
      <c r="B445" s="74"/>
      <c r="C445" s="75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</row>
    <row r="446" customFormat="false" ht="15.75" hidden="false" customHeight="true" outlineLevel="0" collapsed="false">
      <c r="A446" s="74"/>
      <c r="B446" s="74"/>
      <c r="C446" s="75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</row>
    <row r="447" customFormat="false" ht="15.75" hidden="false" customHeight="true" outlineLevel="0" collapsed="false">
      <c r="A447" s="74"/>
      <c r="B447" s="74"/>
      <c r="C447" s="75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</row>
    <row r="448" customFormat="false" ht="15.75" hidden="false" customHeight="true" outlineLevel="0" collapsed="false">
      <c r="A448" s="74"/>
      <c r="B448" s="74"/>
      <c r="C448" s="75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</row>
    <row r="449" customFormat="false" ht="15.75" hidden="false" customHeight="true" outlineLevel="0" collapsed="false">
      <c r="A449" s="74"/>
      <c r="B449" s="74"/>
      <c r="C449" s="75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</row>
    <row r="450" customFormat="false" ht="15.75" hidden="false" customHeight="true" outlineLevel="0" collapsed="false">
      <c r="A450" s="74"/>
      <c r="B450" s="74"/>
      <c r="C450" s="75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</row>
    <row r="451" customFormat="false" ht="15.75" hidden="false" customHeight="true" outlineLevel="0" collapsed="false">
      <c r="A451" s="74"/>
      <c r="B451" s="74"/>
      <c r="C451" s="75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</row>
    <row r="452" customFormat="false" ht="15.75" hidden="false" customHeight="true" outlineLevel="0" collapsed="false">
      <c r="A452" s="74"/>
      <c r="B452" s="74"/>
      <c r="C452" s="75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</row>
    <row r="453" customFormat="false" ht="15.75" hidden="false" customHeight="true" outlineLevel="0" collapsed="false">
      <c r="A453" s="74"/>
      <c r="B453" s="74"/>
      <c r="C453" s="75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</row>
    <row r="454" customFormat="false" ht="15.75" hidden="false" customHeight="true" outlineLevel="0" collapsed="false">
      <c r="A454" s="74"/>
      <c r="B454" s="74"/>
      <c r="C454" s="75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</row>
    <row r="455" customFormat="false" ht="15.75" hidden="false" customHeight="true" outlineLevel="0" collapsed="false">
      <c r="A455" s="74"/>
      <c r="B455" s="74"/>
      <c r="C455" s="75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</row>
    <row r="456" customFormat="false" ht="15.75" hidden="false" customHeight="true" outlineLevel="0" collapsed="false">
      <c r="A456" s="74"/>
      <c r="B456" s="74"/>
      <c r="C456" s="75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</row>
    <row r="457" customFormat="false" ht="15.75" hidden="false" customHeight="true" outlineLevel="0" collapsed="false">
      <c r="A457" s="74"/>
      <c r="B457" s="74"/>
      <c r="C457" s="75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</row>
    <row r="458" customFormat="false" ht="15.75" hidden="false" customHeight="true" outlineLevel="0" collapsed="false">
      <c r="A458" s="74"/>
      <c r="B458" s="74"/>
      <c r="C458" s="75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</row>
    <row r="459" customFormat="false" ht="15.75" hidden="false" customHeight="true" outlineLevel="0" collapsed="false">
      <c r="A459" s="74"/>
      <c r="B459" s="74"/>
      <c r="C459" s="75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</row>
    <row r="460" customFormat="false" ht="15.75" hidden="false" customHeight="true" outlineLevel="0" collapsed="false">
      <c r="A460" s="74"/>
      <c r="B460" s="74"/>
      <c r="C460" s="75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</row>
    <row r="461" customFormat="false" ht="15.75" hidden="false" customHeight="true" outlineLevel="0" collapsed="false">
      <c r="A461" s="74"/>
      <c r="B461" s="74"/>
      <c r="C461" s="75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</row>
    <row r="462" customFormat="false" ht="15.75" hidden="false" customHeight="true" outlineLevel="0" collapsed="false">
      <c r="A462" s="74"/>
      <c r="B462" s="74"/>
      <c r="C462" s="75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</row>
    <row r="463" customFormat="false" ht="15.75" hidden="false" customHeight="true" outlineLevel="0" collapsed="false">
      <c r="A463" s="74"/>
      <c r="B463" s="74"/>
      <c r="C463" s="75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</row>
    <row r="464" customFormat="false" ht="15.75" hidden="false" customHeight="true" outlineLevel="0" collapsed="false">
      <c r="A464" s="74"/>
      <c r="B464" s="74"/>
      <c r="C464" s="75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</row>
    <row r="465" customFormat="false" ht="15.75" hidden="false" customHeight="true" outlineLevel="0" collapsed="false">
      <c r="A465" s="74"/>
      <c r="B465" s="74"/>
      <c r="C465" s="75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</row>
    <row r="466" customFormat="false" ht="15.75" hidden="false" customHeight="true" outlineLevel="0" collapsed="false">
      <c r="A466" s="74"/>
      <c r="B466" s="74"/>
      <c r="C466" s="75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</row>
    <row r="467" customFormat="false" ht="15.75" hidden="false" customHeight="true" outlineLevel="0" collapsed="false">
      <c r="A467" s="74"/>
      <c r="B467" s="74"/>
      <c r="C467" s="75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</row>
    <row r="468" customFormat="false" ht="15.75" hidden="false" customHeight="true" outlineLevel="0" collapsed="false">
      <c r="A468" s="74"/>
      <c r="B468" s="74"/>
      <c r="C468" s="75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</row>
    <row r="469" customFormat="false" ht="15.75" hidden="false" customHeight="true" outlineLevel="0" collapsed="false">
      <c r="A469" s="74"/>
      <c r="B469" s="74"/>
      <c r="C469" s="75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</row>
    <row r="470" customFormat="false" ht="15.75" hidden="false" customHeight="true" outlineLevel="0" collapsed="false">
      <c r="A470" s="74"/>
      <c r="B470" s="74"/>
      <c r="C470" s="75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</row>
    <row r="471" customFormat="false" ht="15.75" hidden="false" customHeight="true" outlineLevel="0" collapsed="false">
      <c r="A471" s="74"/>
      <c r="B471" s="74"/>
      <c r="C471" s="75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</row>
    <row r="472" customFormat="false" ht="15.75" hidden="false" customHeight="true" outlineLevel="0" collapsed="false">
      <c r="A472" s="74"/>
      <c r="B472" s="74"/>
      <c r="C472" s="75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</row>
    <row r="473" customFormat="false" ht="15.75" hidden="false" customHeight="true" outlineLevel="0" collapsed="false">
      <c r="A473" s="74"/>
      <c r="B473" s="74"/>
      <c r="C473" s="75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</row>
    <row r="474" customFormat="false" ht="15.75" hidden="false" customHeight="true" outlineLevel="0" collapsed="false">
      <c r="A474" s="74"/>
      <c r="B474" s="74"/>
      <c r="C474" s="75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</row>
    <row r="475" customFormat="false" ht="15.75" hidden="false" customHeight="true" outlineLevel="0" collapsed="false">
      <c r="A475" s="74"/>
      <c r="B475" s="74"/>
      <c r="C475" s="75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</row>
    <row r="476" customFormat="false" ht="15.75" hidden="false" customHeight="true" outlineLevel="0" collapsed="false">
      <c r="A476" s="74"/>
      <c r="B476" s="74"/>
      <c r="C476" s="75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</row>
    <row r="477" customFormat="false" ht="15.75" hidden="false" customHeight="true" outlineLevel="0" collapsed="false">
      <c r="A477" s="74"/>
      <c r="B477" s="74"/>
      <c r="C477" s="75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</row>
    <row r="478" customFormat="false" ht="15.75" hidden="false" customHeight="true" outlineLevel="0" collapsed="false">
      <c r="A478" s="74"/>
      <c r="B478" s="74"/>
      <c r="C478" s="75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</row>
    <row r="479" customFormat="false" ht="15.75" hidden="false" customHeight="true" outlineLevel="0" collapsed="false">
      <c r="A479" s="74"/>
      <c r="B479" s="74"/>
      <c r="C479" s="75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</row>
    <row r="480" customFormat="false" ht="15.75" hidden="false" customHeight="true" outlineLevel="0" collapsed="false">
      <c r="A480" s="74"/>
      <c r="B480" s="74"/>
      <c r="C480" s="75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</row>
    <row r="481" customFormat="false" ht="15.75" hidden="false" customHeight="true" outlineLevel="0" collapsed="false">
      <c r="A481" s="74"/>
      <c r="B481" s="74"/>
      <c r="C481" s="75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</row>
    <row r="482" customFormat="false" ht="15.75" hidden="false" customHeight="true" outlineLevel="0" collapsed="false">
      <c r="A482" s="74"/>
      <c r="B482" s="74"/>
      <c r="C482" s="75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</row>
    <row r="483" customFormat="false" ht="15.75" hidden="false" customHeight="true" outlineLevel="0" collapsed="false">
      <c r="A483" s="74"/>
      <c r="B483" s="74"/>
      <c r="C483" s="75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</row>
    <row r="484" customFormat="false" ht="15.75" hidden="false" customHeight="true" outlineLevel="0" collapsed="false">
      <c r="A484" s="74"/>
      <c r="B484" s="74"/>
      <c r="C484" s="75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</row>
    <row r="485" customFormat="false" ht="15.75" hidden="false" customHeight="true" outlineLevel="0" collapsed="false">
      <c r="A485" s="74"/>
      <c r="B485" s="74"/>
      <c r="C485" s="75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</row>
    <row r="486" customFormat="false" ht="15.75" hidden="false" customHeight="true" outlineLevel="0" collapsed="false">
      <c r="A486" s="74"/>
      <c r="B486" s="74"/>
      <c r="C486" s="75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</row>
    <row r="487" customFormat="false" ht="15.75" hidden="false" customHeight="true" outlineLevel="0" collapsed="false">
      <c r="A487" s="74"/>
      <c r="B487" s="74"/>
      <c r="C487" s="75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</row>
    <row r="488" customFormat="false" ht="15.75" hidden="false" customHeight="true" outlineLevel="0" collapsed="false">
      <c r="A488" s="74"/>
      <c r="B488" s="74"/>
      <c r="C488" s="75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</row>
    <row r="489" customFormat="false" ht="15.75" hidden="false" customHeight="true" outlineLevel="0" collapsed="false">
      <c r="A489" s="74"/>
      <c r="B489" s="74"/>
      <c r="C489" s="75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</row>
    <row r="490" customFormat="false" ht="15.75" hidden="false" customHeight="true" outlineLevel="0" collapsed="false">
      <c r="A490" s="74"/>
      <c r="B490" s="74"/>
      <c r="C490" s="75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</row>
    <row r="491" customFormat="false" ht="15.75" hidden="false" customHeight="true" outlineLevel="0" collapsed="false">
      <c r="A491" s="74"/>
      <c r="B491" s="74"/>
      <c r="C491" s="75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</row>
    <row r="492" customFormat="false" ht="15.75" hidden="false" customHeight="true" outlineLevel="0" collapsed="false">
      <c r="A492" s="74"/>
      <c r="B492" s="74"/>
      <c r="C492" s="75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</row>
    <row r="493" customFormat="false" ht="15.75" hidden="false" customHeight="true" outlineLevel="0" collapsed="false">
      <c r="A493" s="74"/>
      <c r="B493" s="74"/>
      <c r="C493" s="75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</row>
    <row r="494" customFormat="false" ht="15.75" hidden="false" customHeight="true" outlineLevel="0" collapsed="false">
      <c r="A494" s="74"/>
      <c r="B494" s="74"/>
      <c r="C494" s="75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</row>
    <row r="495" customFormat="false" ht="15.75" hidden="false" customHeight="true" outlineLevel="0" collapsed="false">
      <c r="A495" s="74"/>
      <c r="B495" s="74"/>
      <c r="C495" s="75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</row>
    <row r="496" customFormat="false" ht="15.75" hidden="false" customHeight="true" outlineLevel="0" collapsed="false">
      <c r="A496" s="74"/>
      <c r="B496" s="74"/>
      <c r="C496" s="75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</row>
    <row r="497" customFormat="false" ht="15.75" hidden="false" customHeight="true" outlineLevel="0" collapsed="false">
      <c r="A497" s="74"/>
      <c r="B497" s="74"/>
      <c r="C497" s="75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</row>
    <row r="498" customFormat="false" ht="15.75" hidden="false" customHeight="true" outlineLevel="0" collapsed="false">
      <c r="A498" s="74"/>
      <c r="B498" s="74"/>
      <c r="C498" s="75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</row>
    <row r="499" customFormat="false" ht="15.75" hidden="false" customHeight="true" outlineLevel="0" collapsed="false">
      <c r="A499" s="74"/>
      <c r="B499" s="74"/>
      <c r="C499" s="75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</row>
    <row r="500" customFormat="false" ht="15.75" hidden="false" customHeight="true" outlineLevel="0" collapsed="false">
      <c r="A500" s="74"/>
      <c r="B500" s="74"/>
      <c r="C500" s="75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</row>
    <row r="501" customFormat="false" ht="15.75" hidden="false" customHeight="true" outlineLevel="0" collapsed="false">
      <c r="A501" s="74"/>
      <c r="B501" s="74"/>
      <c r="C501" s="75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</row>
    <row r="502" customFormat="false" ht="15.75" hidden="false" customHeight="true" outlineLevel="0" collapsed="false">
      <c r="A502" s="74"/>
      <c r="B502" s="74"/>
      <c r="C502" s="75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</row>
    <row r="503" customFormat="false" ht="15.75" hidden="false" customHeight="true" outlineLevel="0" collapsed="false">
      <c r="A503" s="74"/>
      <c r="B503" s="74"/>
      <c r="C503" s="75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</row>
    <row r="504" customFormat="false" ht="15.75" hidden="false" customHeight="true" outlineLevel="0" collapsed="false">
      <c r="A504" s="74"/>
      <c r="B504" s="74"/>
      <c r="C504" s="75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</row>
    <row r="505" customFormat="false" ht="15.75" hidden="false" customHeight="true" outlineLevel="0" collapsed="false">
      <c r="A505" s="74"/>
      <c r="B505" s="74"/>
      <c r="C505" s="75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</row>
    <row r="506" customFormat="false" ht="15.75" hidden="false" customHeight="true" outlineLevel="0" collapsed="false">
      <c r="A506" s="74"/>
      <c r="B506" s="74"/>
      <c r="C506" s="75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</row>
    <row r="507" customFormat="false" ht="15.75" hidden="false" customHeight="true" outlineLevel="0" collapsed="false">
      <c r="A507" s="74"/>
      <c r="B507" s="74"/>
      <c r="C507" s="75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</row>
    <row r="508" customFormat="false" ht="15.75" hidden="false" customHeight="true" outlineLevel="0" collapsed="false">
      <c r="A508" s="74"/>
      <c r="B508" s="74"/>
      <c r="C508" s="75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</row>
    <row r="509" customFormat="false" ht="15.75" hidden="false" customHeight="true" outlineLevel="0" collapsed="false">
      <c r="A509" s="74"/>
      <c r="B509" s="74"/>
      <c r="C509" s="75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</row>
    <row r="510" customFormat="false" ht="15.75" hidden="false" customHeight="true" outlineLevel="0" collapsed="false">
      <c r="A510" s="74"/>
      <c r="B510" s="74"/>
      <c r="C510" s="75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</row>
    <row r="511" customFormat="false" ht="15.75" hidden="false" customHeight="true" outlineLevel="0" collapsed="false">
      <c r="A511" s="74"/>
      <c r="B511" s="74"/>
      <c r="C511" s="75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</row>
    <row r="512" customFormat="false" ht="15.75" hidden="false" customHeight="true" outlineLevel="0" collapsed="false">
      <c r="A512" s="74"/>
      <c r="B512" s="74"/>
      <c r="C512" s="75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</row>
    <row r="513" customFormat="false" ht="15.75" hidden="false" customHeight="true" outlineLevel="0" collapsed="false">
      <c r="A513" s="74"/>
      <c r="B513" s="74"/>
      <c r="C513" s="75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</row>
    <row r="514" customFormat="false" ht="15.75" hidden="false" customHeight="true" outlineLevel="0" collapsed="false">
      <c r="A514" s="74"/>
      <c r="B514" s="74"/>
      <c r="C514" s="75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</row>
    <row r="515" customFormat="false" ht="15.75" hidden="false" customHeight="true" outlineLevel="0" collapsed="false">
      <c r="A515" s="74"/>
      <c r="B515" s="74"/>
      <c r="C515" s="75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</row>
    <row r="516" customFormat="false" ht="15.75" hidden="false" customHeight="true" outlineLevel="0" collapsed="false">
      <c r="A516" s="74"/>
      <c r="B516" s="74"/>
      <c r="C516" s="75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</row>
    <row r="517" customFormat="false" ht="15.75" hidden="false" customHeight="true" outlineLevel="0" collapsed="false">
      <c r="A517" s="74"/>
      <c r="B517" s="74"/>
      <c r="C517" s="75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</row>
    <row r="518" customFormat="false" ht="15.75" hidden="false" customHeight="true" outlineLevel="0" collapsed="false">
      <c r="A518" s="74"/>
      <c r="B518" s="74"/>
      <c r="C518" s="75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</row>
    <row r="519" customFormat="false" ht="15.75" hidden="false" customHeight="true" outlineLevel="0" collapsed="false">
      <c r="A519" s="74"/>
      <c r="B519" s="74"/>
      <c r="C519" s="75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</row>
    <row r="520" customFormat="false" ht="15.75" hidden="false" customHeight="true" outlineLevel="0" collapsed="false">
      <c r="A520" s="74"/>
      <c r="B520" s="74"/>
      <c r="C520" s="75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</row>
    <row r="521" customFormat="false" ht="15.75" hidden="false" customHeight="true" outlineLevel="0" collapsed="false">
      <c r="A521" s="74"/>
      <c r="B521" s="74"/>
      <c r="C521" s="75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</row>
    <row r="522" customFormat="false" ht="15.75" hidden="false" customHeight="true" outlineLevel="0" collapsed="false">
      <c r="A522" s="74"/>
      <c r="B522" s="74"/>
      <c r="C522" s="75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</row>
    <row r="523" customFormat="false" ht="15.75" hidden="false" customHeight="true" outlineLevel="0" collapsed="false">
      <c r="A523" s="74"/>
      <c r="B523" s="74"/>
      <c r="C523" s="75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</row>
    <row r="524" customFormat="false" ht="15.75" hidden="false" customHeight="true" outlineLevel="0" collapsed="false">
      <c r="A524" s="74"/>
      <c r="B524" s="74"/>
      <c r="C524" s="75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</row>
    <row r="525" customFormat="false" ht="15.75" hidden="false" customHeight="true" outlineLevel="0" collapsed="false">
      <c r="A525" s="74"/>
      <c r="B525" s="74"/>
      <c r="C525" s="75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</row>
    <row r="526" customFormat="false" ht="15.75" hidden="false" customHeight="true" outlineLevel="0" collapsed="false">
      <c r="A526" s="74"/>
      <c r="B526" s="74"/>
      <c r="C526" s="75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</row>
    <row r="527" customFormat="false" ht="15.75" hidden="false" customHeight="true" outlineLevel="0" collapsed="false">
      <c r="A527" s="74"/>
      <c r="B527" s="74"/>
      <c r="C527" s="75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</row>
    <row r="528" customFormat="false" ht="15.75" hidden="false" customHeight="true" outlineLevel="0" collapsed="false">
      <c r="A528" s="74"/>
      <c r="B528" s="74"/>
      <c r="C528" s="75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</row>
    <row r="529" customFormat="false" ht="15.75" hidden="false" customHeight="true" outlineLevel="0" collapsed="false">
      <c r="A529" s="74"/>
      <c r="B529" s="74"/>
      <c r="C529" s="75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</row>
    <row r="530" customFormat="false" ht="15.75" hidden="false" customHeight="true" outlineLevel="0" collapsed="false">
      <c r="A530" s="74"/>
      <c r="B530" s="74"/>
      <c r="C530" s="75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</row>
    <row r="531" customFormat="false" ht="15.75" hidden="false" customHeight="true" outlineLevel="0" collapsed="false">
      <c r="A531" s="74"/>
      <c r="B531" s="74"/>
      <c r="C531" s="75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</row>
    <row r="532" customFormat="false" ht="15.75" hidden="false" customHeight="true" outlineLevel="0" collapsed="false">
      <c r="A532" s="74"/>
      <c r="B532" s="74"/>
      <c r="C532" s="75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</row>
    <row r="533" customFormat="false" ht="15.75" hidden="false" customHeight="true" outlineLevel="0" collapsed="false">
      <c r="A533" s="74"/>
      <c r="B533" s="74"/>
      <c r="C533" s="75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</row>
    <row r="534" customFormat="false" ht="15.75" hidden="false" customHeight="true" outlineLevel="0" collapsed="false">
      <c r="A534" s="74"/>
      <c r="B534" s="74"/>
      <c r="C534" s="75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</row>
    <row r="535" customFormat="false" ht="15.75" hidden="false" customHeight="true" outlineLevel="0" collapsed="false">
      <c r="A535" s="74"/>
      <c r="B535" s="74"/>
      <c r="C535" s="75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</row>
    <row r="536" customFormat="false" ht="15.75" hidden="false" customHeight="true" outlineLevel="0" collapsed="false">
      <c r="A536" s="74"/>
      <c r="B536" s="74"/>
      <c r="C536" s="75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</row>
    <row r="537" customFormat="false" ht="15.75" hidden="false" customHeight="true" outlineLevel="0" collapsed="false">
      <c r="A537" s="74"/>
      <c r="B537" s="74"/>
      <c r="C537" s="75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</row>
    <row r="538" customFormat="false" ht="15.75" hidden="false" customHeight="true" outlineLevel="0" collapsed="false">
      <c r="A538" s="74"/>
      <c r="B538" s="74"/>
      <c r="C538" s="75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</row>
    <row r="539" customFormat="false" ht="15.75" hidden="false" customHeight="true" outlineLevel="0" collapsed="false">
      <c r="A539" s="74"/>
      <c r="B539" s="74"/>
      <c r="C539" s="75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</row>
    <row r="540" customFormat="false" ht="15.75" hidden="false" customHeight="true" outlineLevel="0" collapsed="false">
      <c r="A540" s="74"/>
      <c r="B540" s="74"/>
      <c r="C540" s="75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</row>
    <row r="541" customFormat="false" ht="15.75" hidden="false" customHeight="true" outlineLevel="0" collapsed="false">
      <c r="A541" s="74"/>
      <c r="B541" s="74"/>
      <c r="C541" s="75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</row>
    <row r="542" customFormat="false" ht="15.75" hidden="false" customHeight="true" outlineLevel="0" collapsed="false">
      <c r="A542" s="74"/>
      <c r="B542" s="74"/>
      <c r="C542" s="75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</row>
    <row r="543" customFormat="false" ht="15.75" hidden="false" customHeight="true" outlineLevel="0" collapsed="false">
      <c r="A543" s="74"/>
      <c r="B543" s="74"/>
      <c r="C543" s="75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</row>
    <row r="544" customFormat="false" ht="15.75" hidden="false" customHeight="true" outlineLevel="0" collapsed="false">
      <c r="A544" s="74"/>
      <c r="B544" s="74"/>
      <c r="C544" s="75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</row>
    <row r="545" customFormat="false" ht="15.75" hidden="false" customHeight="true" outlineLevel="0" collapsed="false">
      <c r="A545" s="74"/>
      <c r="B545" s="74"/>
      <c r="C545" s="75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</row>
    <row r="546" customFormat="false" ht="15.75" hidden="false" customHeight="true" outlineLevel="0" collapsed="false">
      <c r="A546" s="74"/>
      <c r="B546" s="74"/>
      <c r="C546" s="75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</row>
    <row r="547" customFormat="false" ht="15.75" hidden="false" customHeight="true" outlineLevel="0" collapsed="false">
      <c r="A547" s="74"/>
      <c r="B547" s="74"/>
      <c r="C547" s="75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</row>
    <row r="548" customFormat="false" ht="15.75" hidden="false" customHeight="true" outlineLevel="0" collapsed="false">
      <c r="A548" s="74"/>
      <c r="B548" s="74"/>
      <c r="C548" s="75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</row>
    <row r="549" customFormat="false" ht="15.75" hidden="false" customHeight="true" outlineLevel="0" collapsed="false">
      <c r="A549" s="74"/>
      <c r="B549" s="74"/>
      <c r="C549" s="75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</row>
    <row r="550" customFormat="false" ht="15.75" hidden="false" customHeight="true" outlineLevel="0" collapsed="false">
      <c r="A550" s="74"/>
      <c r="B550" s="74"/>
      <c r="C550" s="75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</row>
    <row r="551" customFormat="false" ht="15.75" hidden="false" customHeight="true" outlineLevel="0" collapsed="false">
      <c r="A551" s="74"/>
      <c r="B551" s="74"/>
      <c r="C551" s="75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</row>
    <row r="552" customFormat="false" ht="15.75" hidden="false" customHeight="true" outlineLevel="0" collapsed="false">
      <c r="A552" s="74"/>
      <c r="B552" s="74"/>
      <c r="C552" s="75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</row>
    <row r="553" customFormat="false" ht="15.75" hidden="false" customHeight="true" outlineLevel="0" collapsed="false">
      <c r="A553" s="74"/>
      <c r="B553" s="74"/>
      <c r="C553" s="75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</row>
    <row r="554" customFormat="false" ht="15.75" hidden="false" customHeight="true" outlineLevel="0" collapsed="false">
      <c r="A554" s="74"/>
      <c r="B554" s="74"/>
      <c r="C554" s="75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</row>
    <row r="555" customFormat="false" ht="15.75" hidden="false" customHeight="true" outlineLevel="0" collapsed="false">
      <c r="A555" s="74"/>
      <c r="B555" s="74"/>
      <c r="C555" s="75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</row>
    <row r="556" customFormat="false" ht="15.75" hidden="false" customHeight="true" outlineLevel="0" collapsed="false">
      <c r="A556" s="74"/>
      <c r="B556" s="74"/>
      <c r="C556" s="75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</row>
    <row r="557" customFormat="false" ht="15.75" hidden="false" customHeight="true" outlineLevel="0" collapsed="false">
      <c r="A557" s="74"/>
      <c r="B557" s="74"/>
      <c r="C557" s="75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</row>
    <row r="558" customFormat="false" ht="15.75" hidden="false" customHeight="true" outlineLevel="0" collapsed="false">
      <c r="A558" s="74"/>
      <c r="B558" s="74"/>
      <c r="C558" s="75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</row>
    <row r="559" customFormat="false" ht="15.75" hidden="false" customHeight="true" outlineLevel="0" collapsed="false">
      <c r="A559" s="74"/>
      <c r="B559" s="74"/>
      <c r="C559" s="75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</row>
    <row r="560" customFormat="false" ht="15.75" hidden="false" customHeight="true" outlineLevel="0" collapsed="false">
      <c r="A560" s="74"/>
      <c r="B560" s="74"/>
      <c r="C560" s="75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</row>
    <row r="561" customFormat="false" ht="15.75" hidden="false" customHeight="true" outlineLevel="0" collapsed="false">
      <c r="A561" s="74"/>
      <c r="B561" s="74"/>
      <c r="C561" s="75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</row>
    <row r="562" customFormat="false" ht="15.75" hidden="false" customHeight="true" outlineLevel="0" collapsed="false">
      <c r="A562" s="74"/>
      <c r="B562" s="74"/>
      <c r="C562" s="75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</row>
    <row r="563" customFormat="false" ht="15.75" hidden="false" customHeight="true" outlineLevel="0" collapsed="false">
      <c r="A563" s="74"/>
      <c r="B563" s="74"/>
      <c r="C563" s="75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</row>
    <row r="564" customFormat="false" ht="15.75" hidden="false" customHeight="true" outlineLevel="0" collapsed="false">
      <c r="A564" s="74"/>
      <c r="B564" s="74"/>
      <c r="C564" s="75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</row>
    <row r="565" customFormat="false" ht="15.75" hidden="false" customHeight="true" outlineLevel="0" collapsed="false">
      <c r="A565" s="74"/>
      <c r="B565" s="74"/>
      <c r="C565" s="75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</row>
    <row r="566" customFormat="false" ht="15.75" hidden="false" customHeight="true" outlineLevel="0" collapsed="false">
      <c r="A566" s="74"/>
      <c r="B566" s="74"/>
      <c r="C566" s="75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</row>
    <row r="567" customFormat="false" ht="15.75" hidden="false" customHeight="true" outlineLevel="0" collapsed="false">
      <c r="A567" s="74"/>
      <c r="B567" s="74"/>
      <c r="C567" s="75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</row>
    <row r="568" customFormat="false" ht="15.75" hidden="false" customHeight="true" outlineLevel="0" collapsed="false">
      <c r="A568" s="74"/>
      <c r="B568" s="74"/>
      <c r="C568" s="75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</row>
    <row r="569" customFormat="false" ht="15.75" hidden="false" customHeight="true" outlineLevel="0" collapsed="false">
      <c r="A569" s="74"/>
      <c r="B569" s="74"/>
      <c r="C569" s="75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</row>
    <row r="570" customFormat="false" ht="15.75" hidden="false" customHeight="true" outlineLevel="0" collapsed="false">
      <c r="A570" s="74"/>
      <c r="B570" s="74"/>
      <c r="C570" s="75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</row>
    <row r="571" customFormat="false" ht="15.75" hidden="false" customHeight="true" outlineLevel="0" collapsed="false">
      <c r="A571" s="74"/>
      <c r="B571" s="74"/>
      <c r="C571" s="75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</row>
    <row r="572" customFormat="false" ht="15.75" hidden="false" customHeight="true" outlineLevel="0" collapsed="false">
      <c r="A572" s="74"/>
      <c r="B572" s="74"/>
      <c r="C572" s="75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</row>
    <row r="573" customFormat="false" ht="15.75" hidden="false" customHeight="true" outlineLevel="0" collapsed="false">
      <c r="A573" s="74"/>
      <c r="B573" s="74"/>
      <c r="C573" s="75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</row>
    <row r="574" customFormat="false" ht="15.75" hidden="false" customHeight="true" outlineLevel="0" collapsed="false">
      <c r="A574" s="74"/>
      <c r="B574" s="74"/>
      <c r="C574" s="75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</row>
    <row r="575" customFormat="false" ht="15.75" hidden="false" customHeight="true" outlineLevel="0" collapsed="false">
      <c r="A575" s="74"/>
      <c r="B575" s="74"/>
      <c r="C575" s="75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</row>
    <row r="576" customFormat="false" ht="15.75" hidden="false" customHeight="true" outlineLevel="0" collapsed="false">
      <c r="A576" s="74"/>
      <c r="B576" s="74"/>
      <c r="C576" s="75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</row>
    <row r="577" customFormat="false" ht="15.75" hidden="false" customHeight="true" outlineLevel="0" collapsed="false">
      <c r="A577" s="74"/>
      <c r="B577" s="74"/>
      <c r="C577" s="75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</row>
    <row r="578" customFormat="false" ht="15.75" hidden="false" customHeight="true" outlineLevel="0" collapsed="false">
      <c r="A578" s="74"/>
      <c r="B578" s="74"/>
      <c r="C578" s="75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</row>
    <row r="579" customFormat="false" ht="15.75" hidden="false" customHeight="true" outlineLevel="0" collapsed="false">
      <c r="A579" s="74"/>
      <c r="B579" s="74"/>
      <c r="C579" s="75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</row>
    <row r="580" customFormat="false" ht="15.75" hidden="false" customHeight="true" outlineLevel="0" collapsed="false">
      <c r="A580" s="74"/>
      <c r="B580" s="74"/>
      <c r="C580" s="75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</row>
    <row r="581" customFormat="false" ht="15.75" hidden="false" customHeight="true" outlineLevel="0" collapsed="false">
      <c r="A581" s="74"/>
      <c r="B581" s="74"/>
      <c r="C581" s="75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</row>
    <row r="582" customFormat="false" ht="15.75" hidden="false" customHeight="true" outlineLevel="0" collapsed="false">
      <c r="A582" s="74"/>
      <c r="B582" s="74"/>
      <c r="C582" s="75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</row>
    <row r="583" customFormat="false" ht="15.75" hidden="false" customHeight="true" outlineLevel="0" collapsed="false">
      <c r="A583" s="74"/>
      <c r="B583" s="74"/>
      <c r="C583" s="75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</row>
    <row r="584" customFormat="false" ht="15.75" hidden="false" customHeight="true" outlineLevel="0" collapsed="false">
      <c r="A584" s="74"/>
      <c r="B584" s="74"/>
      <c r="C584" s="75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</row>
    <row r="585" customFormat="false" ht="15.75" hidden="false" customHeight="true" outlineLevel="0" collapsed="false">
      <c r="A585" s="74"/>
      <c r="B585" s="74"/>
      <c r="C585" s="75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</row>
    <row r="586" customFormat="false" ht="15.75" hidden="false" customHeight="true" outlineLevel="0" collapsed="false">
      <c r="A586" s="74"/>
      <c r="B586" s="74"/>
      <c r="C586" s="75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</row>
    <row r="587" customFormat="false" ht="15.75" hidden="false" customHeight="true" outlineLevel="0" collapsed="false">
      <c r="A587" s="74"/>
      <c r="B587" s="74"/>
      <c r="C587" s="75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</row>
    <row r="588" customFormat="false" ht="15.75" hidden="false" customHeight="true" outlineLevel="0" collapsed="false">
      <c r="A588" s="74"/>
      <c r="B588" s="74"/>
      <c r="C588" s="75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</row>
    <row r="589" customFormat="false" ht="15.75" hidden="false" customHeight="true" outlineLevel="0" collapsed="false">
      <c r="A589" s="74"/>
      <c r="B589" s="74"/>
      <c r="C589" s="75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</row>
    <row r="590" customFormat="false" ht="15.75" hidden="false" customHeight="true" outlineLevel="0" collapsed="false">
      <c r="A590" s="74"/>
      <c r="B590" s="74"/>
      <c r="C590" s="75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</row>
    <row r="591" customFormat="false" ht="15.75" hidden="false" customHeight="true" outlineLevel="0" collapsed="false">
      <c r="A591" s="74"/>
      <c r="B591" s="74"/>
      <c r="C591" s="75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</row>
    <row r="592" customFormat="false" ht="15.75" hidden="false" customHeight="true" outlineLevel="0" collapsed="false">
      <c r="A592" s="74"/>
      <c r="B592" s="74"/>
      <c r="C592" s="75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</row>
    <row r="593" customFormat="false" ht="15.75" hidden="false" customHeight="true" outlineLevel="0" collapsed="false">
      <c r="A593" s="74"/>
      <c r="B593" s="74"/>
      <c r="C593" s="75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</row>
    <row r="594" customFormat="false" ht="15.75" hidden="false" customHeight="true" outlineLevel="0" collapsed="false">
      <c r="A594" s="74"/>
      <c r="B594" s="74"/>
      <c r="C594" s="75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</row>
    <row r="595" customFormat="false" ht="15.75" hidden="false" customHeight="true" outlineLevel="0" collapsed="false">
      <c r="A595" s="74"/>
      <c r="B595" s="74"/>
      <c r="C595" s="75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</row>
    <row r="596" customFormat="false" ht="15.75" hidden="false" customHeight="true" outlineLevel="0" collapsed="false">
      <c r="A596" s="74"/>
      <c r="B596" s="74"/>
      <c r="C596" s="75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</row>
    <row r="597" customFormat="false" ht="15.75" hidden="false" customHeight="true" outlineLevel="0" collapsed="false">
      <c r="A597" s="74"/>
      <c r="B597" s="74"/>
      <c r="C597" s="75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</row>
    <row r="598" customFormat="false" ht="15.75" hidden="false" customHeight="true" outlineLevel="0" collapsed="false">
      <c r="A598" s="74"/>
      <c r="B598" s="74"/>
      <c r="C598" s="75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</row>
    <row r="599" customFormat="false" ht="15.75" hidden="false" customHeight="true" outlineLevel="0" collapsed="false">
      <c r="A599" s="74"/>
      <c r="B599" s="74"/>
      <c r="C599" s="75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</row>
    <row r="600" customFormat="false" ht="15.75" hidden="false" customHeight="true" outlineLevel="0" collapsed="false">
      <c r="A600" s="74"/>
      <c r="B600" s="74"/>
      <c r="C600" s="75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</row>
    <row r="601" customFormat="false" ht="15.75" hidden="false" customHeight="true" outlineLevel="0" collapsed="false">
      <c r="A601" s="74"/>
      <c r="B601" s="74"/>
      <c r="C601" s="75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</row>
    <row r="602" customFormat="false" ht="15.75" hidden="false" customHeight="true" outlineLevel="0" collapsed="false">
      <c r="A602" s="74"/>
      <c r="B602" s="74"/>
      <c r="C602" s="75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</row>
    <row r="603" customFormat="false" ht="15.75" hidden="false" customHeight="true" outlineLevel="0" collapsed="false">
      <c r="A603" s="74"/>
      <c r="B603" s="74"/>
      <c r="C603" s="75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</row>
    <row r="604" customFormat="false" ht="15.75" hidden="false" customHeight="true" outlineLevel="0" collapsed="false">
      <c r="A604" s="74"/>
      <c r="B604" s="74"/>
      <c r="C604" s="75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</row>
    <row r="605" customFormat="false" ht="15.75" hidden="false" customHeight="true" outlineLevel="0" collapsed="false">
      <c r="A605" s="74"/>
      <c r="B605" s="74"/>
      <c r="C605" s="75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</row>
    <row r="606" customFormat="false" ht="15.75" hidden="false" customHeight="true" outlineLevel="0" collapsed="false">
      <c r="A606" s="74"/>
      <c r="B606" s="74"/>
      <c r="C606" s="75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</row>
    <row r="607" customFormat="false" ht="15.75" hidden="false" customHeight="true" outlineLevel="0" collapsed="false">
      <c r="A607" s="74"/>
      <c r="B607" s="74"/>
      <c r="C607" s="75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</row>
    <row r="608" customFormat="false" ht="15.75" hidden="false" customHeight="true" outlineLevel="0" collapsed="false">
      <c r="A608" s="74"/>
      <c r="B608" s="74"/>
      <c r="C608" s="75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</row>
    <row r="609" customFormat="false" ht="15.75" hidden="false" customHeight="true" outlineLevel="0" collapsed="false">
      <c r="A609" s="74"/>
      <c r="B609" s="74"/>
      <c r="C609" s="75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</row>
    <row r="610" customFormat="false" ht="15.75" hidden="false" customHeight="true" outlineLevel="0" collapsed="false">
      <c r="A610" s="74"/>
      <c r="B610" s="74"/>
      <c r="C610" s="75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</row>
    <row r="611" customFormat="false" ht="15.75" hidden="false" customHeight="true" outlineLevel="0" collapsed="false">
      <c r="A611" s="74"/>
      <c r="B611" s="74"/>
      <c r="C611" s="75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</row>
    <row r="612" customFormat="false" ht="15.75" hidden="false" customHeight="true" outlineLevel="0" collapsed="false">
      <c r="A612" s="74"/>
      <c r="B612" s="74"/>
      <c r="C612" s="75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</row>
    <row r="613" customFormat="false" ht="15.75" hidden="false" customHeight="true" outlineLevel="0" collapsed="false">
      <c r="A613" s="74"/>
      <c r="B613" s="74"/>
      <c r="C613" s="75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</row>
    <row r="614" customFormat="false" ht="15.75" hidden="false" customHeight="true" outlineLevel="0" collapsed="false">
      <c r="A614" s="74"/>
      <c r="B614" s="74"/>
      <c r="C614" s="75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</row>
    <row r="615" customFormat="false" ht="15.75" hidden="false" customHeight="true" outlineLevel="0" collapsed="false">
      <c r="A615" s="74"/>
      <c r="B615" s="74"/>
      <c r="C615" s="75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</row>
    <row r="616" customFormat="false" ht="15.75" hidden="false" customHeight="true" outlineLevel="0" collapsed="false">
      <c r="A616" s="74"/>
      <c r="B616" s="74"/>
      <c r="C616" s="75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</row>
    <row r="617" customFormat="false" ht="15.75" hidden="false" customHeight="true" outlineLevel="0" collapsed="false">
      <c r="A617" s="74"/>
      <c r="B617" s="74"/>
      <c r="C617" s="75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</row>
    <row r="618" customFormat="false" ht="15.75" hidden="false" customHeight="true" outlineLevel="0" collapsed="false">
      <c r="A618" s="74"/>
      <c r="B618" s="74"/>
      <c r="C618" s="75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</row>
    <row r="619" customFormat="false" ht="15.75" hidden="false" customHeight="true" outlineLevel="0" collapsed="false">
      <c r="A619" s="74"/>
      <c r="B619" s="74"/>
      <c r="C619" s="75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</row>
    <row r="620" customFormat="false" ht="15.75" hidden="false" customHeight="true" outlineLevel="0" collapsed="false">
      <c r="A620" s="74"/>
      <c r="B620" s="74"/>
      <c r="C620" s="75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</row>
    <row r="621" customFormat="false" ht="15.75" hidden="false" customHeight="true" outlineLevel="0" collapsed="false">
      <c r="A621" s="74"/>
      <c r="B621" s="74"/>
      <c r="C621" s="75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</row>
    <row r="622" customFormat="false" ht="15.75" hidden="false" customHeight="true" outlineLevel="0" collapsed="false">
      <c r="A622" s="74"/>
      <c r="B622" s="74"/>
      <c r="C622" s="75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</row>
    <row r="623" customFormat="false" ht="15.75" hidden="false" customHeight="true" outlineLevel="0" collapsed="false">
      <c r="A623" s="74"/>
      <c r="B623" s="74"/>
      <c r="C623" s="75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</row>
    <row r="624" customFormat="false" ht="15.75" hidden="false" customHeight="true" outlineLevel="0" collapsed="false">
      <c r="A624" s="74"/>
      <c r="B624" s="74"/>
      <c r="C624" s="75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</row>
    <row r="625" customFormat="false" ht="15.75" hidden="false" customHeight="true" outlineLevel="0" collapsed="false">
      <c r="A625" s="74"/>
      <c r="B625" s="74"/>
      <c r="C625" s="75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</row>
    <row r="626" customFormat="false" ht="15.75" hidden="false" customHeight="true" outlineLevel="0" collapsed="false">
      <c r="A626" s="74"/>
      <c r="B626" s="74"/>
      <c r="C626" s="75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</row>
    <row r="627" customFormat="false" ht="15.75" hidden="false" customHeight="true" outlineLevel="0" collapsed="false">
      <c r="A627" s="74"/>
      <c r="B627" s="74"/>
      <c r="C627" s="75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</row>
    <row r="628" customFormat="false" ht="15.75" hidden="false" customHeight="true" outlineLevel="0" collapsed="false">
      <c r="A628" s="74"/>
      <c r="B628" s="74"/>
      <c r="C628" s="75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</row>
    <row r="629" customFormat="false" ht="15.75" hidden="false" customHeight="true" outlineLevel="0" collapsed="false">
      <c r="A629" s="74"/>
      <c r="B629" s="74"/>
      <c r="C629" s="75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</row>
    <row r="630" customFormat="false" ht="15.75" hidden="false" customHeight="true" outlineLevel="0" collapsed="false">
      <c r="A630" s="74"/>
      <c r="B630" s="74"/>
      <c r="C630" s="75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</row>
    <row r="631" customFormat="false" ht="15.75" hidden="false" customHeight="true" outlineLevel="0" collapsed="false">
      <c r="A631" s="74"/>
      <c r="B631" s="74"/>
      <c r="C631" s="75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</row>
    <row r="632" customFormat="false" ht="15.75" hidden="false" customHeight="true" outlineLevel="0" collapsed="false">
      <c r="A632" s="74"/>
      <c r="B632" s="74"/>
      <c r="C632" s="75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</row>
    <row r="633" customFormat="false" ht="15.75" hidden="false" customHeight="true" outlineLevel="0" collapsed="false">
      <c r="A633" s="74"/>
      <c r="B633" s="74"/>
      <c r="C633" s="75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</row>
    <row r="634" customFormat="false" ht="15.75" hidden="false" customHeight="true" outlineLevel="0" collapsed="false">
      <c r="A634" s="74"/>
      <c r="B634" s="74"/>
      <c r="C634" s="75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</row>
    <row r="635" customFormat="false" ht="15.75" hidden="false" customHeight="true" outlineLevel="0" collapsed="false">
      <c r="A635" s="74"/>
      <c r="B635" s="74"/>
      <c r="C635" s="75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</row>
    <row r="636" customFormat="false" ht="15.75" hidden="false" customHeight="true" outlineLevel="0" collapsed="false">
      <c r="A636" s="74"/>
      <c r="B636" s="74"/>
      <c r="C636" s="75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</row>
    <row r="637" customFormat="false" ht="15.75" hidden="false" customHeight="true" outlineLevel="0" collapsed="false">
      <c r="A637" s="74"/>
      <c r="B637" s="74"/>
      <c r="C637" s="75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</row>
    <row r="638" customFormat="false" ht="15.75" hidden="false" customHeight="true" outlineLevel="0" collapsed="false">
      <c r="A638" s="74"/>
      <c r="B638" s="74"/>
      <c r="C638" s="75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</row>
    <row r="639" customFormat="false" ht="15.75" hidden="false" customHeight="true" outlineLevel="0" collapsed="false">
      <c r="A639" s="74"/>
      <c r="B639" s="74"/>
      <c r="C639" s="75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</row>
    <row r="640" customFormat="false" ht="15.75" hidden="false" customHeight="true" outlineLevel="0" collapsed="false">
      <c r="A640" s="74"/>
      <c r="B640" s="74"/>
      <c r="C640" s="75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</row>
    <row r="641" customFormat="false" ht="15.75" hidden="false" customHeight="true" outlineLevel="0" collapsed="false">
      <c r="A641" s="74"/>
      <c r="B641" s="74"/>
      <c r="C641" s="75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</row>
    <row r="642" customFormat="false" ht="15.75" hidden="false" customHeight="true" outlineLevel="0" collapsed="false">
      <c r="A642" s="74"/>
      <c r="B642" s="74"/>
      <c r="C642" s="75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</row>
    <row r="643" customFormat="false" ht="15.75" hidden="false" customHeight="true" outlineLevel="0" collapsed="false">
      <c r="A643" s="74"/>
      <c r="B643" s="74"/>
      <c r="C643" s="75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</row>
    <row r="644" customFormat="false" ht="15.75" hidden="false" customHeight="true" outlineLevel="0" collapsed="false">
      <c r="A644" s="74"/>
      <c r="B644" s="74"/>
      <c r="C644" s="75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</row>
    <row r="645" customFormat="false" ht="15.75" hidden="false" customHeight="true" outlineLevel="0" collapsed="false">
      <c r="A645" s="74"/>
      <c r="B645" s="74"/>
      <c r="C645" s="75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</row>
    <row r="646" customFormat="false" ht="15.75" hidden="false" customHeight="true" outlineLevel="0" collapsed="false">
      <c r="A646" s="74"/>
      <c r="B646" s="74"/>
      <c r="C646" s="75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</row>
    <row r="647" customFormat="false" ht="15.75" hidden="false" customHeight="true" outlineLevel="0" collapsed="false">
      <c r="A647" s="74"/>
      <c r="B647" s="74"/>
      <c r="C647" s="75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</row>
    <row r="648" customFormat="false" ht="15.75" hidden="false" customHeight="true" outlineLevel="0" collapsed="false">
      <c r="A648" s="74"/>
      <c r="B648" s="74"/>
      <c r="C648" s="75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</row>
    <row r="649" customFormat="false" ht="15.75" hidden="false" customHeight="true" outlineLevel="0" collapsed="false">
      <c r="A649" s="74"/>
      <c r="B649" s="74"/>
      <c r="C649" s="75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</row>
    <row r="650" customFormat="false" ht="15.75" hidden="false" customHeight="true" outlineLevel="0" collapsed="false">
      <c r="A650" s="74"/>
      <c r="B650" s="74"/>
      <c r="C650" s="75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</row>
    <row r="651" customFormat="false" ht="15.75" hidden="false" customHeight="true" outlineLevel="0" collapsed="false">
      <c r="A651" s="74"/>
      <c r="B651" s="74"/>
      <c r="C651" s="75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</row>
    <row r="652" customFormat="false" ht="15.75" hidden="false" customHeight="true" outlineLevel="0" collapsed="false">
      <c r="A652" s="74"/>
      <c r="B652" s="74"/>
      <c r="C652" s="75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</row>
    <row r="653" customFormat="false" ht="15.75" hidden="false" customHeight="true" outlineLevel="0" collapsed="false">
      <c r="A653" s="74"/>
      <c r="B653" s="74"/>
      <c r="C653" s="75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</row>
    <row r="654" customFormat="false" ht="15.75" hidden="false" customHeight="true" outlineLevel="0" collapsed="false">
      <c r="A654" s="74"/>
      <c r="B654" s="74"/>
      <c r="C654" s="75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</row>
    <row r="655" customFormat="false" ht="15.75" hidden="false" customHeight="true" outlineLevel="0" collapsed="false">
      <c r="A655" s="74"/>
      <c r="B655" s="74"/>
      <c r="C655" s="75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</row>
    <row r="656" customFormat="false" ht="15.75" hidden="false" customHeight="true" outlineLevel="0" collapsed="false">
      <c r="A656" s="74"/>
      <c r="B656" s="74"/>
      <c r="C656" s="75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</row>
    <row r="657" customFormat="false" ht="15.75" hidden="false" customHeight="true" outlineLevel="0" collapsed="false">
      <c r="A657" s="74"/>
      <c r="B657" s="74"/>
      <c r="C657" s="75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</row>
    <row r="658" customFormat="false" ht="15.75" hidden="false" customHeight="true" outlineLevel="0" collapsed="false">
      <c r="A658" s="74"/>
      <c r="B658" s="74"/>
      <c r="C658" s="75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</row>
    <row r="659" customFormat="false" ht="15.75" hidden="false" customHeight="true" outlineLevel="0" collapsed="false">
      <c r="A659" s="74"/>
      <c r="B659" s="74"/>
      <c r="C659" s="75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</row>
    <row r="660" customFormat="false" ht="15.75" hidden="false" customHeight="true" outlineLevel="0" collapsed="false">
      <c r="A660" s="74"/>
      <c r="B660" s="74"/>
      <c r="C660" s="75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</row>
    <row r="661" customFormat="false" ht="15.75" hidden="false" customHeight="true" outlineLevel="0" collapsed="false">
      <c r="A661" s="74"/>
      <c r="B661" s="74"/>
      <c r="C661" s="75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</row>
    <row r="662" customFormat="false" ht="15.75" hidden="false" customHeight="true" outlineLevel="0" collapsed="false">
      <c r="A662" s="74"/>
      <c r="B662" s="74"/>
      <c r="C662" s="75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</row>
    <row r="663" customFormat="false" ht="15.75" hidden="false" customHeight="true" outlineLevel="0" collapsed="false">
      <c r="A663" s="74"/>
      <c r="B663" s="74"/>
      <c r="C663" s="75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</row>
    <row r="664" customFormat="false" ht="15.75" hidden="false" customHeight="true" outlineLevel="0" collapsed="false">
      <c r="A664" s="74"/>
      <c r="B664" s="74"/>
      <c r="C664" s="75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</row>
    <row r="665" customFormat="false" ht="15.75" hidden="false" customHeight="true" outlineLevel="0" collapsed="false">
      <c r="A665" s="74"/>
      <c r="B665" s="74"/>
      <c r="C665" s="75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</row>
    <row r="666" customFormat="false" ht="15.75" hidden="false" customHeight="true" outlineLevel="0" collapsed="false">
      <c r="A666" s="74"/>
      <c r="B666" s="74"/>
      <c r="C666" s="75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</row>
    <row r="667" customFormat="false" ht="15.75" hidden="false" customHeight="true" outlineLevel="0" collapsed="false">
      <c r="A667" s="74"/>
      <c r="B667" s="74"/>
      <c r="C667" s="75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</row>
    <row r="668" customFormat="false" ht="15.75" hidden="false" customHeight="true" outlineLevel="0" collapsed="false">
      <c r="A668" s="74"/>
      <c r="B668" s="74"/>
      <c r="C668" s="75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</row>
    <row r="669" customFormat="false" ht="15.75" hidden="false" customHeight="true" outlineLevel="0" collapsed="false">
      <c r="A669" s="74"/>
      <c r="B669" s="74"/>
      <c r="C669" s="75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</row>
    <row r="670" customFormat="false" ht="15.75" hidden="false" customHeight="true" outlineLevel="0" collapsed="false">
      <c r="A670" s="74"/>
      <c r="B670" s="74"/>
      <c r="C670" s="75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</row>
    <row r="671" customFormat="false" ht="15.75" hidden="false" customHeight="true" outlineLevel="0" collapsed="false">
      <c r="A671" s="74"/>
      <c r="B671" s="74"/>
      <c r="C671" s="75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</row>
    <row r="672" customFormat="false" ht="15.75" hidden="false" customHeight="true" outlineLevel="0" collapsed="false">
      <c r="A672" s="74"/>
      <c r="B672" s="74"/>
      <c r="C672" s="75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</row>
    <row r="673" customFormat="false" ht="15.75" hidden="false" customHeight="true" outlineLevel="0" collapsed="false">
      <c r="A673" s="74"/>
      <c r="B673" s="74"/>
      <c r="C673" s="75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</row>
    <row r="674" customFormat="false" ht="15.75" hidden="false" customHeight="true" outlineLevel="0" collapsed="false">
      <c r="A674" s="74"/>
      <c r="B674" s="74"/>
      <c r="C674" s="75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</row>
    <row r="675" customFormat="false" ht="15.75" hidden="false" customHeight="true" outlineLevel="0" collapsed="false">
      <c r="A675" s="74"/>
      <c r="B675" s="74"/>
      <c r="C675" s="75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</row>
    <row r="676" customFormat="false" ht="15.75" hidden="false" customHeight="true" outlineLevel="0" collapsed="false">
      <c r="A676" s="74"/>
      <c r="B676" s="74"/>
      <c r="C676" s="75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</row>
    <row r="677" customFormat="false" ht="15.75" hidden="false" customHeight="true" outlineLevel="0" collapsed="false">
      <c r="A677" s="74"/>
      <c r="B677" s="74"/>
      <c r="C677" s="75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</row>
    <row r="678" customFormat="false" ht="15.75" hidden="false" customHeight="true" outlineLevel="0" collapsed="false">
      <c r="A678" s="74"/>
      <c r="B678" s="74"/>
      <c r="C678" s="75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</row>
    <row r="679" customFormat="false" ht="15.75" hidden="false" customHeight="true" outlineLevel="0" collapsed="false">
      <c r="A679" s="74"/>
      <c r="B679" s="74"/>
      <c r="C679" s="75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</row>
    <row r="680" customFormat="false" ht="15.75" hidden="false" customHeight="true" outlineLevel="0" collapsed="false">
      <c r="A680" s="74"/>
      <c r="B680" s="74"/>
      <c r="C680" s="75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</row>
    <row r="681" customFormat="false" ht="15.75" hidden="false" customHeight="true" outlineLevel="0" collapsed="false">
      <c r="A681" s="74"/>
      <c r="B681" s="74"/>
      <c r="C681" s="75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</row>
    <row r="682" customFormat="false" ht="15.75" hidden="false" customHeight="true" outlineLevel="0" collapsed="false">
      <c r="A682" s="74"/>
      <c r="B682" s="74"/>
      <c r="C682" s="75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</row>
    <row r="683" customFormat="false" ht="15.75" hidden="false" customHeight="true" outlineLevel="0" collapsed="false">
      <c r="A683" s="74"/>
      <c r="B683" s="74"/>
      <c r="C683" s="75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</row>
    <row r="684" customFormat="false" ht="15.75" hidden="false" customHeight="true" outlineLevel="0" collapsed="false">
      <c r="A684" s="74"/>
      <c r="B684" s="74"/>
      <c r="C684" s="75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</row>
    <row r="685" customFormat="false" ht="15.75" hidden="false" customHeight="true" outlineLevel="0" collapsed="false">
      <c r="A685" s="74"/>
      <c r="B685" s="74"/>
      <c r="C685" s="75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</row>
    <row r="686" customFormat="false" ht="15.75" hidden="false" customHeight="true" outlineLevel="0" collapsed="false">
      <c r="A686" s="74"/>
      <c r="B686" s="74"/>
      <c r="C686" s="75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</row>
    <row r="687" customFormat="false" ht="15.75" hidden="false" customHeight="true" outlineLevel="0" collapsed="false">
      <c r="A687" s="74"/>
      <c r="B687" s="74"/>
      <c r="C687" s="75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</row>
    <row r="688" customFormat="false" ht="15.75" hidden="false" customHeight="true" outlineLevel="0" collapsed="false">
      <c r="A688" s="74"/>
      <c r="B688" s="74"/>
      <c r="C688" s="75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</row>
    <row r="689" customFormat="false" ht="15.75" hidden="false" customHeight="true" outlineLevel="0" collapsed="false">
      <c r="A689" s="74"/>
      <c r="B689" s="74"/>
      <c r="C689" s="75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</row>
    <row r="690" customFormat="false" ht="15.75" hidden="false" customHeight="true" outlineLevel="0" collapsed="false">
      <c r="A690" s="74"/>
      <c r="B690" s="74"/>
      <c r="C690" s="75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</row>
    <row r="691" customFormat="false" ht="15.75" hidden="false" customHeight="true" outlineLevel="0" collapsed="false">
      <c r="A691" s="74"/>
      <c r="B691" s="74"/>
      <c r="C691" s="75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</row>
    <row r="692" customFormat="false" ht="15.75" hidden="false" customHeight="true" outlineLevel="0" collapsed="false">
      <c r="A692" s="74"/>
      <c r="B692" s="74"/>
      <c r="C692" s="75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</row>
    <row r="693" customFormat="false" ht="15.75" hidden="false" customHeight="true" outlineLevel="0" collapsed="false">
      <c r="A693" s="74"/>
      <c r="B693" s="74"/>
      <c r="C693" s="75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</row>
    <row r="694" customFormat="false" ht="15.75" hidden="false" customHeight="true" outlineLevel="0" collapsed="false">
      <c r="A694" s="74"/>
      <c r="B694" s="74"/>
      <c r="C694" s="75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</row>
    <row r="695" customFormat="false" ht="15.75" hidden="false" customHeight="true" outlineLevel="0" collapsed="false">
      <c r="A695" s="74"/>
      <c r="B695" s="74"/>
      <c r="C695" s="75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</row>
    <row r="696" customFormat="false" ht="15.75" hidden="false" customHeight="true" outlineLevel="0" collapsed="false">
      <c r="A696" s="74"/>
      <c r="B696" s="74"/>
      <c r="C696" s="75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</row>
    <row r="697" customFormat="false" ht="15.75" hidden="false" customHeight="true" outlineLevel="0" collapsed="false">
      <c r="A697" s="74"/>
      <c r="B697" s="74"/>
      <c r="C697" s="75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</row>
    <row r="698" customFormat="false" ht="15.75" hidden="false" customHeight="true" outlineLevel="0" collapsed="false">
      <c r="A698" s="74"/>
      <c r="B698" s="74"/>
      <c r="C698" s="75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</row>
    <row r="699" customFormat="false" ht="15.75" hidden="false" customHeight="true" outlineLevel="0" collapsed="false">
      <c r="A699" s="74"/>
      <c r="B699" s="74"/>
      <c r="C699" s="75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</row>
    <row r="700" customFormat="false" ht="15.75" hidden="false" customHeight="true" outlineLevel="0" collapsed="false">
      <c r="A700" s="74"/>
      <c r="B700" s="74"/>
      <c r="C700" s="75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</row>
    <row r="701" customFormat="false" ht="15.75" hidden="false" customHeight="true" outlineLevel="0" collapsed="false">
      <c r="A701" s="74"/>
      <c r="B701" s="74"/>
      <c r="C701" s="75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</row>
    <row r="702" customFormat="false" ht="15.75" hidden="false" customHeight="true" outlineLevel="0" collapsed="false">
      <c r="A702" s="74"/>
      <c r="B702" s="74"/>
      <c r="C702" s="75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</row>
    <row r="703" customFormat="false" ht="15.75" hidden="false" customHeight="true" outlineLevel="0" collapsed="false">
      <c r="A703" s="74"/>
      <c r="B703" s="74"/>
      <c r="C703" s="75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</row>
    <row r="704" customFormat="false" ht="15.75" hidden="false" customHeight="true" outlineLevel="0" collapsed="false">
      <c r="A704" s="74"/>
      <c r="B704" s="74"/>
      <c r="C704" s="75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</row>
    <row r="705" customFormat="false" ht="15.75" hidden="false" customHeight="true" outlineLevel="0" collapsed="false">
      <c r="A705" s="74"/>
      <c r="B705" s="74"/>
      <c r="C705" s="75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</row>
    <row r="706" customFormat="false" ht="15.75" hidden="false" customHeight="true" outlineLevel="0" collapsed="false">
      <c r="A706" s="74"/>
      <c r="B706" s="74"/>
      <c r="C706" s="75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</row>
    <row r="707" customFormat="false" ht="15.75" hidden="false" customHeight="true" outlineLevel="0" collapsed="false">
      <c r="A707" s="74"/>
      <c r="B707" s="74"/>
      <c r="C707" s="75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</row>
    <row r="708" customFormat="false" ht="15.75" hidden="false" customHeight="true" outlineLevel="0" collapsed="false">
      <c r="A708" s="74"/>
      <c r="B708" s="74"/>
      <c r="C708" s="75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</row>
    <row r="709" customFormat="false" ht="15.75" hidden="false" customHeight="true" outlineLevel="0" collapsed="false">
      <c r="A709" s="74"/>
      <c r="B709" s="74"/>
      <c r="C709" s="75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</row>
    <row r="710" customFormat="false" ht="15.75" hidden="false" customHeight="true" outlineLevel="0" collapsed="false">
      <c r="A710" s="74"/>
      <c r="B710" s="74"/>
      <c r="C710" s="75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</row>
    <row r="711" customFormat="false" ht="15.75" hidden="false" customHeight="true" outlineLevel="0" collapsed="false">
      <c r="A711" s="74"/>
      <c r="B711" s="74"/>
      <c r="C711" s="75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</row>
    <row r="712" customFormat="false" ht="15.75" hidden="false" customHeight="true" outlineLevel="0" collapsed="false">
      <c r="A712" s="74"/>
      <c r="B712" s="74"/>
      <c r="C712" s="75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</row>
    <row r="713" customFormat="false" ht="15.75" hidden="false" customHeight="true" outlineLevel="0" collapsed="false">
      <c r="A713" s="74"/>
      <c r="B713" s="74"/>
      <c r="C713" s="75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</row>
    <row r="714" customFormat="false" ht="15.75" hidden="false" customHeight="true" outlineLevel="0" collapsed="false">
      <c r="A714" s="74"/>
      <c r="B714" s="74"/>
      <c r="C714" s="75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</row>
    <row r="715" customFormat="false" ht="15.75" hidden="false" customHeight="true" outlineLevel="0" collapsed="false">
      <c r="A715" s="74"/>
      <c r="B715" s="74"/>
      <c r="C715" s="75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</row>
    <row r="716" customFormat="false" ht="15.75" hidden="false" customHeight="true" outlineLevel="0" collapsed="false">
      <c r="A716" s="74"/>
      <c r="B716" s="74"/>
      <c r="C716" s="75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</row>
    <row r="717" customFormat="false" ht="15.75" hidden="false" customHeight="true" outlineLevel="0" collapsed="false">
      <c r="A717" s="74"/>
      <c r="B717" s="74"/>
      <c r="C717" s="75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</row>
    <row r="718" customFormat="false" ht="15.75" hidden="false" customHeight="true" outlineLevel="0" collapsed="false">
      <c r="A718" s="74"/>
      <c r="B718" s="74"/>
      <c r="C718" s="75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</row>
    <row r="719" customFormat="false" ht="15.75" hidden="false" customHeight="true" outlineLevel="0" collapsed="false">
      <c r="A719" s="74"/>
      <c r="B719" s="74"/>
      <c r="C719" s="75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</row>
    <row r="720" customFormat="false" ht="15.75" hidden="false" customHeight="true" outlineLevel="0" collapsed="false">
      <c r="A720" s="74"/>
      <c r="B720" s="74"/>
      <c r="C720" s="75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</row>
    <row r="721" customFormat="false" ht="15.75" hidden="false" customHeight="true" outlineLevel="0" collapsed="false">
      <c r="A721" s="74"/>
      <c r="B721" s="74"/>
      <c r="C721" s="75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</row>
    <row r="722" customFormat="false" ht="15.75" hidden="false" customHeight="true" outlineLevel="0" collapsed="false">
      <c r="A722" s="74"/>
      <c r="B722" s="74"/>
      <c r="C722" s="75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</row>
    <row r="723" customFormat="false" ht="15.75" hidden="false" customHeight="true" outlineLevel="0" collapsed="false">
      <c r="A723" s="74"/>
      <c r="B723" s="74"/>
      <c r="C723" s="75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</row>
    <row r="724" customFormat="false" ht="15.75" hidden="false" customHeight="true" outlineLevel="0" collapsed="false">
      <c r="A724" s="74"/>
      <c r="B724" s="74"/>
      <c r="C724" s="75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</row>
    <row r="725" customFormat="false" ht="15.75" hidden="false" customHeight="true" outlineLevel="0" collapsed="false">
      <c r="A725" s="74"/>
      <c r="B725" s="74"/>
      <c r="C725" s="75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</row>
    <row r="726" customFormat="false" ht="15.75" hidden="false" customHeight="true" outlineLevel="0" collapsed="false">
      <c r="A726" s="74"/>
      <c r="B726" s="74"/>
      <c r="C726" s="75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</row>
    <row r="727" customFormat="false" ht="15.75" hidden="false" customHeight="true" outlineLevel="0" collapsed="false">
      <c r="A727" s="74"/>
      <c r="B727" s="74"/>
      <c r="C727" s="75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</row>
    <row r="728" customFormat="false" ht="15.75" hidden="false" customHeight="true" outlineLevel="0" collapsed="false">
      <c r="A728" s="74"/>
      <c r="B728" s="74"/>
      <c r="C728" s="75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</row>
    <row r="729" customFormat="false" ht="15.75" hidden="false" customHeight="true" outlineLevel="0" collapsed="false">
      <c r="A729" s="74"/>
      <c r="B729" s="74"/>
      <c r="C729" s="75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</row>
    <row r="730" customFormat="false" ht="15.75" hidden="false" customHeight="true" outlineLevel="0" collapsed="false">
      <c r="A730" s="74"/>
      <c r="B730" s="74"/>
      <c r="C730" s="75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</row>
    <row r="731" customFormat="false" ht="15.75" hidden="false" customHeight="true" outlineLevel="0" collapsed="false">
      <c r="A731" s="74"/>
      <c r="B731" s="74"/>
      <c r="C731" s="75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</row>
    <row r="732" customFormat="false" ht="15.75" hidden="false" customHeight="true" outlineLevel="0" collapsed="false">
      <c r="A732" s="74"/>
      <c r="B732" s="74"/>
      <c r="C732" s="75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</row>
    <row r="733" customFormat="false" ht="15.75" hidden="false" customHeight="true" outlineLevel="0" collapsed="false">
      <c r="A733" s="74"/>
      <c r="B733" s="74"/>
      <c r="C733" s="75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</row>
    <row r="734" customFormat="false" ht="15.75" hidden="false" customHeight="true" outlineLevel="0" collapsed="false">
      <c r="A734" s="74"/>
      <c r="B734" s="74"/>
      <c r="C734" s="75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</row>
    <row r="735" customFormat="false" ht="15.75" hidden="false" customHeight="true" outlineLevel="0" collapsed="false">
      <c r="A735" s="74"/>
      <c r="B735" s="74"/>
      <c r="C735" s="75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</row>
    <row r="736" customFormat="false" ht="15.75" hidden="false" customHeight="true" outlineLevel="0" collapsed="false">
      <c r="A736" s="74"/>
      <c r="B736" s="74"/>
      <c r="C736" s="75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</row>
    <row r="737" customFormat="false" ht="15.75" hidden="false" customHeight="true" outlineLevel="0" collapsed="false">
      <c r="A737" s="74"/>
      <c r="B737" s="74"/>
      <c r="C737" s="75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</row>
    <row r="738" customFormat="false" ht="15.75" hidden="false" customHeight="true" outlineLevel="0" collapsed="false">
      <c r="A738" s="74"/>
      <c r="B738" s="74"/>
      <c r="C738" s="75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</row>
    <row r="739" customFormat="false" ht="15.75" hidden="false" customHeight="true" outlineLevel="0" collapsed="false">
      <c r="A739" s="74"/>
      <c r="B739" s="74"/>
      <c r="C739" s="75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</row>
    <row r="740" customFormat="false" ht="15.75" hidden="false" customHeight="true" outlineLevel="0" collapsed="false">
      <c r="A740" s="74"/>
      <c r="B740" s="74"/>
      <c r="C740" s="75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</row>
    <row r="741" customFormat="false" ht="15.75" hidden="false" customHeight="true" outlineLevel="0" collapsed="false">
      <c r="A741" s="74"/>
      <c r="B741" s="74"/>
      <c r="C741" s="75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</row>
    <row r="742" customFormat="false" ht="15.75" hidden="false" customHeight="true" outlineLevel="0" collapsed="false">
      <c r="A742" s="74"/>
      <c r="B742" s="74"/>
      <c r="C742" s="75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</row>
    <row r="743" customFormat="false" ht="15.75" hidden="false" customHeight="true" outlineLevel="0" collapsed="false">
      <c r="A743" s="74"/>
      <c r="B743" s="74"/>
      <c r="C743" s="75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</row>
    <row r="744" customFormat="false" ht="15.75" hidden="false" customHeight="true" outlineLevel="0" collapsed="false">
      <c r="A744" s="74"/>
      <c r="B744" s="74"/>
      <c r="C744" s="75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</row>
    <row r="745" customFormat="false" ht="15.75" hidden="false" customHeight="true" outlineLevel="0" collapsed="false">
      <c r="A745" s="74"/>
      <c r="B745" s="74"/>
      <c r="C745" s="75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</row>
    <row r="746" customFormat="false" ht="15.75" hidden="false" customHeight="true" outlineLevel="0" collapsed="false">
      <c r="A746" s="74"/>
      <c r="B746" s="74"/>
      <c r="C746" s="75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</row>
    <row r="747" customFormat="false" ht="15.75" hidden="false" customHeight="true" outlineLevel="0" collapsed="false">
      <c r="A747" s="74"/>
      <c r="B747" s="74"/>
      <c r="C747" s="75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</row>
    <row r="748" customFormat="false" ht="15.75" hidden="false" customHeight="true" outlineLevel="0" collapsed="false">
      <c r="A748" s="74"/>
      <c r="B748" s="74"/>
      <c r="C748" s="75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</row>
    <row r="749" customFormat="false" ht="15.75" hidden="false" customHeight="true" outlineLevel="0" collapsed="false">
      <c r="A749" s="74"/>
      <c r="B749" s="74"/>
      <c r="C749" s="75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</row>
    <row r="750" customFormat="false" ht="15.75" hidden="false" customHeight="true" outlineLevel="0" collapsed="false">
      <c r="A750" s="74"/>
      <c r="B750" s="74"/>
      <c r="C750" s="75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</row>
    <row r="751" customFormat="false" ht="15.75" hidden="false" customHeight="true" outlineLevel="0" collapsed="false">
      <c r="A751" s="74"/>
      <c r="B751" s="74"/>
      <c r="C751" s="75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</row>
    <row r="752" customFormat="false" ht="15.75" hidden="false" customHeight="true" outlineLevel="0" collapsed="false">
      <c r="A752" s="74"/>
      <c r="B752" s="74"/>
      <c r="C752" s="75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</row>
    <row r="753" customFormat="false" ht="15.75" hidden="false" customHeight="true" outlineLevel="0" collapsed="false">
      <c r="A753" s="74"/>
      <c r="B753" s="74"/>
      <c r="C753" s="75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</row>
    <row r="754" customFormat="false" ht="15.75" hidden="false" customHeight="true" outlineLevel="0" collapsed="false">
      <c r="A754" s="74"/>
      <c r="B754" s="74"/>
      <c r="C754" s="75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</row>
    <row r="755" customFormat="false" ht="15.75" hidden="false" customHeight="true" outlineLevel="0" collapsed="false">
      <c r="A755" s="74"/>
      <c r="B755" s="74"/>
      <c r="C755" s="75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</row>
    <row r="756" customFormat="false" ht="15.75" hidden="false" customHeight="true" outlineLevel="0" collapsed="false">
      <c r="A756" s="74"/>
      <c r="B756" s="74"/>
      <c r="C756" s="75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</row>
    <row r="757" customFormat="false" ht="15.75" hidden="false" customHeight="true" outlineLevel="0" collapsed="false">
      <c r="A757" s="74"/>
      <c r="B757" s="74"/>
      <c r="C757" s="75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</row>
    <row r="758" customFormat="false" ht="15.75" hidden="false" customHeight="true" outlineLevel="0" collapsed="false">
      <c r="A758" s="74"/>
      <c r="B758" s="74"/>
      <c r="C758" s="75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</row>
    <row r="759" customFormat="false" ht="15.75" hidden="false" customHeight="true" outlineLevel="0" collapsed="false">
      <c r="A759" s="74"/>
      <c r="B759" s="74"/>
      <c r="C759" s="75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</row>
    <row r="760" customFormat="false" ht="15.75" hidden="false" customHeight="true" outlineLevel="0" collapsed="false">
      <c r="A760" s="74"/>
      <c r="B760" s="74"/>
      <c r="C760" s="75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</row>
    <row r="761" customFormat="false" ht="15.75" hidden="false" customHeight="true" outlineLevel="0" collapsed="false">
      <c r="A761" s="74"/>
      <c r="B761" s="74"/>
      <c r="C761" s="75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</row>
    <row r="762" customFormat="false" ht="15.75" hidden="false" customHeight="true" outlineLevel="0" collapsed="false">
      <c r="A762" s="74"/>
      <c r="B762" s="74"/>
      <c r="C762" s="75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</row>
    <row r="763" customFormat="false" ht="15.75" hidden="false" customHeight="true" outlineLevel="0" collapsed="false">
      <c r="A763" s="74"/>
      <c r="B763" s="74"/>
      <c r="C763" s="75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</row>
    <row r="764" customFormat="false" ht="15.75" hidden="false" customHeight="true" outlineLevel="0" collapsed="false">
      <c r="A764" s="74"/>
      <c r="B764" s="74"/>
      <c r="C764" s="75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</row>
    <row r="765" customFormat="false" ht="15.75" hidden="false" customHeight="true" outlineLevel="0" collapsed="false">
      <c r="A765" s="74"/>
      <c r="B765" s="74"/>
      <c r="C765" s="75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</row>
    <row r="766" customFormat="false" ht="15.75" hidden="false" customHeight="true" outlineLevel="0" collapsed="false">
      <c r="A766" s="74"/>
      <c r="B766" s="74"/>
      <c r="C766" s="75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</row>
    <row r="767" customFormat="false" ht="15.75" hidden="false" customHeight="true" outlineLevel="0" collapsed="false">
      <c r="A767" s="74"/>
      <c r="B767" s="74"/>
      <c r="C767" s="75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</row>
    <row r="768" customFormat="false" ht="15.75" hidden="false" customHeight="true" outlineLevel="0" collapsed="false">
      <c r="A768" s="74"/>
      <c r="B768" s="74"/>
      <c r="C768" s="75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</row>
    <row r="769" customFormat="false" ht="15.75" hidden="false" customHeight="true" outlineLevel="0" collapsed="false">
      <c r="A769" s="74"/>
      <c r="B769" s="74"/>
      <c r="C769" s="75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</row>
    <row r="770" customFormat="false" ht="15.75" hidden="false" customHeight="true" outlineLevel="0" collapsed="false">
      <c r="A770" s="74"/>
      <c r="B770" s="74"/>
      <c r="C770" s="75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</row>
    <row r="771" customFormat="false" ht="15.75" hidden="false" customHeight="true" outlineLevel="0" collapsed="false">
      <c r="A771" s="74"/>
      <c r="B771" s="74"/>
      <c r="C771" s="75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</row>
    <row r="772" customFormat="false" ht="15.75" hidden="false" customHeight="true" outlineLevel="0" collapsed="false">
      <c r="A772" s="74"/>
      <c r="B772" s="74"/>
      <c r="C772" s="75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</row>
    <row r="773" customFormat="false" ht="15.75" hidden="false" customHeight="true" outlineLevel="0" collapsed="false">
      <c r="A773" s="74"/>
      <c r="B773" s="74"/>
      <c r="C773" s="75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</row>
    <row r="774" customFormat="false" ht="15.75" hidden="false" customHeight="true" outlineLevel="0" collapsed="false">
      <c r="A774" s="74"/>
      <c r="B774" s="74"/>
      <c r="C774" s="75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</row>
    <row r="775" customFormat="false" ht="15.75" hidden="false" customHeight="true" outlineLevel="0" collapsed="false">
      <c r="A775" s="74"/>
      <c r="B775" s="74"/>
      <c r="C775" s="75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</row>
    <row r="776" customFormat="false" ht="15.75" hidden="false" customHeight="true" outlineLevel="0" collapsed="false">
      <c r="A776" s="74"/>
      <c r="B776" s="74"/>
      <c r="C776" s="75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</row>
    <row r="777" customFormat="false" ht="15.75" hidden="false" customHeight="true" outlineLevel="0" collapsed="false">
      <c r="A777" s="74"/>
      <c r="B777" s="74"/>
      <c r="C777" s="75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</row>
    <row r="778" customFormat="false" ht="15.75" hidden="false" customHeight="true" outlineLevel="0" collapsed="false">
      <c r="A778" s="74"/>
      <c r="B778" s="74"/>
      <c r="C778" s="75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</row>
    <row r="779" customFormat="false" ht="15.75" hidden="false" customHeight="true" outlineLevel="0" collapsed="false">
      <c r="A779" s="74"/>
      <c r="B779" s="74"/>
      <c r="C779" s="75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</row>
    <row r="780" customFormat="false" ht="15.75" hidden="false" customHeight="true" outlineLevel="0" collapsed="false">
      <c r="A780" s="74"/>
      <c r="B780" s="74"/>
      <c r="C780" s="75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</row>
    <row r="781" customFormat="false" ht="15.75" hidden="false" customHeight="true" outlineLevel="0" collapsed="false">
      <c r="A781" s="74"/>
      <c r="B781" s="74"/>
      <c r="C781" s="75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</row>
    <row r="782" customFormat="false" ht="15.75" hidden="false" customHeight="true" outlineLevel="0" collapsed="false">
      <c r="A782" s="74"/>
      <c r="B782" s="74"/>
      <c r="C782" s="75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</row>
    <row r="783" customFormat="false" ht="15.75" hidden="false" customHeight="true" outlineLevel="0" collapsed="false">
      <c r="A783" s="74"/>
      <c r="B783" s="74"/>
      <c r="C783" s="75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</row>
    <row r="784" customFormat="false" ht="15.75" hidden="false" customHeight="true" outlineLevel="0" collapsed="false">
      <c r="A784" s="74"/>
      <c r="B784" s="74"/>
      <c r="C784" s="75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</row>
    <row r="785" customFormat="false" ht="15.75" hidden="false" customHeight="true" outlineLevel="0" collapsed="false">
      <c r="A785" s="74"/>
      <c r="B785" s="74"/>
      <c r="C785" s="75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</row>
    <row r="786" customFormat="false" ht="15.75" hidden="false" customHeight="true" outlineLevel="0" collapsed="false">
      <c r="A786" s="74"/>
      <c r="B786" s="74"/>
      <c r="C786" s="75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</row>
    <row r="787" customFormat="false" ht="15.75" hidden="false" customHeight="true" outlineLevel="0" collapsed="false">
      <c r="A787" s="74"/>
      <c r="B787" s="74"/>
      <c r="C787" s="75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</row>
    <row r="788" customFormat="false" ht="15.75" hidden="false" customHeight="true" outlineLevel="0" collapsed="false">
      <c r="A788" s="74"/>
      <c r="B788" s="74"/>
      <c r="C788" s="75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</row>
    <row r="789" customFormat="false" ht="15.75" hidden="false" customHeight="true" outlineLevel="0" collapsed="false">
      <c r="A789" s="74"/>
      <c r="B789" s="74"/>
      <c r="C789" s="75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</row>
    <row r="790" customFormat="false" ht="15.75" hidden="false" customHeight="true" outlineLevel="0" collapsed="false">
      <c r="A790" s="74"/>
      <c r="B790" s="74"/>
      <c r="C790" s="75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</row>
    <row r="791" customFormat="false" ht="15.75" hidden="false" customHeight="true" outlineLevel="0" collapsed="false">
      <c r="A791" s="74"/>
      <c r="B791" s="74"/>
      <c r="C791" s="75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</row>
    <row r="792" customFormat="false" ht="15.75" hidden="false" customHeight="true" outlineLevel="0" collapsed="false">
      <c r="A792" s="74"/>
      <c r="B792" s="74"/>
      <c r="C792" s="75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</row>
    <row r="793" customFormat="false" ht="15.75" hidden="false" customHeight="true" outlineLevel="0" collapsed="false">
      <c r="A793" s="74"/>
      <c r="B793" s="74"/>
      <c r="C793" s="75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</row>
    <row r="794" customFormat="false" ht="15.75" hidden="false" customHeight="true" outlineLevel="0" collapsed="false">
      <c r="A794" s="74"/>
      <c r="B794" s="74"/>
      <c r="C794" s="75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</row>
    <row r="795" customFormat="false" ht="15.75" hidden="false" customHeight="true" outlineLevel="0" collapsed="false">
      <c r="A795" s="74"/>
      <c r="B795" s="74"/>
      <c r="C795" s="75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</row>
    <row r="796" customFormat="false" ht="15.75" hidden="false" customHeight="true" outlineLevel="0" collapsed="false">
      <c r="A796" s="74"/>
      <c r="B796" s="74"/>
      <c r="C796" s="75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</row>
    <row r="797" customFormat="false" ht="15.75" hidden="false" customHeight="true" outlineLevel="0" collapsed="false">
      <c r="A797" s="74"/>
      <c r="B797" s="74"/>
      <c r="C797" s="75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</row>
    <row r="798" customFormat="false" ht="15.75" hidden="false" customHeight="true" outlineLevel="0" collapsed="false">
      <c r="A798" s="74"/>
      <c r="B798" s="74"/>
      <c r="C798" s="75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</row>
    <row r="799" customFormat="false" ht="15.75" hidden="false" customHeight="true" outlineLevel="0" collapsed="false">
      <c r="A799" s="74"/>
      <c r="B799" s="74"/>
      <c r="C799" s="75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</row>
    <row r="800" customFormat="false" ht="15.75" hidden="false" customHeight="true" outlineLevel="0" collapsed="false">
      <c r="A800" s="74"/>
      <c r="B800" s="74"/>
      <c r="C800" s="75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</row>
    <row r="801" customFormat="false" ht="15.75" hidden="false" customHeight="true" outlineLevel="0" collapsed="false">
      <c r="A801" s="74"/>
      <c r="B801" s="74"/>
      <c r="C801" s="75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</row>
    <row r="802" customFormat="false" ht="15.75" hidden="false" customHeight="true" outlineLevel="0" collapsed="false">
      <c r="A802" s="74"/>
      <c r="B802" s="74"/>
      <c r="C802" s="75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</row>
    <row r="803" customFormat="false" ht="15.75" hidden="false" customHeight="true" outlineLevel="0" collapsed="false">
      <c r="A803" s="74"/>
      <c r="B803" s="74"/>
      <c r="C803" s="75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</row>
    <row r="804" customFormat="false" ht="15.75" hidden="false" customHeight="true" outlineLevel="0" collapsed="false">
      <c r="A804" s="74"/>
      <c r="B804" s="74"/>
      <c r="C804" s="75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</row>
    <row r="805" customFormat="false" ht="15.75" hidden="false" customHeight="true" outlineLevel="0" collapsed="false">
      <c r="A805" s="74"/>
      <c r="B805" s="74"/>
      <c r="C805" s="75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</row>
    <row r="806" customFormat="false" ht="15.75" hidden="false" customHeight="true" outlineLevel="0" collapsed="false">
      <c r="A806" s="74"/>
      <c r="B806" s="74"/>
      <c r="C806" s="75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</row>
    <row r="807" customFormat="false" ht="15.75" hidden="false" customHeight="true" outlineLevel="0" collapsed="false">
      <c r="A807" s="74"/>
      <c r="B807" s="74"/>
      <c r="C807" s="75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</row>
    <row r="808" customFormat="false" ht="15.75" hidden="false" customHeight="true" outlineLevel="0" collapsed="false">
      <c r="A808" s="74"/>
      <c r="B808" s="74"/>
      <c r="C808" s="75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</row>
    <row r="809" customFormat="false" ht="15.75" hidden="false" customHeight="true" outlineLevel="0" collapsed="false">
      <c r="A809" s="74"/>
      <c r="B809" s="74"/>
      <c r="C809" s="75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</row>
    <row r="810" customFormat="false" ht="15.75" hidden="false" customHeight="true" outlineLevel="0" collapsed="false">
      <c r="A810" s="74"/>
      <c r="B810" s="74"/>
      <c r="C810" s="75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</row>
    <row r="811" customFormat="false" ht="15.75" hidden="false" customHeight="true" outlineLevel="0" collapsed="false">
      <c r="A811" s="74"/>
      <c r="B811" s="74"/>
      <c r="C811" s="75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</row>
    <row r="812" customFormat="false" ht="15.75" hidden="false" customHeight="true" outlineLevel="0" collapsed="false">
      <c r="A812" s="74"/>
      <c r="B812" s="74"/>
      <c r="C812" s="75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</row>
    <row r="813" customFormat="false" ht="15.75" hidden="false" customHeight="true" outlineLevel="0" collapsed="false">
      <c r="A813" s="74"/>
      <c r="B813" s="74"/>
      <c r="C813" s="75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</row>
    <row r="814" customFormat="false" ht="15.75" hidden="false" customHeight="true" outlineLevel="0" collapsed="false">
      <c r="A814" s="74"/>
      <c r="B814" s="74"/>
      <c r="C814" s="75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</row>
    <row r="815" customFormat="false" ht="15.75" hidden="false" customHeight="true" outlineLevel="0" collapsed="false">
      <c r="A815" s="74"/>
      <c r="B815" s="74"/>
      <c r="C815" s="75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</row>
    <row r="816" customFormat="false" ht="15.75" hidden="false" customHeight="true" outlineLevel="0" collapsed="false">
      <c r="A816" s="74"/>
      <c r="B816" s="74"/>
      <c r="C816" s="75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</row>
    <row r="817" customFormat="false" ht="15.75" hidden="false" customHeight="true" outlineLevel="0" collapsed="false">
      <c r="A817" s="74"/>
      <c r="B817" s="74"/>
      <c r="C817" s="75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</row>
    <row r="818" customFormat="false" ht="15.75" hidden="false" customHeight="true" outlineLevel="0" collapsed="false">
      <c r="A818" s="74"/>
      <c r="B818" s="74"/>
      <c r="C818" s="75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</row>
    <row r="819" customFormat="false" ht="15.75" hidden="false" customHeight="true" outlineLevel="0" collapsed="false">
      <c r="A819" s="74"/>
      <c r="B819" s="74"/>
      <c r="C819" s="75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</row>
    <row r="820" customFormat="false" ht="15.75" hidden="false" customHeight="true" outlineLevel="0" collapsed="false">
      <c r="A820" s="74"/>
      <c r="B820" s="74"/>
      <c r="C820" s="75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</row>
    <row r="821" customFormat="false" ht="15.75" hidden="false" customHeight="true" outlineLevel="0" collapsed="false">
      <c r="A821" s="74"/>
      <c r="B821" s="74"/>
      <c r="C821" s="75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</row>
    <row r="822" customFormat="false" ht="15.75" hidden="false" customHeight="true" outlineLevel="0" collapsed="false">
      <c r="A822" s="74"/>
      <c r="B822" s="74"/>
      <c r="C822" s="75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</row>
    <row r="823" customFormat="false" ht="15.75" hidden="false" customHeight="true" outlineLevel="0" collapsed="false">
      <c r="A823" s="74"/>
      <c r="B823" s="74"/>
      <c r="C823" s="75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</row>
    <row r="824" customFormat="false" ht="15.75" hidden="false" customHeight="true" outlineLevel="0" collapsed="false">
      <c r="A824" s="74"/>
      <c r="B824" s="74"/>
      <c r="C824" s="75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</row>
    <row r="825" customFormat="false" ht="15.75" hidden="false" customHeight="true" outlineLevel="0" collapsed="false">
      <c r="A825" s="74"/>
      <c r="B825" s="74"/>
      <c r="C825" s="75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</row>
    <row r="826" customFormat="false" ht="15.75" hidden="false" customHeight="true" outlineLevel="0" collapsed="false">
      <c r="A826" s="74"/>
      <c r="B826" s="74"/>
      <c r="C826" s="75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</row>
    <row r="827" customFormat="false" ht="15.75" hidden="false" customHeight="true" outlineLevel="0" collapsed="false">
      <c r="A827" s="74"/>
      <c r="B827" s="74"/>
      <c r="C827" s="75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</row>
    <row r="828" customFormat="false" ht="15.75" hidden="false" customHeight="true" outlineLevel="0" collapsed="false">
      <c r="A828" s="74"/>
      <c r="B828" s="74"/>
      <c r="C828" s="75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</row>
    <row r="829" customFormat="false" ht="15.75" hidden="false" customHeight="true" outlineLevel="0" collapsed="false">
      <c r="A829" s="74"/>
      <c r="B829" s="74"/>
      <c r="C829" s="75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</row>
    <row r="830" customFormat="false" ht="15.75" hidden="false" customHeight="true" outlineLevel="0" collapsed="false">
      <c r="A830" s="74"/>
      <c r="B830" s="74"/>
      <c r="C830" s="75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</row>
    <row r="831" customFormat="false" ht="15.75" hidden="false" customHeight="true" outlineLevel="0" collapsed="false">
      <c r="A831" s="74"/>
      <c r="B831" s="74"/>
      <c r="C831" s="75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</row>
    <row r="832" customFormat="false" ht="15.75" hidden="false" customHeight="true" outlineLevel="0" collapsed="false">
      <c r="A832" s="74"/>
      <c r="B832" s="74"/>
      <c r="C832" s="75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</row>
    <row r="833" customFormat="false" ht="15.75" hidden="false" customHeight="true" outlineLevel="0" collapsed="false">
      <c r="A833" s="74"/>
      <c r="B833" s="74"/>
      <c r="C833" s="75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</row>
    <row r="834" customFormat="false" ht="15.75" hidden="false" customHeight="true" outlineLevel="0" collapsed="false">
      <c r="A834" s="74"/>
      <c r="B834" s="74"/>
      <c r="C834" s="75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</row>
    <row r="835" customFormat="false" ht="15.75" hidden="false" customHeight="true" outlineLevel="0" collapsed="false">
      <c r="A835" s="74"/>
      <c r="B835" s="74"/>
      <c r="C835" s="75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</row>
    <row r="836" customFormat="false" ht="15.75" hidden="false" customHeight="true" outlineLevel="0" collapsed="false">
      <c r="A836" s="74"/>
      <c r="B836" s="74"/>
      <c r="C836" s="75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</row>
    <row r="837" customFormat="false" ht="15.75" hidden="false" customHeight="true" outlineLevel="0" collapsed="false">
      <c r="A837" s="74"/>
      <c r="B837" s="74"/>
      <c r="C837" s="75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</row>
    <row r="838" customFormat="false" ht="15.75" hidden="false" customHeight="true" outlineLevel="0" collapsed="false">
      <c r="A838" s="74"/>
      <c r="B838" s="74"/>
      <c r="C838" s="75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</row>
    <row r="839" customFormat="false" ht="15.75" hidden="false" customHeight="true" outlineLevel="0" collapsed="false">
      <c r="A839" s="74"/>
      <c r="B839" s="74"/>
      <c r="C839" s="75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</row>
    <row r="840" customFormat="false" ht="15.75" hidden="false" customHeight="true" outlineLevel="0" collapsed="false">
      <c r="A840" s="74"/>
      <c r="B840" s="74"/>
      <c r="C840" s="75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</row>
    <row r="841" customFormat="false" ht="15.75" hidden="false" customHeight="true" outlineLevel="0" collapsed="false">
      <c r="A841" s="74"/>
      <c r="B841" s="74"/>
      <c r="C841" s="75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</row>
    <row r="842" customFormat="false" ht="15.75" hidden="false" customHeight="true" outlineLevel="0" collapsed="false">
      <c r="A842" s="74"/>
      <c r="B842" s="74"/>
      <c r="C842" s="75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</row>
    <row r="843" customFormat="false" ht="15.75" hidden="false" customHeight="true" outlineLevel="0" collapsed="false">
      <c r="A843" s="74"/>
      <c r="B843" s="74"/>
      <c r="C843" s="75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</row>
    <row r="844" customFormat="false" ht="15.75" hidden="false" customHeight="true" outlineLevel="0" collapsed="false">
      <c r="A844" s="74"/>
      <c r="B844" s="74"/>
      <c r="C844" s="75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</row>
    <row r="845" customFormat="false" ht="15.75" hidden="false" customHeight="true" outlineLevel="0" collapsed="false">
      <c r="A845" s="74"/>
      <c r="B845" s="74"/>
      <c r="C845" s="75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</row>
    <row r="846" customFormat="false" ht="15.75" hidden="false" customHeight="true" outlineLevel="0" collapsed="false">
      <c r="A846" s="74"/>
      <c r="B846" s="74"/>
      <c r="C846" s="75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</row>
    <row r="847" customFormat="false" ht="15.75" hidden="false" customHeight="true" outlineLevel="0" collapsed="false">
      <c r="A847" s="74"/>
      <c r="B847" s="74"/>
      <c r="C847" s="75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</row>
    <row r="848" customFormat="false" ht="15.75" hidden="false" customHeight="true" outlineLevel="0" collapsed="false">
      <c r="A848" s="74"/>
      <c r="B848" s="74"/>
      <c r="C848" s="75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</row>
    <row r="849" customFormat="false" ht="15.75" hidden="false" customHeight="true" outlineLevel="0" collapsed="false">
      <c r="A849" s="74"/>
      <c r="B849" s="74"/>
      <c r="C849" s="75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</row>
    <row r="850" customFormat="false" ht="15.75" hidden="false" customHeight="true" outlineLevel="0" collapsed="false">
      <c r="A850" s="74"/>
      <c r="B850" s="74"/>
      <c r="C850" s="75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</row>
    <row r="851" customFormat="false" ht="15.75" hidden="false" customHeight="true" outlineLevel="0" collapsed="false">
      <c r="A851" s="74"/>
      <c r="B851" s="74"/>
      <c r="C851" s="75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</row>
    <row r="852" customFormat="false" ht="15.75" hidden="false" customHeight="true" outlineLevel="0" collapsed="false">
      <c r="A852" s="74"/>
      <c r="B852" s="74"/>
      <c r="C852" s="75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</row>
    <row r="853" customFormat="false" ht="15.75" hidden="false" customHeight="true" outlineLevel="0" collapsed="false">
      <c r="A853" s="74"/>
      <c r="B853" s="74"/>
      <c r="C853" s="75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</row>
    <row r="854" customFormat="false" ht="15.75" hidden="false" customHeight="true" outlineLevel="0" collapsed="false">
      <c r="A854" s="74"/>
      <c r="B854" s="74"/>
      <c r="C854" s="75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</row>
    <row r="855" customFormat="false" ht="15.75" hidden="false" customHeight="true" outlineLevel="0" collapsed="false">
      <c r="A855" s="74"/>
      <c r="B855" s="74"/>
      <c r="C855" s="75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</row>
    <row r="856" customFormat="false" ht="15.75" hidden="false" customHeight="true" outlineLevel="0" collapsed="false">
      <c r="A856" s="74"/>
      <c r="B856" s="74"/>
      <c r="C856" s="75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</row>
    <row r="857" customFormat="false" ht="15.75" hidden="false" customHeight="true" outlineLevel="0" collapsed="false">
      <c r="A857" s="74"/>
      <c r="B857" s="74"/>
      <c r="C857" s="75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</row>
    <row r="858" customFormat="false" ht="15.75" hidden="false" customHeight="true" outlineLevel="0" collapsed="false">
      <c r="A858" s="74"/>
      <c r="B858" s="74"/>
      <c r="C858" s="75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</row>
    <row r="859" customFormat="false" ht="15.75" hidden="false" customHeight="true" outlineLevel="0" collapsed="false">
      <c r="A859" s="74"/>
      <c r="B859" s="74"/>
      <c r="C859" s="75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</row>
    <row r="860" customFormat="false" ht="15.75" hidden="false" customHeight="true" outlineLevel="0" collapsed="false">
      <c r="A860" s="74"/>
      <c r="B860" s="74"/>
      <c r="C860" s="75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</row>
    <row r="861" customFormat="false" ht="15.75" hidden="false" customHeight="true" outlineLevel="0" collapsed="false">
      <c r="A861" s="74"/>
      <c r="B861" s="74"/>
      <c r="C861" s="75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</row>
    <row r="862" customFormat="false" ht="15.75" hidden="false" customHeight="true" outlineLevel="0" collapsed="false">
      <c r="A862" s="74"/>
      <c r="B862" s="74"/>
      <c r="C862" s="75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</row>
    <row r="863" customFormat="false" ht="15.75" hidden="false" customHeight="true" outlineLevel="0" collapsed="false">
      <c r="A863" s="74"/>
      <c r="B863" s="74"/>
      <c r="C863" s="75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</row>
    <row r="864" customFormat="false" ht="15.75" hidden="false" customHeight="true" outlineLevel="0" collapsed="false">
      <c r="A864" s="74"/>
      <c r="B864" s="74"/>
      <c r="C864" s="75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</row>
    <row r="865" customFormat="false" ht="15.75" hidden="false" customHeight="true" outlineLevel="0" collapsed="false">
      <c r="A865" s="74"/>
      <c r="B865" s="74"/>
      <c r="C865" s="75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</row>
    <row r="866" customFormat="false" ht="15.75" hidden="false" customHeight="true" outlineLevel="0" collapsed="false">
      <c r="A866" s="74"/>
      <c r="B866" s="74"/>
      <c r="C866" s="75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</row>
    <row r="867" customFormat="false" ht="15.75" hidden="false" customHeight="true" outlineLevel="0" collapsed="false">
      <c r="A867" s="74"/>
      <c r="B867" s="74"/>
      <c r="C867" s="75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</row>
    <row r="868" customFormat="false" ht="15.75" hidden="false" customHeight="true" outlineLevel="0" collapsed="false">
      <c r="A868" s="74"/>
      <c r="B868" s="74"/>
      <c r="C868" s="75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</row>
    <row r="869" customFormat="false" ht="15.75" hidden="false" customHeight="true" outlineLevel="0" collapsed="false">
      <c r="A869" s="74"/>
      <c r="B869" s="74"/>
      <c r="C869" s="75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</row>
    <row r="870" customFormat="false" ht="15.75" hidden="false" customHeight="true" outlineLevel="0" collapsed="false">
      <c r="A870" s="74"/>
      <c r="B870" s="74"/>
      <c r="C870" s="75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</row>
    <row r="871" customFormat="false" ht="15.75" hidden="false" customHeight="true" outlineLevel="0" collapsed="false">
      <c r="A871" s="74"/>
      <c r="B871" s="74"/>
      <c r="C871" s="75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</row>
    <row r="872" customFormat="false" ht="15.75" hidden="false" customHeight="true" outlineLevel="0" collapsed="false">
      <c r="A872" s="74"/>
      <c r="B872" s="74"/>
      <c r="C872" s="75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</row>
    <row r="873" customFormat="false" ht="15.75" hidden="false" customHeight="true" outlineLevel="0" collapsed="false">
      <c r="A873" s="74"/>
      <c r="B873" s="74"/>
      <c r="C873" s="75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</row>
    <row r="874" customFormat="false" ht="15.75" hidden="false" customHeight="true" outlineLevel="0" collapsed="false">
      <c r="A874" s="74"/>
      <c r="B874" s="74"/>
      <c r="C874" s="75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</row>
    <row r="875" customFormat="false" ht="15.75" hidden="false" customHeight="true" outlineLevel="0" collapsed="false">
      <c r="A875" s="74"/>
      <c r="B875" s="74"/>
      <c r="C875" s="75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</row>
    <row r="876" customFormat="false" ht="15.75" hidden="false" customHeight="true" outlineLevel="0" collapsed="false">
      <c r="A876" s="74"/>
      <c r="B876" s="74"/>
      <c r="C876" s="75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</row>
    <row r="877" customFormat="false" ht="15.75" hidden="false" customHeight="true" outlineLevel="0" collapsed="false">
      <c r="A877" s="74"/>
      <c r="B877" s="74"/>
      <c r="C877" s="75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</row>
    <row r="878" customFormat="false" ht="15.75" hidden="false" customHeight="true" outlineLevel="0" collapsed="false">
      <c r="A878" s="74"/>
      <c r="B878" s="74"/>
      <c r="C878" s="75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</row>
    <row r="879" customFormat="false" ht="15.75" hidden="false" customHeight="true" outlineLevel="0" collapsed="false">
      <c r="A879" s="74"/>
      <c r="B879" s="74"/>
      <c r="C879" s="75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</row>
    <row r="880" customFormat="false" ht="15.75" hidden="false" customHeight="true" outlineLevel="0" collapsed="false">
      <c r="A880" s="74"/>
      <c r="B880" s="74"/>
      <c r="C880" s="75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</row>
    <row r="881" customFormat="false" ht="15.75" hidden="false" customHeight="true" outlineLevel="0" collapsed="false">
      <c r="A881" s="74"/>
      <c r="B881" s="74"/>
      <c r="C881" s="75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</row>
    <row r="882" customFormat="false" ht="15.75" hidden="false" customHeight="true" outlineLevel="0" collapsed="false">
      <c r="A882" s="74"/>
      <c r="B882" s="74"/>
      <c r="C882" s="75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</row>
    <row r="883" customFormat="false" ht="15.75" hidden="false" customHeight="true" outlineLevel="0" collapsed="false">
      <c r="A883" s="74"/>
      <c r="B883" s="74"/>
      <c r="C883" s="75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</row>
    <row r="884" customFormat="false" ht="15.75" hidden="false" customHeight="true" outlineLevel="0" collapsed="false">
      <c r="A884" s="74"/>
      <c r="B884" s="74"/>
      <c r="C884" s="75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</row>
    <row r="885" customFormat="false" ht="15.75" hidden="false" customHeight="true" outlineLevel="0" collapsed="false">
      <c r="A885" s="74"/>
      <c r="B885" s="74"/>
      <c r="C885" s="75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</row>
    <row r="886" customFormat="false" ht="15.75" hidden="false" customHeight="true" outlineLevel="0" collapsed="false">
      <c r="A886" s="74"/>
      <c r="B886" s="74"/>
      <c r="C886" s="75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</row>
    <row r="887" customFormat="false" ht="15.75" hidden="false" customHeight="true" outlineLevel="0" collapsed="false">
      <c r="A887" s="74"/>
      <c r="B887" s="74"/>
      <c r="C887" s="75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</row>
    <row r="888" customFormat="false" ht="15.75" hidden="false" customHeight="true" outlineLevel="0" collapsed="false">
      <c r="A888" s="74"/>
      <c r="B888" s="74"/>
      <c r="C888" s="75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</row>
    <row r="889" customFormat="false" ht="15.75" hidden="false" customHeight="true" outlineLevel="0" collapsed="false">
      <c r="A889" s="74"/>
      <c r="B889" s="74"/>
      <c r="C889" s="75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</row>
    <row r="890" customFormat="false" ht="15.75" hidden="false" customHeight="true" outlineLevel="0" collapsed="false">
      <c r="A890" s="74"/>
      <c r="B890" s="74"/>
      <c r="C890" s="75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</row>
    <row r="891" customFormat="false" ht="15.75" hidden="false" customHeight="true" outlineLevel="0" collapsed="false">
      <c r="A891" s="74"/>
      <c r="B891" s="74"/>
      <c r="C891" s="75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</row>
    <row r="892" customFormat="false" ht="15.75" hidden="false" customHeight="true" outlineLevel="0" collapsed="false">
      <c r="A892" s="74"/>
      <c r="B892" s="74"/>
      <c r="C892" s="75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</row>
    <row r="893" customFormat="false" ht="15.75" hidden="false" customHeight="true" outlineLevel="0" collapsed="false">
      <c r="A893" s="74"/>
      <c r="B893" s="74"/>
      <c r="C893" s="75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</row>
    <row r="894" customFormat="false" ht="15.75" hidden="false" customHeight="true" outlineLevel="0" collapsed="false">
      <c r="A894" s="74"/>
      <c r="B894" s="74"/>
      <c r="C894" s="75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</row>
    <row r="895" customFormat="false" ht="15.75" hidden="false" customHeight="true" outlineLevel="0" collapsed="false">
      <c r="A895" s="74"/>
      <c r="B895" s="74"/>
      <c r="C895" s="75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</row>
    <row r="896" customFormat="false" ht="15.75" hidden="false" customHeight="true" outlineLevel="0" collapsed="false">
      <c r="A896" s="74"/>
      <c r="B896" s="74"/>
      <c r="C896" s="75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</row>
    <row r="897" customFormat="false" ht="15.75" hidden="false" customHeight="true" outlineLevel="0" collapsed="false">
      <c r="A897" s="74"/>
      <c r="B897" s="74"/>
      <c r="C897" s="75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</row>
    <row r="898" customFormat="false" ht="15.75" hidden="false" customHeight="true" outlineLevel="0" collapsed="false">
      <c r="A898" s="74"/>
      <c r="B898" s="74"/>
      <c r="C898" s="75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</row>
    <row r="899" customFormat="false" ht="15.75" hidden="false" customHeight="true" outlineLevel="0" collapsed="false">
      <c r="A899" s="74"/>
      <c r="B899" s="74"/>
      <c r="C899" s="75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</row>
    <row r="900" customFormat="false" ht="15.75" hidden="false" customHeight="true" outlineLevel="0" collapsed="false">
      <c r="A900" s="74"/>
      <c r="B900" s="74"/>
      <c r="C900" s="75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</row>
    <row r="901" customFormat="false" ht="15.75" hidden="false" customHeight="true" outlineLevel="0" collapsed="false">
      <c r="A901" s="74"/>
      <c r="B901" s="74"/>
      <c r="C901" s="75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</row>
    <row r="902" customFormat="false" ht="15.75" hidden="false" customHeight="true" outlineLevel="0" collapsed="false">
      <c r="A902" s="74"/>
      <c r="B902" s="74"/>
      <c r="C902" s="75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</row>
    <row r="903" customFormat="false" ht="15.75" hidden="false" customHeight="true" outlineLevel="0" collapsed="false">
      <c r="A903" s="74"/>
      <c r="B903" s="74"/>
      <c r="C903" s="75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</row>
    <row r="904" customFormat="false" ht="15.75" hidden="false" customHeight="true" outlineLevel="0" collapsed="false">
      <c r="A904" s="74"/>
      <c r="B904" s="74"/>
      <c r="C904" s="75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</row>
    <row r="905" customFormat="false" ht="15.75" hidden="false" customHeight="true" outlineLevel="0" collapsed="false">
      <c r="A905" s="74"/>
      <c r="B905" s="74"/>
      <c r="C905" s="75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</row>
    <row r="906" customFormat="false" ht="15.75" hidden="false" customHeight="true" outlineLevel="0" collapsed="false">
      <c r="A906" s="74"/>
      <c r="B906" s="74"/>
      <c r="C906" s="75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</row>
    <row r="907" customFormat="false" ht="15.75" hidden="false" customHeight="true" outlineLevel="0" collapsed="false">
      <c r="A907" s="74"/>
      <c r="B907" s="74"/>
      <c r="C907" s="75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</row>
    <row r="908" customFormat="false" ht="15.75" hidden="false" customHeight="true" outlineLevel="0" collapsed="false">
      <c r="A908" s="74"/>
      <c r="B908" s="74"/>
      <c r="C908" s="75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</row>
    <row r="909" customFormat="false" ht="15.75" hidden="false" customHeight="true" outlineLevel="0" collapsed="false">
      <c r="A909" s="74"/>
      <c r="B909" s="74"/>
      <c r="C909" s="75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</row>
    <row r="910" customFormat="false" ht="15.75" hidden="false" customHeight="true" outlineLevel="0" collapsed="false">
      <c r="A910" s="74"/>
      <c r="B910" s="74"/>
      <c r="C910" s="75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</row>
    <row r="911" customFormat="false" ht="15.75" hidden="false" customHeight="true" outlineLevel="0" collapsed="false">
      <c r="A911" s="74"/>
      <c r="B911" s="74"/>
      <c r="C911" s="75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</row>
    <row r="912" customFormat="false" ht="15.75" hidden="false" customHeight="true" outlineLevel="0" collapsed="false">
      <c r="A912" s="74"/>
      <c r="B912" s="74"/>
      <c r="C912" s="75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</row>
    <row r="913" customFormat="false" ht="15.75" hidden="false" customHeight="true" outlineLevel="0" collapsed="false">
      <c r="A913" s="74"/>
      <c r="B913" s="74"/>
      <c r="C913" s="75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</row>
    <row r="914" customFormat="false" ht="15.75" hidden="false" customHeight="true" outlineLevel="0" collapsed="false">
      <c r="A914" s="74"/>
      <c r="B914" s="74"/>
      <c r="C914" s="75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</row>
    <row r="915" customFormat="false" ht="15.75" hidden="false" customHeight="true" outlineLevel="0" collapsed="false">
      <c r="A915" s="74"/>
      <c r="B915" s="74"/>
      <c r="C915" s="75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</row>
    <row r="916" customFormat="false" ht="15.75" hidden="false" customHeight="true" outlineLevel="0" collapsed="false">
      <c r="A916" s="74"/>
      <c r="B916" s="74"/>
      <c r="C916" s="75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</row>
    <row r="917" customFormat="false" ht="15.75" hidden="false" customHeight="true" outlineLevel="0" collapsed="false">
      <c r="A917" s="74"/>
      <c r="B917" s="74"/>
      <c r="C917" s="75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</row>
    <row r="918" customFormat="false" ht="15.75" hidden="false" customHeight="true" outlineLevel="0" collapsed="false">
      <c r="A918" s="74"/>
      <c r="B918" s="74"/>
      <c r="C918" s="75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</row>
    <row r="919" customFormat="false" ht="15.75" hidden="false" customHeight="true" outlineLevel="0" collapsed="false">
      <c r="A919" s="74"/>
      <c r="B919" s="74"/>
      <c r="C919" s="75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</row>
    <row r="920" customFormat="false" ht="15.75" hidden="false" customHeight="true" outlineLevel="0" collapsed="false">
      <c r="A920" s="74"/>
      <c r="B920" s="74"/>
      <c r="C920" s="75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</row>
    <row r="921" customFormat="false" ht="15.75" hidden="false" customHeight="true" outlineLevel="0" collapsed="false">
      <c r="A921" s="74"/>
      <c r="B921" s="74"/>
      <c r="C921" s="75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</row>
    <row r="922" customFormat="false" ht="15.75" hidden="false" customHeight="true" outlineLevel="0" collapsed="false">
      <c r="A922" s="74"/>
      <c r="B922" s="74"/>
      <c r="C922" s="75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</row>
    <row r="923" customFormat="false" ht="15.75" hidden="false" customHeight="true" outlineLevel="0" collapsed="false">
      <c r="A923" s="74"/>
      <c r="B923" s="74"/>
      <c r="C923" s="75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</row>
    <row r="924" customFormat="false" ht="15.75" hidden="false" customHeight="true" outlineLevel="0" collapsed="false">
      <c r="A924" s="74"/>
      <c r="B924" s="74"/>
      <c r="C924" s="75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</row>
    <row r="925" customFormat="false" ht="15.75" hidden="false" customHeight="true" outlineLevel="0" collapsed="false">
      <c r="A925" s="74"/>
      <c r="B925" s="74"/>
      <c r="C925" s="75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</row>
    <row r="926" customFormat="false" ht="15.75" hidden="false" customHeight="true" outlineLevel="0" collapsed="false">
      <c r="A926" s="74"/>
      <c r="B926" s="74"/>
      <c r="C926" s="75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</row>
    <row r="927" customFormat="false" ht="15.75" hidden="false" customHeight="true" outlineLevel="0" collapsed="false">
      <c r="A927" s="74"/>
      <c r="B927" s="74"/>
      <c r="C927" s="75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</row>
    <row r="928" customFormat="false" ht="15.75" hidden="false" customHeight="true" outlineLevel="0" collapsed="false">
      <c r="A928" s="74"/>
      <c r="B928" s="74"/>
      <c r="C928" s="75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</row>
    <row r="929" customFormat="false" ht="15.75" hidden="false" customHeight="true" outlineLevel="0" collapsed="false">
      <c r="A929" s="74"/>
      <c r="B929" s="74"/>
      <c r="C929" s="75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</row>
    <row r="930" customFormat="false" ht="15.75" hidden="false" customHeight="true" outlineLevel="0" collapsed="false">
      <c r="A930" s="74"/>
      <c r="B930" s="74"/>
      <c r="C930" s="75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</row>
    <row r="931" customFormat="false" ht="15.75" hidden="false" customHeight="true" outlineLevel="0" collapsed="false">
      <c r="A931" s="74"/>
      <c r="B931" s="74"/>
      <c r="C931" s="75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</row>
    <row r="932" customFormat="false" ht="15.75" hidden="false" customHeight="true" outlineLevel="0" collapsed="false">
      <c r="A932" s="74"/>
      <c r="B932" s="74"/>
      <c r="C932" s="75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</row>
    <row r="933" customFormat="false" ht="15.75" hidden="false" customHeight="true" outlineLevel="0" collapsed="false">
      <c r="A933" s="74"/>
      <c r="B933" s="74"/>
      <c r="C933" s="75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</row>
    <row r="934" customFormat="false" ht="15.75" hidden="false" customHeight="true" outlineLevel="0" collapsed="false">
      <c r="A934" s="74"/>
      <c r="B934" s="74"/>
      <c r="C934" s="75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</row>
    <row r="935" customFormat="false" ht="15.75" hidden="false" customHeight="true" outlineLevel="0" collapsed="false">
      <c r="A935" s="74"/>
      <c r="B935" s="74"/>
      <c r="C935" s="75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</row>
    <row r="936" customFormat="false" ht="15.75" hidden="false" customHeight="true" outlineLevel="0" collapsed="false">
      <c r="A936" s="74"/>
      <c r="B936" s="74"/>
      <c r="C936" s="75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</row>
    <row r="937" customFormat="false" ht="15.75" hidden="false" customHeight="true" outlineLevel="0" collapsed="false">
      <c r="A937" s="74"/>
      <c r="B937" s="74"/>
      <c r="C937" s="75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</row>
    <row r="938" customFormat="false" ht="15.75" hidden="false" customHeight="true" outlineLevel="0" collapsed="false">
      <c r="A938" s="74"/>
      <c r="B938" s="74"/>
      <c r="C938" s="75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</row>
    <row r="939" customFormat="false" ht="15.75" hidden="false" customHeight="true" outlineLevel="0" collapsed="false">
      <c r="A939" s="74"/>
      <c r="B939" s="74"/>
      <c r="C939" s="75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</row>
    <row r="940" customFormat="false" ht="15.75" hidden="false" customHeight="true" outlineLevel="0" collapsed="false">
      <c r="A940" s="74"/>
      <c r="B940" s="74"/>
      <c r="C940" s="75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</row>
    <row r="941" customFormat="false" ht="15.75" hidden="false" customHeight="true" outlineLevel="0" collapsed="false">
      <c r="A941" s="74"/>
      <c r="B941" s="74"/>
      <c r="C941" s="75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</row>
    <row r="942" customFormat="false" ht="15.75" hidden="false" customHeight="true" outlineLevel="0" collapsed="false">
      <c r="A942" s="74"/>
      <c r="B942" s="74"/>
      <c r="C942" s="75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</row>
    <row r="943" customFormat="false" ht="15.75" hidden="false" customHeight="true" outlineLevel="0" collapsed="false">
      <c r="A943" s="74"/>
      <c r="B943" s="74"/>
      <c r="C943" s="75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</row>
    <row r="944" customFormat="false" ht="15.75" hidden="false" customHeight="true" outlineLevel="0" collapsed="false">
      <c r="A944" s="74"/>
      <c r="B944" s="74"/>
      <c r="C944" s="75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</row>
    <row r="945" customFormat="false" ht="15.75" hidden="false" customHeight="true" outlineLevel="0" collapsed="false">
      <c r="A945" s="74"/>
      <c r="B945" s="74"/>
      <c r="C945" s="75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</row>
    <row r="946" customFormat="false" ht="15" hidden="false" customHeight="true" outlineLevel="0" collapsed="false">
      <c r="B946" s="74"/>
      <c r="C946" s="75"/>
      <c r="D946" s="74"/>
      <c r="E946" s="74"/>
      <c r="F946" s="74"/>
      <c r="G946" s="74"/>
      <c r="H946" s="74"/>
      <c r="I946" s="74"/>
      <c r="J946" s="74"/>
    </row>
  </sheetData>
  <mergeCells count="5">
    <mergeCell ref="A7:J7"/>
    <mergeCell ref="A9:A10"/>
    <mergeCell ref="B9:B10"/>
    <mergeCell ref="C9:C10"/>
    <mergeCell ref="J9:J10"/>
  </mergeCells>
  <conditionalFormatting sqref="J11:J74">
    <cfRule type="cellIs" priority="2" operator="lessThan" aboveAverage="0" equalAverage="0" bottom="0" percent="0" rank="0" text="" dxfId="2">
      <formula>50</formula>
    </cfRule>
  </conditionalFormatting>
  <conditionalFormatting sqref="J11:J74">
    <cfRule type="cellIs" priority="3" operator="equal" aboveAverage="0" equalAverage="0" bottom="0" percent="0" rank="0" text="" dxfId="2">
      <formula>"AB"</formula>
    </cfRule>
  </conditionalFormatting>
  <conditionalFormatting sqref="I11:J11 G13:G15 G17:G69 G71 G73:G74">
    <cfRule type="cellIs" priority="4" operator="equal" aboveAverage="0" equalAverage="0" bottom="0" percent="0" rank="0" text="" dxfId="3">
      <formula>"AB"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2023-08-22T09:02:57Z</dcterms:created>
  <dc:creator>MJ</dc:creator>
  <dc:description/>
  <dc:language>en-US</dc:language>
  <cp:lastModifiedBy/>
  <cp:revision>0</cp:revision>
  <dc:subject/>
  <dc:title/>
</cp:coreProperties>
</file>