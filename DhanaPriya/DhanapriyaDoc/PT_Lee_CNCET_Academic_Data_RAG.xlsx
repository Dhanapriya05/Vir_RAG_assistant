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111638178816384/Desktop/VRAG/Vir_RAG_assistant/DhanaPriya/DhanapriyaDoc/"/>
    </mc:Choice>
  </mc:AlternateContent>
  <xr:revisionPtr revIDLastSave="1" documentId="13_ncr:1_{B3ACDB98-6D2E-4511-A4AF-88EC8F3B2588}" xr6:coauthVersionLast="47" xr6:coauthVersionMax="47" xr10:uidLastSave="{B4F724FA-6EA4-40B5-9612-2CE562F48C41}"/>
  <bookViews>
    <workbookView xWindow="-110" yWindow="-110" windowWidth="19420" windowHeight="10420" xr2:uid="{00000000-000D-0000-FFFF-FFFF00000000}"/>
  </bookViews>
  <sheets>
    <sheet name="1_Overview_&amp;_Regulations" sheetId="1" r:id="rId1"/>
    <sheet name="2_Curriculum_Subjects" sheetId="2" r:id="rId2"/>
    <sheet name="3_Exam_Patterns_&amp;_Grading" sheetId="3" r:id="rId3"/>
    <sheet name="4_GPA_CGPA_Calcula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4" l="1"/>
  <c r="B32" i="4"/>
  <c r="E31" i="4"/>
  <c r="E30" i="4"/>
  <c r="E29" i="4"/>
  <c r="E28" i="4"/>
  <c r="E27" i="4"/>
  <c r="E26" i="4"/>
  <c r="E25" i="4"/>
  <c r="E24" i="4"/>
  <c r="E32" i="4" s="1"/>
  <c r="E33" i="4" s="1"/>
  <c r="C18" i="4"/>
  <c r="G17" i="4"/>
  <c r="G16" i="4"/>
  <c r="G15" i="4"/>
  <c r="G14" i="4"/>
  <c r="G13" i="4"/>
  <c r="G12" i="4"/>
  <c r="G11" i="4"/>
  <c r="G18" i="4" s="1"/>
  <c r="G19" i="4" s="1"/>
</calcChain>
</file>

<file path=xl/sharedStrings.xml><?xml version="1.0" encoding="utf-8"?>
<sst xmlns="http://schemas.openxmlformats.org/spreadsheetml/2006/main" count="581" uniqueCount="316">
  <si>
    <t>P.T. LEE CHENGALVARAYA NAICKER COLLEGE OF ENGINEERING &amp; TECHNOLOGY (P.T. LEE CNCET)</t>
  </si>
  <si>
    <t>Affiliated to Anna University, Chennai | Approved by AICTE | Counselling Code: 1226 | Oovery, Kanchipuram</t>
  </si>
  <si>
    <t>Rule ID</t>
  </si>
  <si>
    <t>Category</t>
  </si>
  <si>
    <t>Policy Parameter</t>
  </si>
  <si>
    <t>Standard Regulation / Clause (Anna University Affiliated)</t>
  </si>
  <si>
    <t>Exceptions / Exemption Rules</t>
  </si>
  <si>
    <t>RAG Search Keywords</t>
  </si>
  <si>
    <t>INST-01</t>
  </si>
  <si>
    <t>Institution Details</t>
  </si>
  <si>
    <t>College Identification &amp; Accreditation</t>
  </si>
  <si>
    <t>P.T. Lee Chengalvaraya Naicker College of Engineering &amp; Technology (TNEA Code: 1226). Established in 2001 under P.T. Lee Chengalvaraya Naicker Trust (Est. 1874). Affiliated to Anna University, Chennai; Approved by AICTE, New Delhi.</t>
  </si>
  <si>
    <t>Address: Vallal P.T. Lee Chengalvaraya Naicker Nagar, Oovery, Veliyur Post, Kanchipuram - 631502. Contact: 044-29814031 / principal@ptleecncet.com.</t>
  </si>
  <si>
    <t>institution code, counselling code 1226, trust, anna university affiliation, location, contact</t>
  </si>
  <si>
    <t>REG-01</t>
  </si>
  <si>
    <t>Program Duration</t>
  </si>
  <si>
    <t>Degree Duration &amp; Limits</t>
  </si>
  <si>
    <t>Maximum time allowed to complete degree requirements is 14 consecutive semesters (7 years) for regular students and 12 semesters (6 years) for lateral entry.</t>
  </si>
  <si>
    <t>duration, max time, semesters, graduation limit, lateral entry</t>
  </si>
  <si>
    <t>REG-02</t>
  </si>
  <si>
    <t>Credit Framework</t>
  </si>
  <si>
    <t>Curriculum Credit Requirements</t>
  </si>
  <si>
    <t>Total credits required for award of B.Tech / B.E. degree ranges between 160 – 165 credits across 8 semesters as prescribed by Anna University syllabus.</t>
  </si>
  <si>
    <t>Minimum 20 credits per semester average. Students can take additional professional electives or online NPTEL/SWAYAM courses for credit transfer (up to 3 credits).</t>
  </si>
  <si>
    <t>total credits, credit framework, degree credits, nptel swaym credit transfer</t>
  </si>
  <si>
    <t>REG-03</t>
  </si>
  <si>
    <t>Passing Criteria</t>
  </si>
  <si>
    <t>Minimum Passing Marks</t>
  </si>
  <si>
    <t>A candidate shall be declared to have passed an examination in a course if they obtain a minimum of 50% marks in aggregate (Internal Assessment + End Semester Examination combined), with a minimum of 45% marks in End Semester Examination.</t>
  </si>
  <si>
    <t>Failing either aggregate or end-sem minimum results in 'RA' (Re-Appearance). Student must re-register and reappear for end-semester exam.</t>
  </si>
  <si>
    <t>pass mark, passing criteria, 50 percent aggregate, 45 percent end sem, RA grade, arrear</t>
  </si>
  <si>
    <t>REG-04</t>
  </si>
  <si>
    <t>Attendance Rules</t>
  </si>
  <si>
    <t>Mandatory Attendance Threshold</t>
  </si>
  <si>
    <t>Minimum 75% overall attendance is mandatory in each semester across all theory, practical, and blended courses to appear in Anna University End-Semester Examinations.</t>
  </si>
  <si>
    <t>Attendance between 65% and 74% may be condoned on valid medical grounds with medical certificate and condonation fee approval. Below 65% results in 'SA' (Shortage of Attendance - Prevention/Detention).</t>
  </si>
  <si>
    <t>attendance rule, 75 percent, condonation 65 percent, medical leave, attendance shortage, SA grade, detention</t>
  </si>
  <si>
    <t>REG-05</t>
  </si>
  <si>
    <t>Promotion Policy</t>
  </si>
  <si>
    <t>Semester Progression &amp; Backlogs</t>
  </si>
  <si>
    <t>Students are promoted to higher semesters irrespective of backlog arrears, provided they satisfy the minimum attendance requirement (&gt;=75%).</t>
  </si>
  <si>
    <t>A student who is prevented ('SA') due to lack of attendance must repeat the semester in the subsequent academic year.</t>
  </si>
  <si>
    <t>promotion rules, backlog policy, detention, year repeat, attendance prevention</t>
  </si>
  <si>
    <t>REG-06</t>
  </si>
  <si>
    <t>Grading Scale</t>
  </si>
  <si>
    <t>Letter Grade &amp; Grade Point System</t>
  </si>
  <si>
    <t>10-point letter grading system: O (10), A+ (9), A (8), B+ (7), B (6), C (5), RA (0 - Reappear), SA (0 - Shortage of Attendance), W (0 - Withdrawal).</t>
  </si>
  <si>
    <t>Grade 'C' (5.0 GP) is the lowest passing grade. Grades 'RA' and 'SA' carry 0 grade points and require cleared arrear exams.</t>
  </si>
  <si>
    <t>grading system, letter grade, anna university grades, grade point, ra, sa</t>
  </si>
  <si>
    <t>REG-07</t>
  </si>
  <si>
    <t>Scholarship &amp; Incentives</t>
  </si>
  <si>
    <t>Trust &amp; Academic Cash Awards</t>
  </si>
  <si>
    <t>P.T. Lee Chengalvaraya Naicker Trust distributes Rs. 2+ Crores Trust Scholarship per annum. Special Cash Prize of Rs. 3,000 is awarded to students who pass all subjects in all semesters without arrears in an academic year.</t>
  </si>
  <si>
    <t>Additional scholarships include Dr. M. Viswanathan - Pavai Endowment Fund Scholarship, First Graduate Scholarship, and Post-Matric Government Scholarships.</t>
  </si>
  <si>
    <t>scholarship, trust cash award 3000, pavai endowment, free hostel, financial aid</t>
  </si>
  <si>
    <t>REG-08</t>
  </si>
  <si>
    <t>Hostel &amp; Transport Rules</t>
  </si>
  <si>
    <t>Accommodation &amp; Commute Policies</t>
  </si>
  <si>
    <t>Free hostel accommodation is provided for boys and girls inside the campus with mess charges subsidized at Rs. 90/day. Fleet of GPS-enabled college buses operates across Kanchipuram, Arakkonam, Arcot, Tiruttani, Ranipet, and Vellore.</t>
  </si>
  <si>
    <t>Hostel entry deadline is 6:30 PM. Day-scholar students must carry valid bus passes issued by college transport office.</t>
  </si>
  <si>
    <t>hostel rules, free hostel, mess bill 90 rupees, college bus routes, transport facility</t>
  </si>
  <si>
    <t>P.T. LEE CNCET - DEPARTMENT OF INFORMATION TECHNOLOGY (B.TECH IT) &amp; CORE ENGINEERING CURRICULUM</t>
  </si>
  <si>
    <t>Anna University Regulation 2021 (R2021) CBCS Curriculum &amp; Course Matrix</t>
  </si>
  <si>
    <t>Course Code</t>
  </si>
  <si>
    <t>Course Title / Subject Name</t>
  </si>
  <si>
    <t>Department</t>
  </si>
  <si>
    <t>Year</t>
  </si>
  <si>
    <t>Semester</t>
  </si>
  <si>
    <t>Course Type</t>
  </si>
  <si>
    <t>Lecture (L)</t>
  </si>
  <si>
    <t>Tutorial (T)</t>
  </si>
  <si>
    <t>Practical (P)</t>
  </si>
  <si>
    <t>Credits (C)</t>
  </si>
  <si>
    <t>Internal Marks</t>
  </si>
  <si>
    <t>External Marks</t>
  </si>
  <si>
    <t>Total Marks</t>
  </si>
  <si>
    <t>IP3151</t>
  </si>
  <si>
    <t>Induction Programme</t>
  </si>
  <si>
    <t>S&amp;H</t>
  </si>
  <si>
    <t>Year 1</t>
  </si>
  <si>
    <t>Semester 1</t>
  </si>
  <si>
    <t>Mandatory</t>
  </si>
  <si>
    <t>Non-Credit</t>
  </si>
  <si>
    <t>HS3151</t>
  </si>
  <si>
    <t>Professional English - I</t>
  </si>
  <si>
    <t>Humanities</t>
  </si>
  <si>
    <t>Theory</t>
  </si>
  <si>
    <t>MA3151</t>
  </si>
  <si>
    <t>Matrices and Calculus</t>
  </si>
  <si>
    <t>Basic Science</t>
  </si>
  <si>
    <t>PH3151</t>
  </si>
  <si>
    <t>Engineering Physics</t>
  </si>
  <si>
    <t>CY3151</t>
  </si>
  <si>
    <t>Engineering Chemistry</t>
  </si>
  <si>
    <t>GE3151</t>
  </si>
  <si>
    <t>Problem Solving and Python Programming</t>
  </si>
  <si>
    <t>CSE/IT</t>
  </si>
  <si>
    <t>Engineering Science</t>
  </si>
  <si>
    <t>GE3152</t>
  </si>
  <si>
    <t>Heritage of Tamils (தமிழர் மரபு)</t>
  </si>
  <si>
    <t>GE3171</t>
  </si>
  <si>
    <t>Problem Solving and Python Programming Laboratory</t>
  </si>
  <si>
    <t>Practical</t>
  </si>
  <si>
    <t>BS3171</t>
  </si>
  <si>
    <t>Physics and Chemistry Laboratory</t>
  </si>
  <si>
    <t>HS3251</t>
  </si>
  <si>
    <t>Professional English - II</t>
  </si>
  <si>
    <t>Semester 2</t>
  </si>
  <si>
    <t>MA3251</t>
  </si>
  <si>
    <t>Statistics and Numerical Methods</t>
  </si>
  <si>
    <t>PH3256</t>
  </si>
  <si>
    <t>Physics for Information Science</t>
  </si>
  <si>
    <t>BE3251</t>
  </si>
  <si>
    <t>Basic Electrical and Electronics Engineering</t>
  </si>
  <si>
    <t>EEE</t>
  </si>
  <si>
    <t>GE3251</t>
  </si>
  <si>
    <t>Engineering Graphics</t>
  </si>
  <si>
    <t>Mech</t>
  </si>
  <si>
    <t>Theory + Design</t>
  </si>
  <si>
    <t>CS3251</t>
  </si>
  <si>
    <t>Programming in C</t>
  </si>
  <si>
    <t>Professional Core</t>
  </si>
  <si>
    <t>GE3252</t>
  </si>
  <si>
    <t>Tamils and Technology (தமிழரும் தொழில்நுட்பமும்)</t>
  </si>
  <si>
    <t>GE3271</t>
  </si>
  <si>
    <t>Engineering Practices Laboratory</t>
  </si>
  <si>
    <t>Mech/EEE</t>
  </si>
  <si>
    <t>CS3271</t>
  </si>
  <si>
    <t>Programming in C Laboratory</t>
  </si>
  <si>
    <t>MA3354</t>
  </si>
  <si>
    <t>Discrete Mathematics</t>
  </si>
  <si>
    <t>Year 2</t>
  </si>
  <si>
    <t>Semester 3</t>
  </si>
  <si>
    <t>CS3351</t>
  </si>
  <si>
    <t>Digital Principles and Computer Organization</t>
  </si>
  <si>
    <t>CS3352</t>
  </si>
  <si>
    <t>Foundations of Data Science</t>
  </si>
  <si>
    <t>IT</t>
  </si>
  <si>
    <t>CD3291</t>
  </si>
  <si>
    <t>Data Structures and Algorithms</t>
  </si>
  <si>
    <t>CS3391</t>
  </si>
  <si>
    <t>Object Oriented Programming (Java)</t>
  </si>
  <si>
    <t>CD3281</t>
  </si>
  <si>
    <t>Data Structures and Algorithms Laboratory</t>
  </si>
  <si>
    <t>CS3361</t>
  </si>
  <si>
    <t>Data Science Laboratory</t>
  </si>
  <si>
    <t>CS3381</t>
  </si>
  <si>
    <t>Object Oriented Programming Laboratory</t>
  </si>
  <si>
    <t>CS3452</t>
  </si>
  <si>
    <t>Theory of Computation</t>
  </si>
  <si>
    <t>Semester 4</t>
  </si>
  <si>
    <t>CS3491</t>
  </si>
  <si>
    <t>Artificial Intelligence and Machine Learning</t>
  </si>
  <si>
    <t>Theory + Lab</t>
  </si>
  <si>
    <t>CS3492</t>
  </si>
  <si>
    <t>Database Management Systems</t>
  </si>
  <si>
    <t>IT3401</t>
  </si>
  <si>
    <t>Web Essentials (Full Stack Web Lab)</t>
  </si>
  <si>
    <t>CS3451</t>
  </si>
  <si>
    <t>Introduction to Operating Systems</t>
  </si>
  <si>
    <t>CS3461</t>
  </si>
  <si>
    <t>Operating Systems Laboratory</t>
  </si>
  <si>
    <t>CS3481</t>
  </si>
  <si>
    <t>Database Management Systems Laboratory</t>
  </si>
  <si>
    <t>CS3591</t>
  </si>
  <si>
    <t>Computer Networks</t>
  </si>
  <si>
    <t>Year 3</t>
  </si>
  <si>
    <t>Semester 5</t>
  </si>
  <si>
    <t>IT3501</t>
  </si>
  <si>
    <t>Full Stack Web Development</t>
  </si>
  <si>
    <t>CS3551</t>
  </si>
  <si>
    <t>Distributed Computing &amp; Cloud Architecture</t>
  </si>
  <si>
    <t>CCS334</t>
  </si>
  <si>
    <t>Big Data Analytics (Professional Elective I)</t>
  </si>
  <si>
    <t>Professional Elective</t>
  </si>
  <si>
    <t>CCS341</t>
  </si>
  <si>
    <t>Cyber Security &amp; Digital Forensics (PE II)</t>
  </si>
  <si>
    <t>IT3681</t>
  </si>
  <si>
    <t>Mobile Application Development Laboratory</t>
  </si>
  <si>
    <t>Semester 6</t>
  </si>
  <si>
    <t>IT3601</t>
  </si>
  <si>
    <t>Embedded Systems and Internet of Things (IoT)</t>
  </si>
  <si>
    <t>CCS370</t>
  </si>
  <si>
    <t>UI/UX Design &amp; Prototyping (PE III)</t>
  </si>
  <si>
    <t>IT3611</t>
  </si>
  <si>
    <t>Mini Project / Industrial Internship Training</t>
  </si>
  <si>
    <t>Project Work</t>
  </si>
  <si>
    <t>GE3791</t>
  </si>
  <si>
    <t>Human Values and Ethics</t>
  </si>
  <si>
    <t>Year 4</t>
  </si>
  <si>
    <t>Semester 7</t>
  </si>
  <si>
    <t>OEC351</t>
  </si>
  <si>
    <t>Open Elective - Renewable Energy Sources</t>
  </si>
  <si>
    <t>EEE/Mech</t>
  </si>
  <si>
    <t>Open Elective</t>
  </si>
  <si>
    <t>IT3711</t>
  </si>
  <si>
    <t>Summer Internship / Industrial Training</t>
  </si>
  <si>
    <t>IT3712</t>
  </si>
  <si>
    <t>Project Work - Phase I</t>
  </si>
  <si>
    <t>IT3811</t>
  </si>
  <si>
    <t>Project Work - Phase II</t>
  </si>
  <si>
    <t>Semester 8</t>
  </si>
  <si>
    <t>P.T. LEE CNCET - EXAMINATION PATTERNS, ASSESSMENT SPLIT &amp; ANNA UNIVERSITY GRADING</t>
  </si>
  <si>
    <t>Continuous Internal Assessment (CIA), End-Semester Exams (ESE) &amp; 10-Point Absolute Grading Scale</t>
  </si>
  <si>
    <t>TABLE 1: CONTINUOUS INTERNAL ASSESSMENT (CIA) &amp; END-SEMESTER EXAM (ESE) SPLIT</t>
  </si>
  <si>
    <t>Assessment Category</t>
  </si>
  <si>
    <t>Internal Assessment (CIA %)</t>
  </si>
  <si>
    <t>Internal Evaluation Breakdown</t>
  </si>
  <si>
    <t>End Semester Exam (ESE %)</t>
  </si>
  <si>
    <t>Exam Duration</t>
  </si>
  <si>
    <t>Theory Courses</t>
  </si>
  <si>
    <t>Theory (Pure Lecture)</t>
  </si>
  <si>
    <t>40% (40 Marks)</t>
  </si>
  <si>
    <t>Internal Assessment Tests I &amp; II (20%), Model Exam (10%), Assignments/Quizzes/Tutorials (10%)</t>
  </si>
  <si>
    <t>60% (100 Marks scaled to 60)</t>
  </si>
  <si>
    <t>3 Hours</t>
  </si>
  <si>
    <t>Min 45% in End-Sem Exam AND Min 50% in Total (CIA+ESE)</t>
  </si>
  <si>
    <t>Laboratory Courses</t>
  </si>
  <si>
    <t>Practical / Lab</t>
  </si>
  <si>
    <t>60% (60 Marks)</t>
  </si>
  <si>
    <t>Continuous lab experiment performance &amp; observation (30%), Model Practical Exam (20%), Record Note submission (10%)</t>
  </si>
  <si>
    <t>40% (100 Marks scaled to 40)</t>
  </si>
  <si>
    <t>Min 45% in Practical Exam AND Min 50% in Total</t>
  </si>
  <si>
    <t>Theory with Lab (Embedded)</t>
  </si>
  <si>
    <t>Blended / Integrated</t>
  </si>
  <si>
    <t>50% (50 Marks)</t>
  </si>
  <si>
    <t>Theory Assessment Tests (25%) + Practical Continuous Lab Evaluation (25%)</t>
  </si>
  <si>
    <t>50% (100 Marks scaled to 50)</t>
  </si>
  <si>
    <t>Min 45% in ESE AND Min 50% Overall</t>
  </si>
  <si>
    <t>Employability / Value Added</t>
  </si>
  <si>
    <t>Value-Added Certification</t>
  </si>
  <si>
    <t>100% Internal</t>
  </si>
  <si>
    <t>Continuous mini-tasks, coding benchmarks, mock interview rounds, and live project submission</t>
  </si>
  <si>
    <t>0% (No University Exam)</t>
  </si>
  <si>
    <t>Continuous</t>
  </si>
  <si>
    <t>Min 50% in Internal Assessment</t>
  </si>
  <si>
    <t>Project Work Phase-I (Sem 7)</t>
  </si>
  <si>
    <t>Three review presentations before Department Project Committee (Zeroth, 1st, and 2nd Review)</t>
  </si>
  <si>
    <t>Viva-Voce</t>
  </si>
  <si>
    <t>Min 50% in Aggregate</t>
  </si>
  <si>
    <t>Project Work Phase-II (Sem 8)</t>
  </si>
  <si>
    <t>Final Capstone Project</t>
  </si>
  <si>
    <t>Three review presentations (Project Committee) + Dissertation Report</t>
  </si>
  <si>
    <t>External Viva-Voce</t>
  </si>
  <si>
    <t>TABLE 2: ANNA UNIVERSITY 10-POINT LETTER GRADING SYSTEM</t>
  </si>
  <si>
    <t>Marks Range (%)</t>
  </si>
  <si>
    <t>Letter Grade</t>
  </si>
  <si>
    <t>Grade Point (GP)</t>
  </si>
  <si>
    <t>Performance Level</t>
  </si>
  <si>
    <t>Classification Impact / Academic Standing</t>
  </si>
  <si>
    <t>Result Status</t>
  </si>
  <si>
    <t>91 – 100</t>
  </si>
  <si>
    <t>O</t>
  </si>
  <si>
    <t>Outstanding</t>
  </si>
  <si>
    <t>First Class with Distinction (if cleared in 1st attempt)</t>
  </si>
  <si>
    <t>PASS</t>
  </si>
  <si>
    <t>81 – 90</t>
  </si>
  <si>
    <t>A+</t>
  </si>
  <si>
    <t>Excellent</t>
  </si>
  <si>
    <t>71 – 80</t>
  </si>
  <si>
    <t>A</t>
  </si>
  <si>
    <t>Very Good</t>
  </si>
  <si>
    <t>First Class</t>
  </si>
  <si>
    <t>61 – 70</t>
  </si>
  <si>
    <t>B+</t>
  </si>
  <si>
    <t>Good</t>
  </si>
  <si>
    <t>50 – 60</t>
  </si>
  <si>
    <t>B</t>
  </si>
  <si>
    <t>Average</t>
  </si>
  <si>
    <t>Second Class</t>
  </si>
  <si>
    <t>&lt; 50 (or &lt;45% in ESE)</t>
  </si>
  <si>
    <t>RA</t>
  </si>
  <si>
    <t>Re-Appearance Required</t>
  </si>
  <si>
    <t>Arrear in Subject; Must appear in supplementary exam</t>
  </si>
  <si>
    <t>FAIL / REAPPEAR</t>
  </si>
  <si>
    <t>Shortage of Attendance (&lt;65%)</t>
  </si>
  <si>
    <t>SA</t>
  </si>
  <si>
    <t>Shortage of Attendance</t>
  </si>
  <si>
    <t>Course / Semester Detention; Must re-register course</t>
  </si>
  <si>
    <t>DETAINED</t>
  </si>
  <si>
    <t>Absent in End-Sem Exam</t>
  </si>
  <si>
    <t>AB</t>
  </si>
  <si>
    <t>Absent</t>
  </si>
  <si>
    <t>Arrear in Subject; Must appear in next exam cycle</t>
  </si>
  <si>
    <t>ABSENT / REAPPEAR</t>
  </si>
  <si>
    <t>Withdrawal from Exam</t>
  </si>
  <si>
    <t>W</t>
  </si>
  <si>
    <t>Withdrawal</t>
  </si>
  <si>
    <t>Authorized exam withdrawal on medical/valid grounds</t>
  </si>
  <si>
    <t>WITHDRAWN</t>
  </si>
  <si>
    <t>P.T. LEE CNCET - ANNA UNIVERSITY GPA &amp; CGPA AUTOMATED CALCULATOR</t>
  </si>
  <si>
    <t>Automated Calculation Engine for Semester GPA (SGPA) and Cumulative CGPA with Working Excel Formulas</t>
  </si>
  <si>
    <t>ANNA UNIVERSITY GPA / CGPA FORMULA SPECIFICATIONS:</t>
  </si>
  <si>
    <t>Semester GPA (SGPA) = Σ (Credits [Ci] × Grade Point [Gi]) / Σ (Credits [Ci])</t>
  </si>
  <si>
    <t>Cumulative CGPA = Σ (Semester Total Credit Points [Si]) / Σ (Total Credits Across All Semesters)</t>
  </si>
  <si>
    <t>SEMESTER CALCULATOR (SAMPLE ACTIVE SEMESTER)</t>
  </si>
  <si>
    <t>Course Title</t>
  </si>
  <si>
    <t>Course Credits (Ci)</t>
  </si>
  <si>
    <t>Total Marks Scored (100)</t>
  </si>
  <si>
    <t>Grade Point (Gi)</t>
  </si>
  <si>
    <t>Credit Points Earned (Ci × Gi)</t>
  </si>
  <si>
    <t>Pass/Arrear Status</t>
  </si>
  <si>
    <t>DBMS Laboratory</t>
  </si>
  <si>
    <t>Total Semester Summary</t>
  </si>
  <si>
    <t>Calculated Semester GPA (SGPA)</t>
  </si>
  <si>
    <t>CUMULATIVE CGPA RECORD (SEMESTER 1 TO SEMESTER 8)</t>
  </si>
  <si>
    <t>Credits Registered</t>
  </si>
  <si>
    <t>Credits Earned</t>
  </si>
  <si>
    <t>SGPA Earned</t>
  </si>
  <si>
    <t>Credit Points (Credits × SGPA)</t>
  </si>
  <si>
    <t>Anna University Classification Standing</t>
  </si>
  <si>
    <t>First Class with Distinction</t>
  </si>
  <si>
    <t>Total Cumulative Credits</t>
  </si>
  <si>
    <t>FINAL OVERALL CGPA</t>
  </si>
  <si>
    <t>FIRST CLASS WITH DISTINCTION (&gt;= 8.50 CGPA)</t>
  </si>
  <si>
    <t>B.E. / B.Tech: 4 Academic Years (8 Semesters) under Anna University CBCS Regulations (R2021/R2025).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</si>
</sst>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name val="Calibri"/>
    </font>
    <font>
      <b/>
      <sz val="10"/>
      <name val="Calibri"/>
    </font>
    <font>
      <sz val="1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000000"/>
      </top>
      <bottom style="medium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4" topLeftCell="A8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2" max="2" width="18" customWidth="1"/>
    <col min="3" max="3" width="24" customWidth="1"/>
    <col min="4" max="4" width="46" customWidth="1"/>
    <col min="5" max="5" width="44" customWidth="1"/>
    <col min="6" max="6" width="30" customWidth="1"/>
  </cols>
  <sheetData>
    <row r="1" spans="1:6" ht="17" x14ac:dyDescent="0.4">
      <c r="A1" s="1" t="s">
        <v>0</v>
      </c>
    </row>
    <row r="2" spans="1:6" x14ac:dyDescent="0.35">
      <c r="A2" s="2" t="s">
        <v>1</v>
      </c>
    </row>
    <row r="4" spans="1:6" ht="2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36" customHeight="1" x14ac:dyDescent="0.35">
      <c r="A5" s="4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spans="1:6" ht="36" customHeight="1" x14ac:dyDescent="0.35">
      <c r="A6" s="4" t="s">
        <v>14</v>
      </c>
      <c r="B6" s="4" t="s">
        <v>15</v>
      </c>
      <c r="C6" s="5" t="s">
        <v>16</v>
      </c>
      <c r="D6" s="5" t="s">
        <v>315</v>
      </c>
      <c r="E6" s="5" t="s">
        <v>17</v>
      </c>
      <c r="F6" s="5" t="s">
        <v>18</v>
      </c>
    </row>
    <row r="7" spans="1:6" ht="36" customHeight="1" x14ac:dyDescent="0.35">
      <c r="A7" s="4" t="s">
        <v>19</v>
      </c>
      <c r="B7" s="4" t="s">
        <v>20</v>
      </c>
      <c r="C7" s="5" t="s">
        <v>21</v>
      </c>
      <c r="D7" s="5" t="s">
        <v>22</v>
      </c>
      <c r="E7" s="5" t="s">
        <v>23</v>
      </c>
      <c r="F7" s="5" t="s">
        <v>24</v>
      </c>
    </row>
    <row r="8" spans="1:6" ht="36" customHeight="1" x14ac:dyDescent="0.35">
      <c r="A8" s="4" t="s">
        <v>25</v>
      </c>
      <c r="B8" s="4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6" ht="36" customHeight="1" x14ac:dyDescent="0.35">
      <c r="A9" s="4" t="s">
        <v>31</v>
      </c>
      <c r="B9" s="4" t="s">
        <v>32</v>
      </c>
      <c r="C9" s="5" t="s">
        <v>33</v>
      </c>
      <c r="D9" s="5" t="s">
        <v>34</v>
      </c>
      <c r="E9" s="5" t="s">
        <v>35</v>
      </c>
      <c r="F9" s="5" t="s">
        <v>36</v>
      </c>
    </row>
    <row r="10" spans="1:6" ht="36" customHeight="1" x14ac:dyDescent="0.35">
      <c r="A10" s="4" t="s">
        <v>37</v>
      </c>
      <c r="B10" s="4" t="s">
        <v>38</v>
      </c>
      <c r="C10" s="5" t="s">
        <v>39</v>
      </c>
      <c r="D10" s="5" t="s">
        <v>40</v>
      </c>
      <c r="E10" s="5" t="s">
        <v>41</v>
      </c>
      <c r="F10" s="5" t="s">
        <v>42</v>
      </c>
    </row>
    <row r="11" spans="1:6" ht="36" customHeight="1" x14ac:dyDescent="0.35">
      <c r="A11" s="4" t="s">
        <v>43</v>
      </c>
      <c r="B11" s="4" t="s">
        <v>44</v>
      </c>
      <c r="C11" s="5" t="s">
        <v>45</v>
      </c>
      <c r="D11" s="5" t="s">
        <v>46</v>
      </c>
      <c r="E11" s="5" t="s">
        <v>47</v>
      </c>
      <c r="F11" s="5" t="s">
        <v>48</v>
      </c>
    </row>
    <row r="12" spans="1:6" ht="36" customHeight="1" x14ac:dyDescent="0.35">
      <c r="A12" s="4" t="s">
        <v>49</v>
      </c>
      <c r="B12" s="4" t="s">
        <v>50</v>
      </c>
      <c r="C12" s="5" t="s">
        <v>51</v>
      </c>
      <c r="D12" s="5" t="s">
        <v>52</v>
      </c>
      <c r="E12" s="5" t="s">
        <v>53</v>
      </c>
      <c r="F12" s="5" t="s">
        <v>54</v>
      </c>
    </row>
    <row r="13" spans="1:6" ht="36" customHeight="1" x14ac:dyDescent="0.35">
      <c r="A13" s="4" t="s">
        <v>55</v>
      </c>
      <c r="B13" s="4" t="s">
        <v>56</v>
      </c>
      <c r="C13" s="5" t="s">
        <v>57</v>
      </c>
      <c r="D13" s="5" t="s">
        <v>58</v>
      </c>
      <c r="E13" s="5" t="s">
        <v>59</v>
      </c>
      <c r="F13" s="5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52" customWidth="1"/>
    <col min="3" max="3" width="13" customWidth="1"/>
    <col min="4" max="4" width="12" customWidth="1"/>
    <col min="5" max="5" width="13" customWidth="1"/>
    <col min="6" max="6" width="24" customWidth="1"/>
    <col min="7" max="7" width="18" customWidth="1"/>
    <col min="8" max="8" width="14" customWidth="1"/>
    <col min="9" max="9" width="15" customWidth="1"/>
    <col min="10" max="10" width="16" customWidth="1"/>
    <col min="11" max="11" width="14" customWidth="1"/>
    <col min="12" max="13" width="17" customWidth="1"/>
    <col min="14" max="14" width="14" customWidth="1"/>
  </cols>
  <sheetData>
    <row r="1" spans="1:14" ht="17" x14ac:dyDescent="0.4">
      <c r="A1" s="1" t="s">
        <v>61</v>
      </c>
    </row>
    <row r="2" spans="1:14" x14ac:dyDescent="0.35">
      <c r="A2" s="2" t="s">
        <v>62</v>
      </c>
    </row>
    <row r="4" spans="1:14" ht="24" customHeight="1" x14ac:dyDescent="0.35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3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</row>
    <row r="5" spans="1:14" ht="20" customHeight="1" x14ac:dyDescent="0.35">
      <c r="A5" s="6" t="s">
        <v>76</v>
      </c>
      <c r="B5" s="7" t="s">
        <v>77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8">
        <v>0</v>
      </c>
      <c r="I5" s="8">
        <v>0</v>
      </c>
      <c r="J5" s="8">
        <v>0</v>
      </c>
      <c r="K5" s="8">
        <v>0</v>
      </c>
      <c r="L5" s="8">
        <v>100</v>
      </c>
      <c r="M5" s="8">
        <v>0</v>
      </c>
      <c r="N5" s="8">
        <v>100</v>
      </c>
    </row>
    <row r="6" spans="1:14" ht="20" customHeight="1" x14ac:dyDescent="0.35">
      <c r="A6" s="6" t="s">
        <v>83</v>
      </c>
      <c r="B6" s="7" t="s">
        <v>84</v>
      </c>
      <c r="C6" s="6" t="s">
        <v>78</v>
      </c>
      <c r="D6" s="6" t="s">
        <v>79</v>
      </c>
      <c r="E6" s="6" t="s">
        <v>80</v>
      </c>
      <c r="F6" s="6" t="s">
        <v>85</v>
      </c>
      <c r="G6" s="6" t="s">
        <v>86</v>
      </c>
      <c r="H6" s="8">
        <v>3</v>
      </c>
      <c r="I6" s="8">
        <v>0</v>
      </c>
      <c r="J6" s="8">
        <v>0</v>
      </c>
      <c r="K6" s="8">
        <v>3</v>
      </c>
      <c r="L6" s="8">
        <v>40</v>
      </c>
      <c r="M6" s="8">
        <v>60</v>
      </c>
      <c r="N6" s="8">
        <v>100</v>
      </c>
    </row>
    <row r="7" spans="1:14" ht="20" customHeight="1" x14ac:dyDescent="0.35">
      <c r="A7" s="6" t="s">
        <v>87</v>
      </c>
      <c r="B7" s="7" t="s">
        <v>88</v>
      </c>
      <c r="C7" s="6" t="s">
        <v>78</v>
      </c>
      <c r="D7" s="6" t="s">
        <v>79</v>
      </c>
      <c r="E7" s="6" t="s">
        <v>80</v>
      </c>
      <c r="F7" s="6" t="s">
        <v>89</v>
      </c>
      <c r="G7" s="6" t="s">
        <v>86</v>
      </c>
      <c r="H7" s="8">
        <v>3</v>
      </c>
      <c r="I7" s="8">
        <v>1</v>
      </c>
      <c r="J7" s="8">
        <v>0</v>
      </c>
      <c r="K7" s="8">
        <v>4</v>
      </c>
      <c r="L7" s="8">
        <v>40</v>
      </c>
      <c r="M7" s="8">
        <v>60</v>
      </c>
      <c r="N7" s="8">
        <v>100</v>
      </c>
    </row>
    <row r="8" spans="1:14" ht="20" customHeight="1" x14ac:dyDescent="0.35">
      <c r="A8" s="6" t="s">
        <v>90</v>
      </c>
      <c r="B8" s="7" t="s">
        <v>91</v>
      </c>
      <c r="C8" s="6" t="s">
        <v>78</v>
      </c>
      <c r="D8" s="6" t="s">
        <v>79</v>
      </c>
      <c r="E8" s="6" t="s">
        <v>80</v>
      </c>
      <c r="F8" s="6" t="s">
        <v>89</v>
      </c>
      <c r="G8" s="6" t="s">
        <v>86</v>
      </c>
      <c r="H8" s="8">
        <v>3</v>
      </c>
      <c r="I8" s="8">
        <v>0</v>
      </c>
      <c r="J8" s="8">
        <v>0</v>
      </c>
      <c r="K8" s="8">
        <v>3</v>
      </c>
      <c r="L8" s="8">
        <v>40</v>
      </c>
      <c r="M8" s="8">
        <v>60</v>
      </c>
      <c r="N8" s="8">
        <v>100</v>
      </c>
    </row>
    <row r="9" spans="1:14" ht="20" customHeight="1" x14ac:dyDescent="0.35">
      <c r="A9" s="6" t="s">
        <v>92</v>
      </c>
      <c r="B9" s="7" t="s">
        <v>93</v>
      </c>
      <c r="C9" s="6" t="s">
        <v>78</v>
      </c>
      <c r="D9" s="6" t="s">
        <v>79</v>
      </c>
      <c r="E9" s="6" t="s">
        <v>80</v>
      </c>
      <c r="F9" s="6" t="s">
        <v>89</v>
      </c>
      <c r="G9" s="6" t="s">
        <v>86</v>
      </c>
      <c r="H9" s="8">
        <v>3</v>
      </c>
      <c r="I9" s="8">
        <v>0</v>
      </c>
      <c r="J9" s="8">
        <v>0</v>
      </c>
      <c r="K9" s="8">
        <v>3</v>
      </c>
      <c r="L9" s="8">
        <v>40</v>
      </c>
      <c r="M9" s="8">
        <v>60</v>
      </c>
      <c r="N9" s="8">
        <v>100</v>
      </c>
    </row>
    <row r="10" spans="1:14" ht="20" customHeight="1" x14ac:dyDescent="0.35">
      <c r="A10" s="6" t="s">
        <v>94</v>
      </c>
      <c r="B10" s="7" t="s">
        <v>95</v>
      </c>
      <c r="C10" s="6" t="s">
        <v>96</v>
      </c>
      <c r="D10" s="6" t="s">
        <v>79</v>
      </c>
      <c r="E10" s="6" t="s">
        <v>80</v>
      </c>
      <c r="F10" s="6" t="s">
        <v>97</v>
      </c>
      <c r="G10" s="6" t="s">
        <v>86</v>
      </c>
      <c r="H10" s="8">
        <v>3</v>
      </c>
      <c r="I10" s="8">
        <v>0</v>
      </c>
      <c r="J10" s="8">
        <v>0</v>
      </c>
      <c r="K10" s="8">
        <v>3</v>
      </c>
      <c r="L10" s="8">
        <v>40</v>
      </c>
      <c r="M10" s="8">
        <v>60</v>
      </c>
      <c r="N10" s="8">
        <v>100</v>
      </c>
    </row>
    <row r="11" spans="1:14" ht="20" customHeight="1" x14ac:dyDescent="0.35">
      <c r="A11" s="6" t="s">
        <v>98</v>
      </c>
      <c r="B11" s="7" t="s">
        <v>99</v>
      </c>
      <c r="C11" s="6" t="s">
        <v>78</v>
      </c>
      <c r="D11" s="6" t="s">
        <v>79</v>
      </c>
      <c r="E11" s="6" t="s">
        <v>80</v>
      </c>
      <c r="F11" s="6" t="s">
        <v>85</v>
      </c>
      <c r="G11" s="6" t="s">
        <v>86</v>
      </c>
      <c r="H11" s="8">
        <v>1</v>
      </c>
      <c r="I11" s="8">
        <v>0</v>
      </c>
      <c r="J11" s="8">
        <v>0</v>
      </c>
      <c r="K11" s="8">
        <v>1</v>
      </c>
      <c r="L11" s="8">
        <v>40</v>
      </c>
      <c r="M11" s="8">
        <v>60</v>
      </c>
      <c r="N11" s="8">
        <v>100</v>
      </c>
    </row>
    <row r="12" spans="1:14" ht="20" customHeight="1" x14ac:dyDescent="0.35">
      <c r="A12" s="6" t="s">
        <v>100</v>
      </c>
      <c r="B12" s="7" t="s">
        <v>101</v>
      </c>
      <c r="C12" s="6" t="s">
        <v>96</v>
      </c>
      <c r="D12" s="6" t="s">
        <v>79</v>
      </c>
      <c r="E12" s="6" t="s">
        <v>80</v>
      </c>
      <c r="F12" s="6" t="s">
        <v>97</v>
      </c>
      <c r="G12" s="6" t="s">
        <v>102</v>
      </c>
      <c r="H12" s="8">
        <v>0</v>
      </c>
      <c r="I12" s="8">
        <v>0</v>
      </c>
      <c r="J12" s="8">
        <v>4</v>
      </c>
      <c r="K12" s="8">
        <v>2</v>
      </c>
      <c r="L12" s="8">
        <v>60</v>
      </c>
      <c r="M12" s="8">
        <v>40</v>
      </c>
      <c r="N12" s="8">
        <v>100</v>
      </c>
    </row>
    <row r="13" spans="1:14" ht="20" customHeight="1" x14ac:dyDescent="0.35">
      <c r="A13" s="6" t="s">
        <v>103</v>
      </c>
      <c r="B13" s="7" t="s">
        <v>104</v>
      </c>
      <c r="C13" s="6" t="s">
        <v>78</v>
      </c>
      <c r="D13" s="6" t="s">
        <v>79</v>
      </c>
      <c r="E13" s="6" t="s">
        <v>80</v>
      </c>
      <c r="F13" s="6" t="s">
        <v>89</v>
      </c>
      <c r="G13" s="6" t="s">
        <v>102</v>
      </c>
      <c r="H13" s="8">
        <v>0</v>
      </c>
      <c r="I13" s="8">
        <v>0</v>
      </c>
      <c r="J13" s="8">
        <v>4</v>
      </c>
      <c r="K13" s="8">
        <v>2</v>
      </c>
      <c r="L13" s="8">
        <v>60</v>
      </c>
      <c r="M13" s="8">
        <v>40</v>
      </c>
      <c r="N13" s="8">
        <v>100</v>
      </c>
    </row>
    <row r="14" spans="1:14" ht="20" customHeight="1" x14ac:dyDescent="0.35">
      <c r="A14" s="6" t="s">
        <v>105</v>
      </c>
      <c r="B14" s="7" t="s">
        <v>106</v>
      </c>
      <c r="C14" s="6" t="s">
        <v>78</v>
      </c>
      <c r="D14" s="6" t="s">
        <v>79</v>
      </c>
      <c r="E14" s="6" t="s">
        <v>107</v>
      </c>
      <c r="F14" s="6" t="s">
        <v>85</v>
      </c>
      <c r="G14" s="6" t="s">
        <v>86</v>
      </c>
      <c r="H14" s="8">
        <v>2</v>
      </c>
      <c r="I14" s="8">
        <v>0</v>
      </c>
      <c r="J14" s="8">
        <v>0</v>
      </c>
      <c r="K14" s="8">
        <v>2</v>
      </c>
      <c r="L14" s="8">
        <v>40</v>
      </c>
      <c r="M14" s="8">
        <v>60</v>
      </c>
      <c r="N14" s="8">
        <v>100</v>
      </c>
    </row>
    <row r="15" spans="1:14" ht="20" customHeight="1" x14ac:dyDescent="0.35">
      <c r="A15" s="6" t="s">
        <v>108</v>
      </c>
      <c r="B15" s="7" t="s">
        <v>109</v>
      </c>
      <c r="C15" s="6" t="s">
        <v>78</v>
      </c>
      <c r="D15" s="6" t="s">
        <v>79</v>
      </c>
      <c r="E15" s="6" t="s">
        <v>107</v>
      </c>
      <c r="F15" s="6" t="s">
        <v>89</v>
      </c>
      <c r="G15" s="6" t="s">
        <v>86</v>
      </c>
      <c r="H15" s="8">
        <v>3</v>
      </c>
      <c r="I15" s="8">
        <v>1</v>
      </c>
      <c r="J15" s="8">
        <v>0</v>
      </c>
      <c r="K15" s="8">
        <v>4</v>
      </c>
      <c r="L15" s="8">
        <v>40</v>
      </c>
      <c r="M15" s="8">
        <v>60</v>
      </c>
      <c r="N15" s="8">
        <v>100</v>
      </c>
    </row>
    <row r="16" spans="1:14" ht="20" customHeight="1" x14ac:dyDescent="0.35">
      <c r="A16" s="6" t="s">
        <v>110</v>
      </c>
      <c r="B16" s="7" t="s">
        <v>111</v>
      </c>
      <c r="C16" s="6" t="s">
        <v>78</v>
      </c>
      <c r="D16" s="6" t="s">
        <v>79</v>
      </c>
      <c r="E16" s="6" t="s">
        <v>107</v>
      </c>
      <c r="F16" s="6" t="s">
        <v>89</v>
      </c>
      <c r="G16" s="6" t="s">
        <v>86</v>
      </c>
      <c r="H16" s="8">
        <v>3</v>
      </c>
      <c r="I16" s="8">
        <v>0</v>
      </c>
      <c r="J16" s="8">
        <v>0</v>
      </c>
      <c r="K16" s="8">
        <v>3</v>
      </c>
      <c r="L16" s="8">
        <v>40</v>
      </c>
      <c r="M16" s="8">
        <v>60</v>
      </c>
      <c r="N16" s="8">
        <v>100</v>
      </c>
    </row>
    <row r="17" spans="1:14" ht="20" customHeight="1" x14ac:dyDescent="0.35">
      <c r="A17" s="6" t="s">
        <v>112</v>
      </c>
      <c r="B17" s="7" t="s">
        <v>113</v>
      </c>
      <c r="C17" s="6" t="s">
        <v>114</v>
      </c>
      <c r="D17" s="6" t="s">
        <v>79</v>
      </c>
      <c r="E17" s="6" t="s">
        <v>107</v>
      </c>
      <c r="F17" s="6" t="s">
        <v>97</v>
      </c>
      <c r="G17" s="6" t="s">
        <v>86</v>
      </c>
      <c r="H17" s="8">
        <v>3</v>
      </c>
      <c r="I17" s="8">
        <v>0</v>
      </c>
      <c r="J17" s="8">
        <v>0</v>
      </c>
      <c r="K17" s="8">
        <v>3</v>
      </c>
      <c r="L17" s="8">
        <v>40</v>
      </c>
      <c r="M17" s="8">
        <v>60</v>
      </c>
      <c r="N17" s="8">
        <v>100</v>
      </c>
    </row>
    <row r="18" spans="1:14" ht="20" customHeight="1" x14ac:dyDescent="0.35">
      <c r="A18" s="6" t="s">
        <v>115</v>
      </c>
      <c r="B18" s="7" t="s">
        <v>116</v>
      </c>
      <c r="C18" s="6" t="s">
        <v>117</v>
      </c>
      <c r="D18" s="6" t="s">
        <v>79</v>
      </c>
      <c r="E18" s="6" t="s">
        <v>107</v>
      </c>
      <c r="F18" s="6" t="s">
        <v>97</v>
      </c>
      <c r="G18" s="6" t="s">
        <v>118</v>
      </c>
      <c r="H18" s="8">
        <v>2</v>
      </c>
      <c r="I18" s="8">
        <v>0</v>
      </c>
      <c r="J18" s="8">
        <v>4</v>
      </c>
      <c r="K18" s="8">
        <v>4</v>
      </c>
      <c r="L18" s="8">
        <v>40</v>
      </c>
      <c r="M18" s="8">
        <v>60</v>
      </c>
      <c r="N18" s="8">
        <v>100</v>
      </c>
    </row>
    <row r="19" spans="1:14" ht="20" customHeight="1" x14ac:dyDescent="0.35">
      <c r="A19" s="6" t="s">
        <v>119</v>
      </c>
      <c r="B19" s="7" t="s">
        <v>120</v>
      </c>
      <c r="C19" s="6" t="s">
        <v>96</v>
      </c>
      <c r="D19" s="6" t="s">
        <v>79</v>
      </c>
      <c r="E19" s="6" t="s">
        <v>107</v>
      </c>
      <c r="F19" s="6" t="s">
        <v>121</v>
      </c>
      <c r="G19" s="6" t="s">
        <v>86</v>
      </c>
      <c r="H19" s="8">
        <v>3</v>
      </c>
      <c r="I19" s="8">
        <v>0</v>
      </c>
      <c r="J19" s="8">
        <v>0</v>
      </c>
      <c r="K19" s="8">
        <v>3</v>
      </c>
      <c r="L19" s="8">
        <v>40</v>
      </c>
      <c r="M19" s="8">
        <v>60</v>
      </c>
      <c r="N19" s="8">
        <v>100</v>
      </c>
    </row>
    <row r="20" spans="1:14" ht="20" customHeight="1" x14ac:dyDescent="0.35">
      <c r="A20" s="6" t="s">
        <v>122</v>
      </c>
      <c r="B20" s="7" t="s">
        <v>123</v>
      </c>
      <c r="C20" s="6" t="s">
        <v>78</v>
      </c>
      <c r="D20" s="6" t="s">
        <v>79</v>
      </c>
      <c r="E20" s="6" t="s">
        <v>107</v>
      </c>
      <c r="F20" s="6" t="s">
        <v>85</v>
      </c>
      <c r="G20" s="6" t="s">
        <v>86</v>
      </c>
      <c r="H20" s="8">
        <v>1</v>
      </c>
      <c r="I20" s="8">
        <v>0</v>
      </c>
      <c r="J20" s="8">
        <v>0</v>
      </c>
      <c r="K20" s="8">
        <v>1</v>
      </c>
      <c r="L20" s="8">
        <v>40</v>
      </c>
      <c r="M20" s="8">
        <v>60</v>
      </c>
      <c r="N20" s="8">
        <v>100</v>
      </c>
    </row>
    <row r="21" spans="1:14" ht="20" customHeight="1" x14ac:dyDescent="0.35">
      <c r="A21" s="6" t="s">
        <v>124</v>
      </c>
      <c r="B21" s="7" t="s">
        <v>125</v>
      </c>
      <c r="C21" s="6" t="s">
        <v>126</v>
      </c>
      <c r="D21" s="6" t="s">
        <v>79</v>
      </c>
      <c r="E21" s="6" t="s">
        <v>107</v>
      </c>
      <c r="F21" s="6" t="s">
        <v>97</v>
      </c>
      <c r="G21" s="6" t="s">
        <v>102</v>
      </c>
      <c r="H21" s="8">
        <v>0</v>
      </c>
      <c r="I21" s="8">
        <v>0</v>
      </c>
      <c r="J21" s="8">
        <v>4</v>
      </c>
      <c r="K21" s="8">
        <v>2</v>
      </c>
      <c r="L21" s="8">
        <v>60</v>
      </c>
      <c r="M21" s="8">
        <v>40</v>
      </c>
      <c r="N21" s="8">
        <v>100</v>
      </c>
    </row>
    <row r="22" spans="1:14" ht="20" customHeight="1" x14ac:dyDescent="0.35">
      <c r="A22" s="6" t="s">
        <v>127</v>
      </c>
      <c r="B22" s="7" t="s">
        <v>128</v>
      </c>
      <c r="C22" s="6" t="s">
        <v>96</v>
      </c>
      <c r="D22" s="6" t="s">
        <v>79</v>
      </c>
      <c r="E22" s="6" t="s">
        <v>107</v>
      </c>
      <c r="F22" s="6" t="s">
        <v>121</v>
      </c>
      <c r="G22" s="6" t="s">
        <v>102</v>
      </c>
      <c r="H22" s="8">
        <v>0</v>
      </c>
      <c r="I22" s="8">
        <v>0</v>
      </c>
      <c r="J22" s="8">
        <v>4</v>
      </c>
      <c r="K22" s="8">
        <v>2</v>
      </c>
      <c r="L22" s="8">
        <v>60</v>
      </c>
      <c r="M22" s="8">
        <v>40</v>
      </c>
      <c r="N22" s="8">
        <v>100</v>
      </c>
    </row>
    <row r="23" spans="1:14" ht="20" customHeight="1" x14ac:dyDescent="0.35">
      <c r="A23" s="6" t="s">
        <v>129</v>
      </c>
      <c r="B23" s="7" t="s">
        <v>130</v>
      </c>
      <c r="C23" s="6" t="s">
        <v>78</v>
      </c>
      <c r="D23" s="6" t="s">
        <v>131</v>
      </c>
      <c r="E23" s="6" t="s">
        <v>132</v>
      </c>
      <c r="F23" s="6" t="s">
        <v>89</v>
      </c>
      <c r="G23" s="6" t="s">
        <v>86</v>
      </c>
      <c r="H23" s="8">
        <v>3</v>
      </c>
      <c r="I23" s="8">
        <v>1</v>
      </c>
      <c r="J23" s="8">
        <v>0</v>
      </c>
      <c r="K23" s="8">
        <v>4</v>
      </c>
      <c r="L23" s="8">
        <v>40</v>
      </c>
      <c r="M23" s="8">
        <v>60</v>
      </c>
      <c r="N23" s="8">
        <v>100</v>
      </c>
    </row>
    <row r="24" spans="1:14" ht="20" customHeight="1" x14ac:dyDescent="0.35">
      <c r="A24" s="6" t="s">
        <v>133</v>
      </c>
      <c r="B24" s="7" t="s">
        <v>134</v>
      </c>
      <c r="C24" s="6" t="s">
        <v>96</v>
      </c>
      <c r="D24" s="6" t="s">
        <v>131</v>
      </c>
      <c r="E24" s="6" t="s">
        <v>132</v>
      </c>
      <c r="F24" s="6" t="s">
        <v>97</v>
      </c>
      <c r="G24" s="6" t="s">
        <v>86</v>
      </c>
      <c r="H24" s="8">
        <v>3</v>
      </c>
      <c r="I24" s="8">
        <v>0</v>
      </c>
      <c r="J24" s="8">
        <v>2</v>
      </c>
      <c r="K24" s="8">
        <v>4</v>
      </c>
      <c r="L24" s="8">
        <v>40</v>
      </c>
      <c r="M24" s="8">
        <v>60</v>
      </c>
      <c r="N24" s="8">
        <v>100</v>
      </c>
    </row>
    <row r="25" spans="1:14" ht="20" customHeight="1" x14ac:dyDescent="0.35">
      <c r="A25" s="6" t="s">
        <v>135</v>
      </c>
      <c r="B25" s="7" t="s">
        <v>136</v>
      </c>
      <c r="C25" s="6" t="s">
        <v>137</v>
      </c>
      <c r="D25" s="6" t="s">
        <v>131</v>
      </c>
      <c r="E25" s="6" t="s">
        <v>132</v>
      </c>
      <c r="F25" s="6" t="s">
        <v>121</v>
      </c>
      <c r="G25" s="6" t="s">
        <v>86</v>
      </c>
      <c r="H25" s="8">
        <v>3</v>
      </c>
      <c r="I25" s="8">
        <v>0</v>
      </c>
      <c r="J25" s="8">
        <v>0</v>
      </c>
      <c r="K25" s="8">
        <v>3</v>
      </c>
      <c r="L25" s="8">
        <v>40</v>
      </c>
      <c r="M25" s="8">
        <v>60</v>
      </c>
      <c r="N25" s="8">
        <v>100</v>
      </c>
    </row>
    <row r="26" spans="1:14" ht="20" customHeight="1" x14ac:dyDescent="0.35">
      <c r="A26" s="6" t="s">
        <v>138</v>
      </c>
      <c r="B26" s="7" t="s">
        <v>139</v>
      </c>
      <c r="C26" s="6" t="s">
        <v>137</v>
      </c>
      <c r="D26" s="6" t="s">
        <v>131</v>
      </c>
      <c r="E26" s="6" t="s">
        <v>132</v>
      </c>
      <c r="F26" s="6" t="s">
        <v>121</v>
      </c>
      <c r="G26" s="6" t="s">
        <v>86</v>
      </c>
      <c r="H26" s="8">
        <v>3</v>
      </c>
      <c r="I26" s="8">
        <v>0</v>
      </c>
      <c r="J26" s="8">
        <v>0</v>
      </c>
      <c r="K26" s="8">
        <v>3</v>
      </c>
      <c r="L26" s="8">
        <v>40</v>
      </c>
      <c r="M26" s="8">
        <v>60</v>
      </c>
      <c r="N26" s="8">
        <v>100</v>
      </c>
    </row>
    <row r="27" spans="1:14" ht="20" customHeight="1" x14ac:dyDescent="0.35">
      <c r="A27" s="6" t="s">
        <v>140</v>
      </c>
      <c r="B27" s="7" t="s">
        <v>141</v>
      </c>
      <c r="C27" s="6" t="s">
        <v>137</v>
      </c>
      <c r="D27" s="6" t="s">
        <v>131</v>
      </c>
      <c r="E27" s="6" t="s">
        <v>132</v>
      </c>
      <c r="F27" s="6" t="s">
        <v>121</v>
      </c>
      <c r="G27" s="6" t="s">
        <v>86</v>
      </c>
      <c r="H27" s="8">
        <v>3</v>
      </c>
      <c r="I27" s="8">
        <v>0</v>
      </c>
      <c r="J27" s="8">
        <v>0</v>
      </c>
      <c r="K27" s="8">
        <v>3</v>
      </c>
      <c r="L27" s="8">
        <v>40</v>
      </c>
      <c r="M27" s="8">
        <v>60</v>
      </c>
      <c r="N27" s="8">
        <v>100</v>
      </c>
    </row>
    <row r="28" spans="1:14" ht="20" customHeight="1" x14ac:dyDescent="0.35">
      <c r="A28" s="6" t="s">
        <v>142</v>
      </c>
      <c r="B28" s="7" t="s">
        <v>143</v>
      </c>
      <c r="C28" s="6" t="s">
        <v>137</v>
      </c>
      <c r="D28" s="6" t="s">
        <v>131</v>
      </c>
      <c r="E28" s="6" t="s">
        <v>132</v>
      </c>
      <c r="F28" s="6" t="s">
        <v>121</v>
      </c>
      <c r="G28" s="6" t="s">
        <v>102</v>
      </c>
      <c r="H28" s="8">
        <v>0</v>
      </c>
      <c r="I28" s="8">
        <v>0</v>
      </c>
      <c r="J28" s="8">
        <v>4</v>
      </c>
      <c r="K28" s="8">
        <v>2</v>
      </c>
      <c r="L28" s="8">
        <v>60</v>
      </c>
      <c r="M28" s="8">
        <v>40</v>
      </c>
      <c r="N28" s="8">
        <v>100</v>
      </c>
    </row>
    <row r="29" spans="1:14" ht="20" customHeight="1" x14ac:dyDescent="0.35">
      <c r="A29" s="6" t="s">
        <v>144</v>
      </c>
      <c r="B29" s="7" t="s">
        <v>145</v>
      </c>
      <c r="C29" s="6" t="s">
        <v>137</v>
      </c>
      <c r="D29" s="6" t="s">
        <v>131</v>
      </c>
      <c r="E29" s="6" t="s">
        <v>132</v>
      </c>
      <c r="F29" s="6" t="s">
        <v>121</v>
      </c>
      <c r="G29" s="6" t="s">
        <v>102</v>
      </c>
      <c r="H29" s="8">
        <v>0</v>
      </c>
      <c r="I29" s="8">
        <v>0</v>
      </c>
      <c r="J29" s="8">
        <v>4</v>
      </c>
      <c r="K29" s="8">
        <v>2</v>
      </c>
      <c r="L29" s="8">
        <v>60</v>
      </c>
      <c r="M29" s="8">
        <v>40</v>
      </c>
      <c r="N29" s="8">
        <v>100</v>
      </c>
    </row>
    <row r="30" spans="1:14" ht="20" customHeight="1" x14ac:dyDescent="0.35">
      <c r="A30" s="6" t="s">
        <v>146</v>
      </c>
      <c r="B30" s="7" t="s">
        <v>147</v>
      </c>
      <c r="C30" s="6" t="s">
        <v>137</v>
      </c>
      <c r="D30" s="6" t="s">
        <v>131</v>
      </c>
      <c r="E30" s="6" t="s">
        <v>132</v>
      </c>
      <c r="F30" s="6" t="s">
        <v>121</v>
      </c>
      <c r="G30" s="6" t="s">
        <v>102</v>
      </c>
      <c r="H30" s="8">
        <v>0</v>
      </c>
      <c r="I30" s="8">
        <v>0</v>
      </c>
      <c r="J30" s="8">
        <v>3</v>
      </c>
      <c r="K30" s="8">
        <v>1.5</v>
      </c>
      <c r="L30" s="8">
        <v>60</v>
      </c>
      <c r="M30" s="8">
        <v>40</v>
      </c>
      <c r="N30" s="8">
        <v>100</v>
      </c>
    </row>
    <row r="31" spans="1:14" ht="20" customHeight="1" x14ac:dyDescent="0.35">
      <c r="A31" s="6" t="s">
        <v>148</v>
      </c>
      <c r="B31" s="7" t="s">
        <v>149</v>
      </c>
      <c r="C31" s="6" t="s">
        <v>137</v>
      </c>
      <c r="D31" s="6" t="s">
        <v>131</v>
      </c>
      <c r="E31" s="6" t="s">
        <v>150</v>
      </c>
      <c r="F31" s="6" t="s">
        <v>121</v>
      </c>
      <c r="G31" s="6" t="s">
        <v>86</v>
      </c>
      <c r="H31" s="8">
        <v>3</v>
      </c>
      <c r="I31" s="8">
        <v>0</v>
      </c>
      <c r="J31" s="8">
        <v>0</v>
      </c>
      <c r="K31" s="8">
        <v>3</v>
      </c>
      <c r="L31" s="8">
        <v>40</v>
      </c>
      <c r="M31" s="8">
        <v>60</v>
      </c>
      <c r="N31" s="8">
        <v>100</v>
      </c>
    </row>
    <row r="32" spans="1:14" ht="20" customHeight="1" x14ac:dyDescent="0.35">
      <c r="A32" s="6" t="s">
        <v>151</v>
      </c>
      <c r="B32" s="7" t="s">
        <v>152</v>
      </c>
      <c r="C32" s="6" t="s">
        <v>137</v>
      </c>
      <c r="D32" s="6" t="s">
        <v>131</v>
      </c>
      <c r="E32" s="6" t="s">
        <v>150</v>
      </c>
      <c r="F32" s="6" t="s">
        <v>121</v>
      </c>
      <c r="G32" s="6" t="s">
        <v>153</v>
      </c>
      <c r="H32" s="8">
        <v>3</v>
      </c>
      <c r="I32" s="8">
        <v>0</v>
      </c>
      <c r="J32" s="8">
        <v>2</v>
      </c>
      <c r="K32" s="8">
        <v>4</v>
      </c>
      <c r="L32" s="8">
        <v>40</v>
      </c>
      <c r="M32" s="8">
        <v>60</v>
      </c>
      <c r="N32" s="8">
        <v>100</v>
      </c>
    </row>
    <row r="33" spans="1:14" ht="20" customHeight="1" x14ac:dyDescent="0.35">
      <c r="A33" s="6" t="s">
        <v>154</v>
      </c>
      <c r="B33" s="7" t="s">
        <v>155</v>
      </c>
      <c r="C33" s="6" t="s">
        <v>137</v>
      </c>
      <c r="D33" s="6" t="s">
        <v>131</v>
      </c>
      <c r="E33" s="6" t="s">
        <v>150</v>
      </c>
      <c r="F33" s="6" t="s">
        <v>121</v>
      </c>
      <c r="G33" s="6" t="s">
        <v>86</v>
      </c>
      <c r="H33" s="8">
        <v>3</v>
      </c>
      <c r="I33" s="8">
        <v>0</v>
      </c>
      <c r="J33" s="8">
        <v>0</v>
      </c>
      <c r="K33" s="8">
        <v>3</v>
      </c>
      <c r="L33" s="8">
        <v>40</v>
      </c>
      <c r="M33" s="8">
        <v>60</v>
      </c>
      <c r="N33" s="8">
        <v>100</v>
      </c>
    </row>
    <row r="34" spans="1:14" ht="20" customHeight="1" x14ac:dyDescent="0.35">
      <c r="A34" s="6" t="s">
        <v>156</v>
      </c>
      <c r="B34" s="7" t="s">
        <v>157</v>
      </c>
      <c r="C34" s="6" t="s">
        <v>137</v>
      </c>
      <c r="D34" s="6" t="s">
        <v>131</v>
      </c>
      <c r="E34" s="6" t="s">
        <v>150</v>
      </c>
      <c r="F34" s="6" t="s">
        <v>121</v>
      </c>
      <c r="G34" s="6" t="s">
        <v>153</v>
      </c>
      <c r="H34" s="8">
        <v>3</v>
      </c>
      <c r="I34" s="8">
        <v>0</v>
      </c>
      <c r="J34" s="8">
        <v>2</v>
      </c>
      <c r="K34" s="8">
        <v>4</v>
      </c>
      <c r="L34" s="8">
        <v>40</v>
      </c>
      <c r="M34" s="8">
        <v>60</v>
      </c>
      <c r="N34" s="8">
        <v>100</v>
      </c>
    </row>
    <row r="35" spans="1:14" ht="20" customHeight="1" x14ac:dyDescent="0.35">
      <c r="A35" s="6" t="s">
        <v>158</v>
      </c>
      <c r="B35" s="7" t="s">
        <v>159</v>
      </c>
      <c r="C35" s="6" t="s">
        <v>137</v>
      </c>
      <c r="D35" s="6" t="s">
        <v>131</v>
      </c>
      <c r="E35" s="6" t="s">
        <v>150</v>
      </c>
      <c r="F35" s="6" t="s">
        <v>121</v>
      </c>
      <c r="G35" s="6" t="s">
        <v>86</v>
      </c>
      <c r="H35" s="8">
        <v>3</v>
      </c>
      <c r="I35" s="8">
        <v>0</v>
      </c>
      <c r="J35" s="8">
        <v>0</v>
      </c>
      <c r="K35" s="8">
        <v>3</v>
      </c>
      <c r="L35" s="8">
        <v>40</v>
      </c>
      <c r="M35" s="8">
        <v>60</v>
      </c>
      <c r="N35" s="8">
        <v>100</v>
      </c>
    </row>
    <row r="36" spans="1:14" ht="20" customHeight="1" x14ac:dyDescent="0.35">
      <c r="A36" s="6" t="s">
        <v>160</v>
      </c>
      <c r="B36" s="7" t="s">
        <v>161</v>
      </c>
      <c r="C36" s="6" t="s">
        <v>137</v>
      </c>
      <c r="D36" s="6" t="s">
        <v>131</v>
      </c>
      <c r="E36" s="6" t="s">
        <v>150</v>
      </c>
      <c r="F36" s="6" t="s">
        <v>121</v>
      </c>
      <c r="G36" s="6" t="s">
        <v>102</v>
      </c>
      <c r="H36" s="8">
        <v>0</v>
      </c>
      <c r="I36" s="8">
        <v>0</v>
      </c>
      <c r="J36" s="8">
        <v>3</v>
      </c>
      <c r="K36" s="8">
        <v>1.5</v>
      </c>
      <c r="L36" s="8">
        <v>60</v>
      </c>
      <c r="M36" s="8">
        <v>40</v>
      </c>
      <c r="N36" s="8">
        <v>100</v>
      </c>
    </row>
    <row r="37" spans="1:14" ht="20" customHeight="1" x14ac:dyDescent="0.35">
      <c r="A37" s="6" t="s">
        <v>162</v>
      </c>
      <c r="B37" s="7" t="s">
        <v>163</v>
      </c>
      <c r="C37" s="6" t="s">
        <v>137</v>
      </c>
      <c r="D37" s="6" t="s">
        <v>131</v>
      </c>
      <c r="E37" s="6" t="s">
        <v>150</v>
      </c>
      <c r="F37" s="6" t="s">
        <v>121</v>
      </c>
      <c r="G37" s="6" t="s">
        <v>102</v>
      </c>
      <c r="H37" s="8">
        <v>0</v>
      </c>
      <c r="I37" s="8">
        <v>0</v>
      </c>
      <c r="J37" s="8">
        <v>3</v>
      </c>
      <c r="K37" s="8">
        <v>1.5</v>
      </c>
      <c r="L37" s="8">
        <v>60</v>
      </c>
      <c r="M37" s="8">
        <v>40</v>
      </c>
      <c r="N37" s="8">
        <v>100</v>
      </c>
    </row>
    <row r="38" spans="1:14" ht="20" customHeight="1" x14ac:dyDescent="0.35">
      <c r="A38" s="6" t="s">
        <v>164</v>
      </c>
      <c r="B38" s="7" t="s">
        <v>165</v>
      </c>
      <c r="C38" s="6" t="s">
        <v>137</v>
      </c>
      <c r="D38" s="6" t="s">
        <v>166</v>
      </c>
      <c r="E38" s="6" t="s">
        <v>167</v>
      </c>
      <c r="F38" s="6" t="s">
        <v>121</v>
      </c>
      <c r="G38" s="6" t="s">
        <v>153</v>
      </c>
      <c r="H38" s="8">
        <v>3</v>
      </c>
      <c r="I38" s="8">
        <v>0</v>
      </c>
      <c r="J38" s="8">
        <v>2</v>
      </c>
      <c r="K38" s="8">
        <v>4</v>
      </c>
      <c r="L38" s="8">
        <v>40</v>
      </c>
      <c r="M38" s="8">
        <v>60</v>
      </c>
      <c r="N38" s="8">
        <v>100</v>
      </c>
    </row>
    <row r="39" spans="1:14" ht="20" customHeight="1" x14ac:dyDescent="0.35">
      <c r="A39" s="6" t="s">
        <v>168</v>
      </c>
      <c r="B39" s="7" t="s">
        <v>169</v>
      </c>
      <c r="C39" s="6" t="s">
        <v>137</v>
      </c>
      <c r="D39" s="6" t="s">
        <v>166</v>
      </c>
      <c r="E39" s="6" t="s">
        <v>167</v>
      </c>
      <c r="F39" s="6" t="s">
        <v>121</v>
      </c>
      <c r="G39" s="6" t="s">
        <v>153</v>
      </c>
      <c r="H39" s="8">
        <v>3</v>
      </c>
      <c r="I39" s="8">
        <v>0</v>
      </c>
      <c r="J39" s="8">
        <v>2</v>
      </c>
      <c r="K39" s="8">
        <v>4</v>
      </c>
      <c r="L39" s="8">
        <v>40</v>
      </c>
      <c r="M39" s="8">
        <v>60</v>
      </c>
      <c r="N39" s="8">
        <v>100</v>
      </c>
    </row>
    <row r="40" spans="1:14" ht="20" customHeight="1" x14ac:dyDescent="0.35">
      <c r="A40" s="6" t="s">
        <v>170</v>
      </c>
      <c r="B40" s="7" t="s">
        <v>171</v>
      </c>
      <c r="C40" s="6" t="s">
        <v>137</v>
      </c>
      <c r="D40" s="6" t="s">
        <v>166</v>
      </c>
      <c r="E40" s="6" t="s">
        <v>167</v>
      </c>
      <c r="F40" s="6" t="s">
        <v>121</v>
      </c>
      <c r="G40" s="6" t="s">
        <v>86</v>
      </c>
      <c r="H40" s="8">
        <v>3</v>
      </c>
      <c r="I40" s="8">
        <v>0</v>
      </c>
      <c r="J40" s="8">
        <v>0</v>
      </c>
      <c r="K40" s="8">
        <v>3</v>
      </c>
      <c r="L40" s="8">
        <v>40</v>
      </c>
      <c r="M40" s="8">
        <v>60</v>
      </c>
      <c r="N40" s="8">
        <v>100</v>
      </c>
    </row>
    <row r="41" spans="1:14" ht="20" customHeight="1" x14ac:dyDescent="0.35">
      <c r="A41" s="6" t="s">
        <v>172</v>
      </c>
      <c r="B41" s="7" t="s">
        <v>173</v>
      </c>
      <c r="C41" s="6" t="s">
        <v>137</v>
      </c>
      <c r="D41" s="6" t="s">
        <v>166</v>
      </c>
      <c r="E41" s="6" t="s">
        <v>167</v>
      </c>
      <c r="F41" s="6" t="s">
        <v>174</v>
      </c>
      <c r="G41" s="6" t="s">
        <v>86</v>
      </c>
      <c r="H41" s="8">
        <v>3</v>
      </c>
      <c r="I41" s="8">
        <v>0</v>
      </c>
      <c r="J41" s="8">
        <v>0</v>
      </c>
      <c r="K41" s="8">
        <v>3</v>
      </c>
      <c r="L41" s="8">
        <v>40</v>
      </c>
      <c r="M41" s="8">
        <v>60</v>
      </c>
      <c r="N41" s="8">
        <v>100</v>
      </c>
    </row>
    <row r="42" spans="1:14" ht="20" customHeight="1" x14ac:dyDescent="0.35">
      <c r="A42" s="6" t="s">
        <v>175</v>
      </c>
      <c r="B42" s="7" t="s">
        <v>176</v>
      </c>
      <c r="C42" s="6" t="s">
        <v>137</v>
      </c>
      <c r="D42" s="6" t="s">
        <v>166</v>
      </c>
      <c r="E42" s="6" t="s">
        <v>167</v>
      </c>
      <c r="F42" s="6" t="s">
        <v>174</v>
      </c>
      <c r="G42" s="6" t="s">
        <v>86</v>
      </c>
      <c r="H42" s="8">
        <v>3</v>
      </c>
      <c r="I42" s="8">
        <v>0</v>
      </c>
      <c r="J42" s="8">
        <v>0</v>
      </c>
      <c r="K42" s="8">
        <v>3</v>
      </c>
      <c r="L42" s="8">
        <v>40</v>
      </c>
      <c r="M42" s="8">
        <v>60</v>
      </c>
      <c r="N42" s="8">
        <v>100</v>
      </c>
    </row>
    <row r="43" spans="1:14" ht="20" customHeight="1" x14ac:dyDescent="0.35">
      <c r="A43" s="6" t="s">
        <v>177</v>
      </c>
      <c r="B43" s="7" t="s">
        <v>178</v>
      </c>
      <c r="C43" s="6" t="s">
        <v>137</v>
      </c>
      <c r="D43" s="6" t="s">
        <v>166</v>
      </c>
      <c r="E43" s="6" t="s">
        <v>179</v>
      </c>
      <c r="F43" s="6" t="s">
        <v>121</v>
      </c>
      <c r="G43" s="6" t="s">
        <v>102</v>
      </c>
      <c r="H43" s="8">
        <v>0</v>
      </c>
      <c r="I43" s="8">
        <v>0</v>
      </c>
      <c r="J43" s="8">
        <v>4</v>
      </c>
      <c r="K43" s="8">
        <v>2</v>
      </c>
      <c r="L43" s="8">
        <v>60</v>
      </c>
      <c r="M43" s="8">
        <v>40</v>
      </c>
      <c r="N43" s="8">
        <v>100</v>
      </c>
    </row>
    <row r="44" spans="1:14" ht="20" customHeight="1" x14ac:dyDescent="0.35">
      <c r="A44" s="6" t="s">
        <v>180</v>
      </c>
      <c r="B44" s="7" t="s">
        <v>181</v>
      </c>
      <c r="C44" s="6" t="s">
        <v>137</v>
      </c>
      <c r="D44" s="6" t="s">
        <v>166</v>
      </c>
      <c r="E44" s="6" t="s">
        <v>179</v>
      </c>
      <c r="F44" s="6" t="s">
        <v>121</v>
      </c>
      <c r="G44" s="6" t="s">
        <v>153</v>
      </c>
      <c r="H44" s="8">
        <v>3</v>
      </c>
      <c r="I44" s="8">
        <v>0</v>
      </c>
      <c r="J44" s="8">
        <v>2</v>
      </c>
      <c r="K44" s="8">
        <v>4</v>
      </c>
      <c r="L44" s="8">
        <v>40</v>
      </c>
      <c r="M44" s="8">
        <v>60</v>
      </c>
      <c r="N44" s="8">
        <v>100</v>
      </c>
    </row>
    <row r="45" spans="1:14" ht="20" customHeight="1" x14ac:dyDescent="0.35">
      <c r="A45" s="6" t="s">
        <v>182</v>
      </c>
      <c r="B45" s="7" t="s">
        <v>183</v>
      </c>
      <c r="C45" s="6" t="s">
        <v>137</v>
      </c>
      <c r="D45" s="6" t="s">
        <v>166</v>
      </c>
      <c r="E45" s="6" t="s">
        <v>179</v>
      </c>
      <c r="F45" s="6" t="s">
        <v>174</v>
      </c>
      <c r="G45" s="6" t="s">
        <v>86</v>
      </c>
      <c r="H45" s="8">
        <v>3</v>
      </c>
      <c r="I45" s="8">
        <v>0</v>
      </c>
      <c r="J45" s="8">
        <v>0</v>
      </c>
      <c r="K45" s="8">
        <v>3</v>
      </c>
      <c r="L45" s="8">
        <v>40</v>
      </c>
      <c r="M45" s="8">
        <v>60</v>
      </c>
      <c r="N45" s="8">
        <v>100</v>
      </c>
    </row>
    <row r="46" spans="1:14" ht="20" customHeight="1" x14ac:dyDescent="0.35">
      <c r="A46" s="6" t="s">
        <v>184</v>
      </c>
      <c r="B46" s="7" t="s">
        <v>185</v>
      </c>
      <c r="C46" s="6" t="s">
        <v>137</v>
      </c>
      <c r="D46" s="6" t="s">
        <v>166</v>
      </c>
      <c r="E46" s="6" t="s">
        <v>179</v>
      </c>
      <c r="F46" s="6" t="s">
        <v>186</v>
      </c>
      <c r="G46" s="6" t="s">
        <v>102</v>
      </c>
      <c r="H46" s="8">
        <v>0</v>
      </c>
      <c r="I46" s="8">
        <v>0</v>
      </c>
      <c r="J46" s="8">
        <v>4</v>
      </c>
      <c r="K46" s="8">
        <v>2</v>
      </c>
      <c r="L46" s="8">
        <v>100</v>
      </c>
      <c r="M46" s="8">
        <v>0</v>
      </c>
      <c r="N46" s="8">
        <v>100</v>
      </c>
    </row>
    <row r="47" spans="1:14" ht="20" customHeight="1" x14ac:dyDescent="0.35">
      <c r="A47" s="6" t="s">
        <v>187</v>
      </c>
      <c r="B47" s="7" t="s">
        <v>188</v>
      </c>
      <c r="C47" s="6" t="s">
        <v>78</v>
      </c>
      <c r="D47" s="6" t="s">
        <v>189</v>
      </c>
      <c r="E47" s="6" t="s">
        <v>190</v>
      </c>
      <c r="F47" s="6" t="s">
        <v>85</v>
      </c>
      <c r="G47" s="6" t="s">
        <v>86</v>
      </c>
      <c r="H47" s="8">
        <v>2</v>
      </c>
      <c r="I47" s="8">
        <v>0</v>
      </c>
      <c r="J47" s="8">
        <v>0</v>
      </c>
      <c r="K47" s="8">
        <v>2</v>
      </c>
      <c r="L47" s="8">
        <v>40</v>
      </c>
      <c r="M47" s="8">
        <v>60</v>
      </c>
      <c r="N47" s="8">
        <v>100</v>
      </c>
    </row>
    <row r="48" spans="1:14" ht="20" customHeight="1" x14ac:dyDescent="0.35">
      <c r="A48" s="6" t="s">
        <v>191</v>
      </c>
      <c r="B48" s="7" t="s">
        <v>192</v>
      </c>
      <c r="C48" s="6" t="s">
        <v>193</v>
      </c>
      <c r="D48" s="6" t="s">
        <v>189</v>
      </c>
      <c r="E48" s="6" t="s">
        <v>190</v>
      </c>
      <c r="F48" s="6" t="s">
        <v>194</v>
      </c>
      <c r="G48" s="6" t="s">
        <v>86</v>
      </c>
      <c r="H48" s="8">
        <v>3</v>
      </c>
      <c r="I48" s="8">
        <v>0</v>
      </c>
      <c r="J48" s="8">
        <v>0</v>
      </c>
      <c r="K48" s="8">
        <v>3</v>
      </c>
      <c r="L48" s="8">
        <v>40</v>
      </c>
      <c r="M48" s="8">
        <v>60</v>
      </c>
      <c r="N48" s="8">
        <v>100</v>
      </c>
    </row>
    <row r="49" spans="1:14" ht="20" customHeight="1" x14ac:dyDescent="0.35">
      <c r="A49" s="6" t="s">
        <v>195</v>
      </c>
      <c r="B49" s="7" t="s">
        <v>196</v>
      </c>
      <c r="C49" s="6" t="s">
        <v>137</v>
      </c>
      <c r="D49" s="6" t="s">
        <v>189</v>
      </c>
      <c r="E49" s="6" t="s">
        <v>190</v>
      </c>
      <c r="F49" s="6" t="s">
        <v>186</v>
      </c>
      <c r="G49" s="6" t="s">
        <v>102</v>
      </c>
      <c r="H49" s="8">
        <v>0</v>
      </c>
      <c r="I49" s="8">
        <v>0</v>
      </c>
      <c r="J49" s="8">
        <v>4</v>
      </c>
      <c r="K49" s="8">
        <v>2</v>
      </c>
      <c r="L49" s="8">
        <v>100</v>
      </c>
      <c r="M49" s="8">
        <v>0</v>
      </c>
      <c r="N49" s="8">
        <v>100</v>
      </c>
    </row>
    <row r="50" spans="1:14" ht="20" customHeight="1" x14ac:dyDescent="0.35">
      <c r="A50" s="6" t="s">
        <v>197</v>
      </c>
      <c r="B50" s="7" t="s">
        <v>198</v>
      </c>
      <c r="C50" s="6" t="s">
        <v>137</v>
      </c>
      <c r="D50" s="6" t="s">
        <v>189</v>
      </c>
      <c r="E50" s="6" t="s">
        <v>190</v>
      </c>
      <c r="F50" s="6" t="s">
        <v>186</v>
      </c>
      <c r="G50" s="6" t="s">
        <v>102</v>
      </c>
      <c r="H50" s="8">
        <v>0</v>
      </c>
      <c r="I50" s="8">
        <v>0</v>
      </c>
      <c r="J50" s="8">
        <v>6</v>
      </c>
      <c r="K50" s="8">
        <v>3</v>
      </c>
      <c r="L50" s="8">
        <v>60</v>
      </c>
      <c r="M50" s="8">
        <v>40</v>
      </c>
      <c r="N50" s="8">
        <v>100</v>
      </c>
    </row>
    <row r="51" spans="1:14" ht="20" customHeight="1" x14ac:dyDescent="0.35">
      <c r="A51" s="6" t="s">
        <v>199</v>
      </c>
      <c r="B51" s="7" t="s">
        <v>200</v>
      </c>
      <c r="C51" s="6" t="s">
        <v>137</v>
      </c>
      <c r="D51" s="6" t="s">
        <v>189</v>
      </c>
      <c r="E51" s="6" t="s">
        <v>201</v>
      </c>
      <c r="F51" s="6" t="s">
        <v>186</v>
      </c>
      <c r="G51" s="6" t="s">
        <v>102</v>
      </c>
      <c r="H51" s="8">
        <v>0</v>
      </c>
      <c r="I51" s="8">
        <v>0</v>
      </c>
      <c r="J51" s="8">
        <v>20</v>
      </c>
      <c r="K51" s="8">
        <v>10</v>
      </c>
      <c r="L51" s="8">
        <v>60</v>
      </c>
      <c r="M51" s="8">
        <v>40</v>
      </c>
      <c r="N51" s="8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6" topLeftCell="A13" activePane="bottomLeft" state="frozen"/>
      <selection pane="bottomLeft"/>
    </sheetView>
  </sheetViews>
  <sheetFormatPr defaultRowHeight="14.5" x14ac:dyDescent="0.35"/>
  <cols>
    <col min="1" max="1" width="80" customWidth="1"/>
    <col min="2" max="2" width="28" customWidth="1"/>
    <col min="3" max="3" width="30" customWidth="1"/>
    <col min="4" max="4" width="118" customWidth="1"/>
    <col min="5" max="5" width="59" customWidth="1"/>
    <col min="6" max="6" width="21" customWidth="1"/>
    <col min="7" max="7" width="57" customWidth="1"/>
  </cols>
  <sheetData>
    <row r="1" spans="1:7" ht="17" x14ac:dyDescent="0.4">
      <c r="A1" s="1" t="s">
        <v>202</v>
      </c>
    </row>
    <row r="2" spans="1:7" x14ac:dyDescent="0.35">
      <c r="A2" s="2" t="s">
        <v>203</v>
      </c>
    </row>
    <row r="4" spans="1:7" x14ac:dyDescent="0.35">
      <c r="A4" s="9" t="s">
        <v>204</v>
      </c>
    </row>
    <row r="6" spans="1:7" ht="24" customHeight="1" x14ac:dyDescent="0.35">
      <c r="A6" s="3" t="s">
        <v>205</v>
      </c>
      <c r="B6" s="3" t="s">
        <v>68</v>
      </c>
      <c r="C6" s="3" t="s">
        <v>206</v>
      </c>
      <c r="D6" s="3" t="s">
        <v>207</v>
      </c>
      <c r="E6" s="3" t="s">
        <v>208</v>
      </c>
      <c r="F6" s="3" t="s">
        <v>209</v>
      </c>
      <c r="G6" s="3" t="s">
        <v>26</v>
      </c>
    </row>
    <row r="7" spans="1:7" ht="28" customHeight="1" x14ac:dyDescent="0.35">
      <c r="A7" s="4" t="s">
        <v>210</v>
      </c>
      <c r="B7" s="4" t="s">
        <v>211</v>
      </c>
      <c r="C7" s="4" t="s">
        <v>212</v>
      </c>
      <c r="D7" s="5" t="s">
        <v>213</v>
      </c>
      <c r="E7" s="4" t="s">
        <v>214</v>
      </c>
      <c r="F7" s="4" t="s">
        <v>215</v>
      </c>
      <c r="G7" s="5" t="s">
        <v>216</v>
      </c>
    </row>
    <row r="8" spans="1:7" ht="28" customHeight="1" x14ac:dyDescent="0.35">
      <c r="A8" s="4" t="s">
        <v>217</v>
      </c>
      <c r="B8" s="4" t="s">
        <v>218</v>
      </c>
      <c r="C8" s="4" t="s">
        <v>219</v>
      </c>
      <c r="D8" s="5" t="s">
        <v>220</v>
      </c>
      <c r="E8" s="4" t="s">
        <v>221</v>
      </c>
      <c r="F8" s="4" t="s">
        <v>215</v>
      </c>
      <c r="G8" s="5" t="s">
        <v>222</v>
      </c>
    </row>
    <row r="9" spans="1:7" ht="28" customHeight="1" x14ac:dyDescent="0.35">
      <c r="A9" s="4" t="s">
        <v>223</v>
      </c>
      <c r="B9" s="4" t="s">
        <v>224</v>
      </c>
      <c r="C9" s="4" t="s">
        <v>225</v>
      </c>
      <c r="D9" s="5" t="s">
        <v>226</v>
      </c>
      <c r="E9" s="4" t="s">
        <v>227</v>
      </c>
      <c r="F9" s="4" t="s">
        <v>215</v>
      </c>
      <c r="G9" s="5" t="s">
        <v>228</v>
      </c>
    </row>
    <row r="10" spans="1:7" ht="28" customHeight="1" x14ac:dyDescent="0.35">
      <c r="A10" s="4" t="s">
        <v>229</v>
      </c>
      <c r="B10" s="4" t="s">
        <v>230</v>
      </c>
      <c r="C10" s="4" t="s">
        <v>231</v>
      </c>
      <c r="D10" s="5" t="s">
        <v>232</v>
      </c>
      <c r="E10" s="4" t="s">
        <v>233</v>
      </c>
      <c r="F10" s="4" t="s">
        <v>234</v>
      </c>
      <c r="G10" s="5" t="s">
        <v>235</v>
      </c>
    </row>
    <row r="11" spans="1:7" ht="28" customHeight="1" x14ac:dyDescent="0.35">
      <c r="A11" s="4" t="s">
        <v>236</v>
      </c>
      <c r="B11" s="4" t="s">
        <v>186</v>
      </c>
      <c r="C11" s="4" t="s">
        <v>219</v>
      </c>
      <c r="D11" s="5" t="s">
        <v>237</v>
      </c>
      <c r="E11" s="4" t="s">
        <v>212</v>
      </c>
      <c r="F11" s="4" t="s">
        <v>238</v>
      </c>
      <c r="G11" s="5" t="s">
        <v>239</v>
      </c>
    </row>
    <row r="12" spans="1:7" ht="28" customHeight="1" x14ac:dyDescent="0.35">
      <c r="A12" s="4" t="s">
        <v>240</v>
      </c>
      <c r="B12" s="4" t="s">
        <v>241</v>
      </c>
      <c r="C12" s="4" t="s">
        <v>219</v>
      </c>
      <c r="D12" s="5" t="s">
        <v>242</v>
      </c>
      <c r="E12" s="4" t="s">
        <v>212</v>
      </c>
      <c r="F12" s="4" t="s">
        <v>243</v>
      </c>
      <c r="G12" s="5" t="s">
        <v>239</v>
      </c>
    </row>
    <row r="15" spans="1:7" x14ac:dyDescent="0.35">
      <c r="A15" s="9" t="s">
        <v>244</v>
      </c>
    </row>
    <row r="17" spans="1:6" ht="24" customHeight="1" x14ac:dyDescent="0.35">
      <c r="A17" s="3" t="s">
        <v>245</v>
      </c>
      <c r="B17" s="3" t="s">
        <v>246</v>
      </c>
      <c r="C17" s="3" t="s">
        <v>247</v>
      </c>
      <c r="D17" s="3" t="s">
        <v>248</v>
      </c>
      <c r="E17" s="3" t="s">
        <v>249</v>
      </c>
      <c r="F17" s="3" t="s">
        <v>250</v>
      </c>
    </row>
    <row r="18" spans="1:6" ht="22" customHeight="1" x14ac:dyDescent="0.35">
      <c r="A18" s="6" t="s">
        <v>251</v>
      </c>
      <c r="B18" s="6" t="s">
        <v>252</v>
      </c>
      <c r="C18" s="6">
        <v>10</v>
      </c>
      <c r="D18" s="7" t="s">
        <v>253</v>
      </c>
      <c r="E18" s="7" t="s">
        <v>254</v>
      </c>
      <c r="F18" s="6" t="s">
        <v>255</v>
      </c>
    </row>
    <row r="19" spans="1:6" ht="22" customHeight="1" x14ac:dyDescent="0.35">
      <c r="A19" s="6" t="s">
        <v>256</v>
      </c>
      <c r="B19" s="6" t="s">
        <v>257</v>
      </c>
      <c r="C19" s="6">
        <v>9</v>
      </c>
      <c r="D19" s="7" t="s">
        <v>258</v>
      </c>
      <c r="E19" s="7" t="s">
        <v>254</v>
      </c>
      <c r="F19" s="6" t="s">
        <v>255</v>
      </c>
    </row>
    <row r="20" spans="1:6" ht="22" customHeight="1" x14ac:dyDescent="0.35">
      <c r="A20" s="6" t="s">
        <v>259</v>
      </c>
      <c r="B20" s="6" t="s">
        <v>260</v>
      </c>
      <c r="C20" s="6">
        <v>8</v>
      </c>
      <c r="D20" s="7" t="s">
        <v>261</v>
      </c>
      <c r="E20" s="7" t="s">
        <v>262</v>
      </c>
      <c r="F20" s="6" t="s">
        <v>255</v>
      </c>
    </row>
    <row r="21" spans="1:6" ht="22" customHeight="1" x14ac:dyDescent="0.35">
      <c r="A21" s="6" t="s">
        <v>263</v>
      </c>
      <c r="B21" s="6" t="s">
        <v>264</v>
      </c>
      <c r="C21" s="6">
        <v>7</v>
      </c>
      <c r="D21" s="7" t="s">
        <v>265</v>
      </c>
      <c r="E21" s="7" t="s">
        <v>262</v>
      </c>
      <c r="F21" s="6" t="s">
        <v>255</v>
      </c>
    </row>
    <row r="22" spans="1:6" ht="22" customHeight="1" x14ac:dyDescent="0.35">
      <c r="A22" s="6" t="s">
        <v>266</v>
      </c>
      <c r="B22" s="6" t="s">
        <v>267</v>
      </c>
      <c r="C22" s="6">
        <v>6</v>
      </c>
      <c r="D22" s="7" t="s">
        <v>268</v>
      </c>
      <c r="E22" s="7" t="s">
        <v>269</v>
      </c>
      <c r="F22" s="6" t="s">
        <v>255</v>
      </c>
    </row>
    <row r="23" spans="1:6" ht="22" customHeight="1" x14ac:dyDescent="0.35">
      <c r="A23" s="6" t="s">
        <v>270</v>
      </c>
      <c r="B23" s="6" t="s">
        <v>271</v>
      </c>
      <c r="C23" s="6">
        <v>0</v>
      </c>
      <c r="D23" s="7" t="s">
        <v>272</v>
      </c>
      <c r="E23" s="7" t="s">
        <v>273</v>
      </c>
      <c r="F23" s="6" t="s">
        <v>274</v>
      </c>
    </row>
    <row r="24" spans="1:6" ht="22" customHeight="1" x14ac:dyDescent="0.35">
      <c r="A24" s="6" t="s">
        <v>275</v>
      </c>
      <c r="B24" s="6" t="s">
        <v>276</v>
      </c>
      <c r="C24" s="6">
        <v>0</v>
      </c>
      <c r="D24" s="7" t="s">
        <v>277</v>
      </c>
      <c r="E24" s="7" t="s">
        <v>278</v>
      </c>
      <c r="F24" s="6" t="s">
        <v>279</v>
      </c>
    </row>
    <row r="25" spans="1:6" ht="22" customHeight="1" x14ac:dyDescent="0.35">
      <c r="A25" s="6" t="s">
        <v>280</v>
      </c>
      <c r="B25" s="6" t="s">
        <v>281</v>
      </c>
      <c r="C25" s="6">
        <v>0</v>
      </c>
      <c r="D25" s="7" t="s">
        <v>282</v>
      </c>
      <c r="E25" s="7" t="s">
        <v>283</v>
      </c>
      <c r="F25" s="6" t="s">
        <v>284</v>
      </c>
    </row>
    <row r="26" spans="1:6" ht="22" customHeight="1" x14ac:dyDescent="0.35">
      <c r="A26" s="6" t="s">
        <v>285</v>
      </c>
      <c r="B26" s="6" t="s">
        <v>286</v>
      </c>
      <c r="C26" s="6">
        <v>0</v>
      </c>
      <c r="D26" s="7" t="s">
        <v>287</v>
      </c>
      <c r="E26" s="7" t="s">
        <v>288</v>
      </c>
      <c r="F26" s="6" t="s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99" customWidth="1"/>
    <col min="2" max="2" width="47" customWidth="1"/>
    <col min="3" max="3" width="22" customWidth="1"/>
    <col min="4" max="4" width="27" customWidth="1"/>
    <col min="5" max="5" width="33" customWidth="1"/>
    <col min="6" max="6" width="46" customWidth="1"/>
    <col min="7" max="7" width="33" customWidth="1"/>
    <col min="8" max="8" width="21" customWidth="1"/>
  </cols>
  <sheetData>
    <row r="1" spans="1:8" ht="17" x14ac:dyDescent="0.4">
      <c r="A1" s="1" t="s">
        <v>290</v>
      </c>
    </row>
    <row r="2" spans="1:8" x14ac:dyDescent="0.35">
      <c r="A2" s="2" t="s">
        <v>291</v>
      </c>
    </row>
    <row r="4" spans="1:8" x14ac:dyDescent="0.35">
      <c r="A4" s="9" t="s">
        <v>292</v>
      </c>
    </row>
    <row r="5" spans="1:8" x14ac:dyDescent="0.35">
      <c r="A5" s="10" t="s">
        <v>293</v>
      </c>
    </row>
    <row r="6" spans="1:8" x14ac:dyDescent="0.35">
      <c r="A6" s="10" t="s">
        <v>294</v>
      </c>
    </row>
    <row r="8" spans="1:8" x14ac:dyDescent="0.35">
      <c r="A8" s="9" t="s">
        <v>295</v>
      </c>
    </row>
    <row r="10" spans="1:8" ht="24" customHeight="1" x14ac:dyDescent="0.35">
      <c r="A10" s="3" t="s">
        <v>63</v>
      </c>
      <c r="B10" s="3" t="s">
        <v>296</v>
      </c>
      <c r="C10" s="3" t="s">
        <v>297</v>
      </c>
      <c r="D10" s="3" t="s">
        <v>298</v>
      </c>
      <c r="E10" s="3" t="s">
        <v>246</v>
      </c>
      <c r="F10" s="3" t="s">
        <v>299</v>
      </c>
      <c r="G10" s="3" t="s">
        <v>300</v>
      </c>
      <c r="H10" s="3" t="s">
        <v>301</v>
      </c>
    </row>
    <row r="11" spans="1:8" ht="20" customHeight="1" x14ac:dyDescent="0.35">
      <c r="A11" s="6" t="s">
        <v>151</v>
      </c>
      <c r="B11" s="7" t="s">
        <v>152</v>
      </c>
      <c r="C11" s="6">
        <v>4</v>
      </c>
      <c r="D11" s="6">
        <v>88</v>
      </c>
      <c r="E11" s="6" t="s">
        <v>257</v>
      </c>
      <c r="F11" s="6">
        <v>9</v>
      </c>
      <c r="G11" s="6">
        <f t="shared" ref="G11:G17" si="0">C11*F11</f>
        <v>36</v>
      </c>
      <c r="H11" s="6" t="s">
        <v>255</v>
      </c>
    </row>
    <row r="12" spans="1:8" ht="20" customHeight="1" x14ac:dyDescent="0.35">
      <c r="A12" s="6" t="s">
        <v>154</v>
      </c>
      <c r="B12" s="7" t="s">
        <v>155</v>
      </c>
      <c r="C12" s="6">
        <v>3</v>
      </c>
      <c r="D12" s="6">
        <v>82</v>
      </c>
      <c r="E12" s="6" t="s">
        <v>257</v>
      </c>
      <c r="F12" s="6">
        <v>9</v>
      </c>
      <c r="G12" s="6">
        <f t="shared" si="0"/>
        <v>27</v>
      </c>
      <c r="H12" s="6" t="s">
        <v>255</v>
      </c>
    </row>
    <row r="13" spans="1:8" ht="20" customHeight="1" x14ac:dyDescent="0.35">
      <c r="A13" s="6" t="s">
        <v>156</v>
      </c>
      <c r="B13" s="7" t="s">
        <v>157</v>
      </c>
      <c r="C13" s="6">
        <v>4</v>
      </c>
      <c r="D13" s="6">
        <v>94</v>
      </c>
      <c r="E13" s="6" t="s">
        <v>252</v>
      </c>
      <c r="F13" s="6">
        <v>10</v>
      </c>
      <c r="G13" s="6">
        <f t="shared" si="0"/>
        <v>40</v>
      </c>
      <c r="H13" s="6" t="s">
        <v>255</v>
      </c>
    </row>
    <row r="14" spans="1:8" ht="20" customHeight="1" x14ac:dyDescent="0.35">
      <c r="A14" s="6" t="s">
        <v>158</v>
      </c>
      <c r="B14" s="7" t="s">
        <v>159</v>
      </c>
      <c r="C14" s="6">
        <v>3</v>
      </c>
      <c r="D14" s="6">
        <v>78</v>
      </c>
      <c r="E14" s="6" t="s">
        <v>260</v>
      </c>
      <c r="F14" s="6">
        <v>8</v>
      </c>
      <c r="G14" s="6">
        <f t="shared" si="0"/>
        <v>24</v>
      </c>
      <c r="H14" s="6" t="s">
        <v>255</v>
      </c>
    </row>
    <row r="15" spans="1:8" ht="20" customHeight="1" x14ac:dyDescent="0.35">
      <c r="A15" s="6" t="s">
        <v>148</v>
      </c>
      <c r="B15" s="7" t="s">
        <v>149</v>
      </c>
      <c r="C15" s="6">
        <v>3</v>
      </c>
      <c r="D15" s="6">
        <v>72</v>
      </c>
      <c r="E15" s="6" t="s">
        <v>260</v>
      </c>
      <c r="F15" s="6">
        <v>8</v>
      </c>
      <c r="G15" s="6">
        <f t="shared" si="0"/>
        <v>24</v>
      </c>
      <c r="H15" s="6" t="s">
        <v>255</v>
      </c>
    </row>
    <row r="16" spans="1:8" ht="20" customHeight="1" x14ac:dyDescent="0.35">
      <c r="A16" s="6" t="s">
        <v>160</v>
      </c>
      <c r="B16" s="7" t="s">
        <v>161</v>
      </c>
      <c r="C16" s="6">
        <v>1.5</v>
      </c>
      <c r="D16" s="6">
        <v>90</v>
      </c>
      <c r="E16" s="6" t="s">
        <v>257</v>
      </c>
      <c r="F16" s="6">
        <v>9</v>
      </c>
      <c r="G16" s="6">
        <f t="shared" si="0"/>
        <v>13.5</v>
      </c>
      <c r="H16" s="6" t="s">
        <v>255</v>
      </c>
    </row>
    <row r="17" spans="1:8" ht="20" customHeight="1" x14ac:dyDescent="0.35">
      <c r="A17" s="6" t="s">
        <v>162</v>
      </c>
      <c r="B17" s="7" t="s">
        <v>302</v>
      </c>
      <c r="C17" s="6">
        <v>1.5</v>
      </c>
      <c r="D17" s="6">
        <v>95</v>
      </c>
      <c r="E17" s="6" t="s">
        <v>252</v>
      </c>
      <c r="F17" s="6">
        <v>10</v>
      </c>
      <c r="G17" s="6">
        <f t="shared" si="0"/>
        <v>15</v>
      </c>
      <c r="H17" s="6" t="s">
        <v>255</v>
      </c>
    </row>
    <row r="18" spans="1:8" ht="22" customHeight="1" x14ac:dyDescent="0.35">
      <c r="A18" s="11" t="s">
        <v>303</v>
      </c>
      <c r="B18" s="11"/>
      <c r="C18" s="12">
        <f>SUM(C11:C17)</f>
        <v>20</v>
      </c>
      <c r="D18" s="11"/>
      <c r="E18" s="11"/>
      <c r="F18" s="11"/>
      <c r="G18" s="13">
        <f>SUM(G11:G17)</f>
        <v>179.5</v>
      </c>
      <c r="H18" s="11"/>
    </row>
    <row r="19" spans="1:8" ht="24" customHeight="1" x14ac:dyDescent="0.35">
      <c r="A19" s="11" t="s">
        <v>304</v>
      </c>
      <c r="B19" s="11"/>
      <c r="C19" s="11"/>
      <c r="D19" s="11"/>
      <c r="E19" s="11"/>
      <c r="F19" s="11"/>
      <c r="G19" s="14">
        <f>G18/C18</f>
        <v>8.9749999999999996</v>
      </c>
      <c r="H19" s="11"/>
    </row>
    <row r="21" spans="1:8" x14ac:dyDescent="0.35">
      <c r="A21" s="9" t="s">
        <v>305</v>
      </c>
    </row>
    <row r="23" spans="1:8" ht="24" customHeight="1" x14ac:dyDescent="0.35">
      <c r="A23" s="3" t="s">
        <v>67</v>
      </c>
      <c r="B23" s="3" t="s">
        <v>306</v>
      </c>
      <c r="C23" s="3" t="s">
        <v>307</v>
      </c>
      <c r="D23" s="3" t="s">
        <v>308</v>
      </c>
      <c r="E23" s="3" t="s">
        <v>309</v>
      </c>
      <c r="F23" s="3" t="s">
        <v>310</v>
      </c>
    </row>
    <row r="24" spans="1:8" ht="20" customHeight="1" x14ac:dyDescent="0.35">
      <c r="A24" s="6" t="s">
        <v>80</v>
      </c>
      <c r="B24" s="6">
        <v>19</v>
      </c>
      <c r="C24" s="6">
        <v>19</v>
      </c>
      <c r="D24" s="15">
        <v>8.5</v>
      </c>
      <c r="E24" s="15">
        <f t="shared" ref="E24:E31" si="1">B24*D24</f>
        <v>161.5</v>
      </c>
      <c r="F24" s="7" t="s">
        <v>311</v>
      </c>
    </row>
    <row r="25" spans="1:8" ht="20" customHeight="1" x14ac:dyDescent="0.35">
      <c r="A25" s="6" t="s">
        <v>107</v>
      </c>
      <c r="B25" s="6">
        <v>21</v>
      </c>
      <c r="C25" s="6">
        <v>21</v>
      </c>
      <c r="D25" s="15">
        <v>8.6999999999999993</v>
      </c>
      <c r="E25" s="15">
        <f t="shared" si="1"/>
        <v>182.7</v>
      </c>
      <c r="F25" s="7" t="s">
        <v>311</v>
      </c>
    </row>
    <row r="26" spans="1:8" ht="20" customHeight="1" x14ac:dyDescent="0.35">
      <c r="A26" s="6" t="s">
        <v>132</v>
      </c>
      <c r="B26" s="6">
        <v>22</v>
      </c>
      <c r="C26" s="6">
        <v>22</v>
      </c>
      <c r="D26" s="15">
        <v>8.85</v>
      </c>
      <c r="E26" s="15">
        <f t="shared" si="1"/>
        <v>194.7</v>
      </c>
      <c r="F26" s="7" t="s">
        <v>311</v>
      </c>
    </row>
    <row r="27" spans="1:8" ht="20" customHeight="1" x14ac:dyDescent="0.35">
      <c r="A27" s="6" t="s">
        <v>150</v>
      </c>
      <c r="B27" s="6">
        <v>20</v>
      </c>
      <c r="C27" s="6">
        <v>20</v>
      </c>
      <c r="D27" s="15">
        <v>9.0500000000000007</v>
      </c>
      <c r="E27" s="15">
        <f t="shared" si="1"/>
        <v>181</v>
      </c>
      <c r="F27" s="7" t="s">
        <v>311</v>
      </c>
    </row>
    <row r="28" spans="1:8" ht="20" customHeight="1" x14ac:dyDescent="0.35">
      <c r="A28" s="6" t="s">
        <v>167</v>
      </c>
      <c r="B28" s="6">
        <v>21</v>
      </c>
      <c r="C28" s="6">
        <v>21</v>
      </c>
      <c r="D28" s="15">
        <v>8.6</v>
      </c>
      <c r="E28" s="15">
        <f t="shared" si="1"/>
        <v>180.6</v>
      </c>
      <c r="F28" s="7" t="s">
        <v>311</v>
      </c>
    </row>
    <row r="29" spans="1:8" ht="20" customHeight="1" x14ac:dyDescent="0.35">
      <c r="A29" s="6" t="s">
        <v>179</v>
      </c>
      <c r="B29" s="6">
        <v>20</v>
      </c>
      <c r="C29" s="6">
        <v>20</v>
      </c>
      <c r="D29" s="15">
        <v>8.9</v>
      </c>
      <c r="E29" s="15">
        <f t="shared" si="1"/>
        <v>178</v>
      </c>
      <c r="F29" s="7" t="s">
        <v>311</v>
      </c>
    </row>
    <row r="30" spans="1:8" ht="20" customHeight="1" x14ac:dyDescent="0.35">
      <c r="A30" s="6" t="s">
        <v>190</v>
      </c>
      <c r="B30" s="6">
        <v>21</v>
      </c>
      <c r="C30" s="6">
        <v>21</v>
      </c>
      <c r="D30" s="15">
        <v>9.15</v>
      </c>
      <c r="E30" s="15">
        <f t="shared" si="1"/>
        <v>192.15</v>
      </c>
      <c r="F30" s="7" t="s">
        <v>311</v>
      </c>
    </row>
    <row r="31" spans="1:8" ht="20" customHeight="1" x14ac:dyDescent="0.35">
      <c r="A31" s="6" t="s">
        <v>201</v>
      </c>
      <c r="B31" s="6">
        <v>18</v>
      </c>
      <c r="C31" s="6">
        <v>18</v>
      </c>
      <c r="D31" s="15">
        <v>9.3000000000000007</v>
      </c>
      <c r="E31" s="15">
        <f t="shared" si="1"/>
        <v>167.4</v>
      </c>
      <c r="F31" s="7" t="s">
        <v>311</v>
      </c>
    </row>
    <row r="32" spans="1:8" ht="22" customHeight="1" x14ac:dyDescent="0.35">
      <c r="A32" s="11" t="s">
        <v>312</v>
      </c>
      <c r="B32" s="12">
        <f>SUM(B24:B31)</f>
        <v>162</v>
      </c>
      <c r="C32" s="12">
        <f>SUM(C24:C31)</f>
        <v>162</v>
      </c>
      <c r="D32" s="11"/>
      <c r="E32" s="14">
        <f>SUM(E24:E31)</f>
        <v>1438.0500000000002</v>
      </c>
      <c r="F32" s="11"/>
    </row>
    <row r="33" spans="1:6" ht="24" customHeight="1" x14ac:dyDescent="0.35">
      <c r="A33" s="11" t="s">
        <v>313</v>
      </c>
      <c r="B33" s="11"/>
      <c r="C33" s="11"/>
      <c r="D33" s="11"/>
      <c r="E33" s="14">
        <f>E32/B32</f>
        <v>8.8768518518518533</v>
      </c>
      <c r="F33" s="16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1_Overview_&amp;_Regulations</vt:lpstr>
      <vt:lpstr>2_Curriculum_Subjects</vt:lpstr>
      <vt:lpstr>3_Exam_Patterns_&amp;_Grading</vt:lpstr>
      <vt:lpstr>4_GPA_CGPA_Calculator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Dhanapriya Pazhaniyappan</cp:lastModifiedBy>
  <dcterms:created xsi:type="dcterms:W3CDTF">2026-08-14T07:21:07Z</dcterms:created>
  <dcterms:modified xsi:type="dcterms:W3CDTF">2026-08-17T12:57:05Z</dcterms:modified>
</cp:coreProperties>
</file>